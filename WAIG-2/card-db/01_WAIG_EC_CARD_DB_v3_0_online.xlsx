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sheet_list" sheetId="2" r:id="rId6"/>
    <sheet state="visible" name="ai_feedback" sheetId="3" r:id="rId7"/>
    <sheet state="visible" name="compare_db" sheetId="4" r:id="rId8"/>
    <sheet state="visible" name="group_mst" sheetId="5" r:id="rId9"/>
    <sheet state="visible" name="group_setup" sheetId="6" r:id="rId10"/>
    <sheet state="visible" name="turn_log" sheetId="7" r:id="rId11"/>
    <sheet state="visible" name="member_log" sheetId="8" r:id="rId12"/>
    <sheet state="visible" name="market_event_log" sheetId="9" r:id="rId13"/>
    <sheet state="visible" name="cd_mst" sheetId="10" r:id="rId14"/>
    <sheet state="visible" name="ms_mst" sheetId="11" r:id="rId15"/>
    <sheet state="visible" name="ms_skill_mst" sheetId="12" r:id="rId16"/>
    <sheet state="visible" name="ac_mst" sheetId="13" r:id="rId17"/>
    <sheet state="visible" name="sy_mst" sheetId="14" r:id="rId18"/>
    <sheet state="visible" name="sk_mst" sheetId="15" r:id="rId19"/>
    <sheet state="visible" name="tr_mst" sheetId="16" r:id="rId20"/>
    <sheet state="visible" name="tc_mst" sheetId="17" r:id="rId21"/>
    <sheet state="visible" name="scenario_mst" sheetId="18" r:id="rId22"/>
    <sheet state="visible" name="scenario_profile" sheetId="19" r:id="rId23"/>
    <sheet state="visible" name="scenario_tc_mst" sheetId="20" r:id="rId24"/>
    <sheet state="visible" name="scenario_tr_mst" sheetId="21" r:id="rId25"/>
    <sheet state="visible" name="sum_mst" sheetId="22" r:id="rId26"/>
  </sheets>
  <definedNames>
    <definedName name="CURRENT_TURN">#REF!</definedName>
    <definedName name="BASE_CPC">setup!$D$26</definedName>
    <definedName name="AI_MODE">setup!$D$12</definedName>
    <definedName name="CURRENT_SCENARIO_ID">setup!$D$19</definedName>
    <definedName name="GAME_START_TIME">setup!$B$17</definedName>
    <definedName name="SHEET_ROLE">setup!$D$2</definedName>
    <definedName name="FACILITATOR_NAME">setup!$B$18</definedName>
    <definedName name="BASE_GI">setup!$D$20</definedName>
    <definedName name="TURN_LIMIT_MINUTES">setup!$D$10</definedName>
    <definedName name="BASE_AOV">setup!$D$25</definedName>
    <definedName name="DOMAIN">setup!$D$4</definedName>
    <definedName name="BASE_BROWSE">setup!$D$23</definedName>
    <definedName name="BASE_AI">setup!$D$21</definedName>
    <definedName name="BASE_CVR">setup!$D$24</definedName>
    <definedName name="BASE_BOUNCE">setup!$D$22</definedName>
  </definedNames>
  <calcPr/>
</workbook>
</file>

<file path=xl/sharedStrings.xml><?xml version="1.0" encoding="utf-8"?>
<sst xmlns="http://schemas.openxmlformats.org/spreadsheetml/2006/main" count="2995" uniqueCount="994">
  <si>
    <t>key</t>
  </si>
  <si>
    <t>value</t>
  </si>
  <si>
    <t>note</t>
  </si>
  <si>
    <t>name_define</t>
  </si>
  <si>
    <t>SHEET_ROLE</t>
  </si>
  <si>
    <t>WAIG_MAIN_DB</t>
  </si>
  <si>
    <t>シート役割</t>
  </si>
  <si>
    <t>GAME_NAME</t>
  </si>
  <si>
    <t>WEB ANALYTICS IMPROVEMENT GAME</t>
  </si>
  <si>
    <t>ゲーム名</t>
  </si>
  <si>
    <t>DOMAIN</t>
  </si>
  <si>
    <t>EC</t>
  </si>
  <si>
    <t>EC/B2B等</t>
  </si>
  <si>
    <t>GAME_VERSION</t>
  </si>
  <si>
    <t>2026.07.08-g04</t>
  </si>
  <si>
    <t>ゲーム版</t>
  </si>
  <si>
    <t>DB_VERSION</t>
  </si>
  <si>
    <t>2026.07.08-db04</t>
  </si>
  <si>
    <t>DB版</t>
  </si>
  <si>
    <t>RULE_VERSION</t>
  </si>
  <si>
    <t>2026.07.08-r04</t>
  </si>
  <si>
    <t>ルール版</t>
  </si>
  <si>
    <t>GAME_MODE</t>
  </si>
  <si>
    <t>標準版</t>
  </si>
  <si>
    <t>１～30名までの運営が可能</t>
  </si>
  <si>
    <t>RECOMMENDED_TURNS</t>
  </si>
  <si>
    <t>推奨ターン数</t>
  </si>
  <si>
    <t>TURN_LIMIT_MINUTES</t>
  </si>
  <si>
    <t>ターンの時間</t>
  </si>
  <si>
    <t>MAX_ACTION</t>
  </si>
  <si>
    <t>1ターン施策数</t>
  </si>
  <si>
    <t>AI_MODE</t>
  </si>
  <si>
    <t>期待KPIを入力</t>
  </si>
  <si>
    <t>AI利用モード</t>
  </si>
  <si>
    <t>SUPPORT_MODE</t>
  </si>
  <si>
    <t>博士助言</t>
  </si>
  <si>
    <t>サポート方式</t>
  </si>
  <si>
    <t>INPUT_MODE</t>
  </si>
  <si>
    <t>GAS Webアプリ</t>
  </si>
  <si>
    <t>参加者入力方式</t>
  </si>
  <si>
    <t>DISPLAY_MODE</t>
  </si>
  <si>
    <t>戦況表示方式</t>
  </si>
  <si>
    <t>CURRENT_SESSION_ID</t>
  </si>
  <si>
    <t>WAIG_EC_20260521_TEST01</t>
  </si>
  <si>
    <t>現在のゲームセッション</t>
  </si>
  <si>
    <t>GAME_START_TIME</t>
  </si>
  <si>
    <t>FACILITATOR_NAME</t>
  </si>
  <si>
    <t>亀井耕ニ</t>
  </si>
  <si>
    <t>全体進行担当</t>
  </si>
  <si>
    <t xml:space="preserve">CURRENT_SCENARIO_ID	</t>
  </si>
  <si>
    <t>SCN01</t>
  </si>
  <si>
    <t>今回使用する市場シナリオ</t>
  </si>
  <si>
    <t>BASE_GI</t>
  </si>
  <si>
    <t>初期一般流入</t>
  </si>
  <si>
    <t>BASE_AI</t>
  </si>
  <si>
    <t>初期広告流入</t>
  </si>
  <si>
    <t>BASE_BOUNCE</t>
  </si>
  <si>
    <t>初期離脱率</t>
  </si>
  <si>
    <t>BASE_BROWSE</t>
  </si>
  <si>
    <t>初期回遊率</t>
  </si>
  <si>
    <t>BASE_CVR</t>
  </si>
  <si>
    <t>初期CVR</t>
  </si>
  <si>
    <t>BASE_AOV</t>
  </si>
  <si>
    <t>初期客単価</t>
  </si>
  <si>
    <t>BASE_CPC</t>
  </si>
  <si>
    <t>初期CPC</t>
  </si>
  <si>
    <t>CREATED_AT</t>
  </si>
  <si>
    <t>作成日時</t>
  </si>
  <si>
    <t>CREATED_BY</t>
  </si>
  <si>
    <t>KozyWorks</t>
  </si>
  <si>
    <t>作成者</t>
  </si>
  <si>
    <t>No</t>
  </si>
  <si>
    <t>シート名</t>
  </si>
  <si>
    <t>シートID</t>
  </si>
  <si>
    <t>データ行</t>
  </si>
  <si>
    <t>最終行</t>
  </si>
  <si>
    <t>最終列</t>
  </si>
  <si>
    <t>最大行数</t>
  </si>
  <si>
    <t>最大列数</t>
  </si>
  <si>
    <t>setup</t>
  </si>
  <si>
    <t>sheet_list</t>
  </si>
  <si>
    <t>ai_feedback</t>
  </si>
  <si>
    <t>compare_db</t>
  </si>
  <si>
    <t>group_mst</t>
  </si>
  <si>
    <t>group_setup</t>
  </si>
  <si>
    <t>turn_log</t>
  </si>
  <si>
    <t>member_log</t>
  </si>
  <si>
    <t>market_event_log</t>
  </si>
  <si>
    <t>cd_mst</t>
  </si>
  <si>
    <t>ms_mst</t>
  </si>
  <si>
    <t>ac_mst</t>
  </si>
  <si>
    <t>sy_mst</t>
  </si>
  <si>
    <t>sk_mst</t>
  </si>
  <si>
    <t>tr_mst</t>
  </si>
  <si>
    <t>tc_mst</t>
  </si>
  <si>
    <t>scenario_mst</t>
  </si>
  <si>
    <t>scenario_profile</t>
  </si>
  <si>
    <t>scenario_tc_mst</t>
  </si>
  <si>
    <t>scenario_tr_mst</t>
  </si>
  <si>
    <t>sum_mst</t>
  </si>
  <si>
    <t>timestamp</t>
  </si>
  <si>
    <t>scenario_id</t>
  </si>
  <si>
    <t>turn</t>
  </si>
  <si>
    <t>feedback_type</t>
  </si>
  <si>
    <t>feedback_text</t>
  </si>
  <si>
    <t>status</t>
  </si>
  <si>
    <t>updated_by</t>
  </si>
  <si>
    <t>OVERALL</t>
  </si>
  <si>
    <t># WAIG-Lite ゲーム結果分析レポート
皆様、意思決定トレーニングゲーム「WAIG-Lite」のプレイお疲れ様でした。
本ゲームは、単なる数値の競い合いではなく、「市場の変化をどう捉え、どのタイミングで適切な投資・改善を行えたか」という**意思決定の質**を学ぶためのものです。
お預かりしたデータをもとに、今回のゲームの振り返りと、次回に向けた学びのポイントを解説します。
## 1. 全体講評
今回のゲーム全体を振り返ると、「前半〜中盤（T1〜T4）の市場拡大期にどれだけ基盤（CVRや顧客体験）を整え、後半（T5〜T6）の市場停滞期にその成果を回収できたか」が大きな分岐点となりました。
全体として多くのプレイヤーが利益成長率100%超（Turn0基準で2倍以上の成長）を達成しており、市場の波を捉える力の高さが窺えます。一方で、利益の絶対額だけでなく、**「ROAS（広告費用対効果）」や「CPA（顧客獲得単価）」といった効率性指標に目を向けると、各自の戦略の特色や課題が鮮明に見えてくる**興味深い結果となりました。
## 2. 上位プレイヤーの勝因
### 1位：G04_横浦 玲子 プレイヤー（利益成長率: 178.58%）
**【勝因：一貫した「CVR（成約率）改善」への集中投資】**
横浦プレイヤーは、T1〜T5にかけて「LP改善」「レビュー強化」「導線改善」「ファーストビュー改善」「記事コンテンツ追加」と、一貫して**自社サイト内のUI/UX改善およびコンテンツ強化**にリソースを集中させました。
市場が拡大し新規流入が増えている前半に「離脱の少ないサイト」を作ったため、後半に市場が停滞しても、高いROAS（21.01）と低いCPA（209）を維持し、効率よく利益を最大化することに成功しました。
### 2位：G03_吉村 架輪 プレイヤー（利益成長率: 138.22%）
**【勝因：購買意欲の高まりに合わせた「客単価向上」と「リピート施策」の連動】**
吉村プレイヤーは、季節需要で購買意欲が高まるT3〜T4のタイミングで「広告出稿拡大」と「セット販売の導入（客単価アップ）」を組み合わせ、売上を大きく伸ばしました。さらに、後半には「メルマガ」「LINE」「導線改善」といった既存顧客・リピート施策を的確に配置しています。売上高（899,802）は全体2位であり、攻めと守りのバランスが光った戦略でした。
### 3位：G01_鈴木 香織 プレイヤー（利益成長率: 129.79%）
**【勝因：市場トレンドに合わせた柔軟な施策の切り替え】**
鈴木プレイヤーは、前半に「記事コンテンツ」「レビュー強化」で基盤を固め、中盤の需要期に「セット販売」「限定キャンペーン」で売上を伸ばし、後半の停滞期に「リターゲティング」で効率よく成果を回収するという、**市場のサイクルに合わせた施策展開**を行いました。CPAも551と低く抑えられており、バランスの取れた立ち回りが実を結びました。
## 3. 中位・下位プレイヤーの改善ポイント
### 4位：G06_江尻 俊章 プレイヤー（利益成長率: 125.84%）
* **素晴らしい点：** 売上高（830,823）およびCV数（189）は上位陣に匹敵する高い水準です。
* **改善のヒント：** 利益（233,778）に対して、CPAが3,159と高く、ROASが1.39にとどまりました。T5で「広告出稿拡大」を選択していますが、この時期は市場が停滞し、競合のUX改善（T4〜T6）によって広告効率が落ちやすいタイミングです。市場が縮小する時期は、広告費を増やすよりも「SEO」や「導線改善」などのサイト内改善に寄せることで、利益率を改善できた可能性があります。
### 5位：G02_山本 晶子 プレイヤー（利益成長率: 125.42%）
* **素晴らしい点：** ROAS 17.19、CPA 255という、横浦プレイヤーに次ぐトップクラスの高効率な運営を実現しています。
* **改善のヒント：** 前半の「ファーストビュー」「モバイル最適化」「レビュー」「ABテスト」というサイト改善の組み合わせは非常に効果的でした。施策の質が高かっただけに、中盤（T3〜T4）の市場拡大期に「広告出稿」や「キャンペーン」などの認知・集客拡大に踏み切っていれば、高い効率を維持したまま売上・利益の規模をさらに拡大できたでしょう。
### 6位：G05_奥平 初 プレイヤー（利益成長率: 115.54%）
* **素晴らしい点：** ROAS 46.23、CPA 118という、非常に優れた「低コスト・高利益率」を達成しています。
* **改善のヒント：** 「会員制度」「LINE」「メルマガ」と、LTV（顧客生涯価値）を高めるためのファン化施策がうまく機能しています。効率の余裕がある状態ですので、5位の山本プレイヤーと同様、需要期（T3、T4）に広告や新規獲得施策を加えることで、CV数（147）をさらに伸ばせた可能性があります。
### 7位：G07_藤井 プレイヤー（利益成長率: 54.93%）
* **素晴らしい点：** T1〜T5の施策がない状態から、T6の1ターンのみ（SNS運用強化）で利益成長率54.93%を記録し、CVも56件獲得しています。
* **改善のヒント：** EC運用は施策の効果が積み重なっていく性質があります。T1から毎ターン何らかのサイト改善や集客を行っていれば、上位に食い込めるポテンシャルは十分にあったと言えます。
## 4. 市場環境の変化と施策選択の関係
今回のゲームの環境変化をマーケティングファネルの観点で整理すると、以下のようなシナリオでした。
1. **T1〜T2（市場拡大・競合広告強化）：**
市場全体が拡大する一方で、競合が広告を強化したためCPC（クリック単価）が上昇しました。ここで広告費の競争に注力すると効率が落ちます。G04横浦プレイヤーやG02山本プレイヤーのように「サイト内改善（CVR向上）」に投資し、「広告単価が上がっても、流入した顧客を取りこぼさない準備」をした判断は効果的でした。
2. **T3〜T4（季節需要上昇・競合UX改善）：**
ユーザーの購買意欲が高まる時期です。G03吉村プレイヤーやG01鈴木プレイヤーのように「セット販売」や「限定キャンペーン」で**客単価と購買頻度を上げる施策**が有効でした。一方、T4からは「競合のUX改善による自社からの離脱増加」という逆風も始まります。
3. **T5〜T6（市場停滞・競合UX改善継続）：**
新規顧客の獲得コスト（CPA）が上がりやすい時期です。ここで獲得広告を強化すると利益が圧迫されます（G06江尻プレイヤーの苦戦ポイント）。逆に、G05奥平プレイヤーやG03吉村プレイヤーのように、前半に獲得した顧客に対して「LINE」「メルマガ」などの**コストを抑えたリピート施策**でつなぎ止める動きが有効となります。
## 5. 特に学びになる意思決定
### ★ ベスト・プラクティス：G04_横浦 玲子 プレイヤーの「T5・T6での記事コンテンツ追加」
市場が落ち着き、競合のUXが強化されたT5〜T6において、広告で無理に競わず「記事コンテンツ追加」を連続して選択した点です。
市場が縮小しているときは、ユーザーがより慎重に比較検討する傾向があります。そのタイミングで、購買を後押しし、SEO効果も期待できるコンテンツを強化したことで、他社への顧客流出を防ぎ、1位という結果につながりました。
## 6. 次回プレイへのアドバイス（学びのまとめ）
次回、さらに高い成果を出すための3つのポイントです。
1. **「市場が伸びている時」と「縮んでいる時」で投資の重点を切り替える**
市場拡大期は「集客・単価アップ」への投資を優先し、市場停滞期は「リピート施策・サイト内改善」による効率化に切り替えましょう。
2. **ボトルネックを意識する**
CPAが高い場合は「集客方法やターゲティング」に課題があり、売上が伸び悩む場合は「認知不足や単価の低さ」に課題があります。自分のプレイヤーデータのどこに課題があるか（ROASなのか、売上規模なのか）を毎ターン確認しましょう。
3. **施策の「先行投資」を恐れない**
ECは、T1の改善がT6まで効き続けます。前半にサイトの基盤（CVRやレビューなど）をしっかり作っておくことで、後半のどのような環境変化にも対応できる安定した運営につながります。
皆様、それぞれの強みが活きたプレイでした。今回学んだ「タイミングの見極め」をぜひ実際のビジネスや次回のゲームに活かしてください。</t>
  </si>
  <si>
    <t>archived</t>
  </si>
  <si>
    <t>GM</t>
  </si>
  <si>
    <t>SCN03</t>
  </si>
  <si>
    <t># WAIG-Lite ゲーム結果分析・振り返りレポート
参加者の皆様、WAIG-Liteのプレイお疲れ様でした！EC改善における意思決定の難しさと楽しさを体感いただけたのではないでしょうか。
本レポートでは、最終Turn 6のデータをもとに、単なる順位だけではなく「意思決定の質」や「市場環境との連動」に着目し、次回に向けた学びとなるポイントを分析・解説します。
### 1. 全体講評
今回のセッションでは、両プレイヤーともにTurn 0の基準から利益を大きく成長させることに成功しています。全体として高い水準の意思決定が行われていました。
市場環境の波（季節需要や競合の動き）に対して、「客単価（AOV）や転換率（CVR）を高めるインサイド（サイト内）の施策」を重視したプレイヤーと、「認知・流入（アクセス数）を増やすアウトサイドの施策」を重視したプレイヤーで戦略が明確に分かれ、それが最終的な利益成長率の差として現れる結果となりました。
### 2. 上位プレイヤーの勝因
**1位：G01_亀井 プレイヤー（利益成長率: 24,701.28%）**
亀井プレイヤーの勝因は、**「CVR（転換率）およびLTV（顧客生涯価値）を高める仕組み」をゲーム前半〜中盤にいち早く構築し、効率の最大化を図った点**にあります。
* **効率的なコスト管理：** CPA（顧客獲得単価）を「1,235円」という低い水準に抑え、結果としてROAS「3.88」という高い投資対効果を実現しました。
* **強固な土台作り：** 後述する「セット販売」や「会員制度」により、1顧客あたりの価値を高めた状態で市場の波に乗ったため、大きな利益成長率を達成することができました。
### 3. 改善ポイントの分析
**2位：G02_山本 プレイヤー（利益成長率: 1,918.12%）**
山本プレイヤーは、売上「1,330,659円」、CV数「258」と、**規模の拡大（スケール）の観点では亀井プレイヤーを上回る実績**を残しています。
* **改善の伸びしろ：** 売上が大きく伸びた一方で、CPAが「2,001円」とやや高くなり、ROASが「2.58」に留まったため、利益率が圧迫され「利益成長率」の指標において差が生まれました。
* **アドバイス：** 後半に「広告出稿拡大」などで集客を加速させる前に、前半の段階で「客単価（AOV）」を上げる施策や「CVR改善」を取り入れ、1コンバージョンあたりの収益性を高めておくと、獲得した多くのCVがより大きな利益へとつながったと考えられます。
### 4. 市場環境の変化と施策選択の関係
ゲームを通じて、市場環境は以下のように変化していました。
* **前半（T1〜T3）：** 季節需要や市場拡大により、購買意欲と新規流入（GI / AI）が自然と高まる追い風の時期。
* **後半（T4〜T6）：** 競合のUX改善により、離脱が増加しCVRが低下するシビアな時期。
**【施策との連動】**
* **亀井プレイヤー：** 後半の「競合UX改善による離脱増加（CVR低下）」のタイミング（T4〜T6）に合わせて、「記事コンテンツ追加」「クリエイティブ改善」「ファーストビュー改善」と、サイト内の情報充実度や見せ方を継続的にブラッシュアップしました。これにより、競合の影響を抑えながら高いCVRを維持し続けました。
* **山本プレイヤー：** 前半の市場拡大期（T1〜T2）に「モバイル最適化」を選択した判断は市場の波を捉える上で効果的でした。一方、後半の競合が強くなったタイミング（T5）で「広告出稿拡大」を行ったため、離脱が増えやすくなった状態でのコストをかけた集客となり、CPAが上昇する要因となったと考えられます。
### 5. 特に学びになる意思決定
**★ G01_亀井プレイヤーの T1：「A09｜セット販売の導入」と T3：「A20｜会員制度導入」**
この2つの意思決定は、ECビジネスにおける「土台作り」として非常に効果的でした。
T1・T2の市場トレンドは「AOV（平均客単価）が＋200円」となる環境でした。ここに「セット販売」を組み合わせることで、顧客の購買意欲の高まりを活かして客単価を引き上げることに成功しています。さらにT3で「会員制度」を導入しリピートの基盤を作ったことで、後半の競合激化にも安定した高利益体質のショップを構築できました。
### 6. 次回プレイへのアドバイス
次回さらに高い成果を出すための共通のチェックポイントは「攻め（集客・広告）と守り（CVR・客単価向上）の順序」です。
1. **まずは「バケツの穴」を塞ぎ、器を整える（守り）：**
広告費を投入する前に、サイトの使いやすさ（UX）を高め、セット販売や会員制などで「1人あたりの客単価」と「会員化率」を高めておきます。
2. **その後に、認知を広げる（攻め）：**
「1回購入されたときの利益」が高い状態を作ってから広告（集客施策）を打つと、CPAが多少高くなっても利益を確保しやすくなり、売上と利益を同時に伸ばすことができます。
売上を牽引する積極的なアプローチを見せた山本プレイヤーの「攻め」の姿勢と、高効率・高利益体質を着実に構築した亀井プレイヤーの「守り」の戦略、双方のアプローチにそれぞれ大きな学びがありました。ぜひ今回の経験を、今後の実践や次回のプレイに活かしてください。</t>
  </si>
  <si>
    <t>hidden</t>
  </si>
  <si>
    <t>テスト投稿</t>
  </si>
  <si>
    <t>published</t>
  </si>
  <si>
    <t>SCN04</t>
  </si>
  <si>
    <t># WAIG-2 ゲーム結果分析・振り返りレポート
## 1. 全体講評
今回の「WAIG-2」は、難易度「上級」のミッション「M07｜改善停滞」という、タフな条件での挑戦となりました。市場環境全体を見渡すと、全ターンを通じて「市場の停滞による流入減少」や「広告競争激化にともなうCPC（広告単価）の上昇」、さらには「競合のUX改善による離脱増加やCVRの低下」など、外部環境からの逆風が続く厳しい相場でした。
このような市場において、参加されたG01_亀井耕二氏は、外部の環境変化に翻弄されることなく、EC運用の王道とも言える「サイト内改善」「既存顧客の活性化（CRM）」「広告の効率化」を的確なタイミングで実行し、最終的に**利益成長率260.09%**、**ROAS 5.28**という良い成績を収められました。上級ミッションのハンデをものともせず、意思決定の質によって利益を大きく伸ばしたゲーム展開でした。
## 2. 上位プレイヤー（亀井耕二氏）の勝因
亀井氏の勝因は、「市場環境の変化を先読みし、集客（点）ではなくUX・CRM（面）でのシナジーを生み出したこと」にあります。具体的な勝因は以下の3点です。
* **徹底した内製・サイト内改善による「器の強化」**
T1の「ファーストビュー改善」「導線改善」、T4の「レビュー強化」「フォーム改善」など、流入が減少する局面において、今あるアクセスを取りこぼさないための施策を先手を打って実行されました。これにより、競合のUX改善や価格攻勢に対抗できる強固な自社サイト（器）を作り上げました。
* **既存顧客の資産化（CRM）と施策の相乗効果（シナジー）**
T2での「会員制度導入」×「限定キャンペーン」、T3での「LP改善」×「メルマガ強化」という組み合わせは非常に効果的です。新規獲得コスト（CPA）が上昇する市場において、広告に頼らずにリピート売上を創出する仕組みを構築したことが、中盤以降の安定した利益成長を支えました。
* **広告高騰期における的確な「引き算」**
T5においてCPC上昇と離脱増加が深刻化する中、無理に広告を拡大するのではなく「広告精査」と「ターゲティング改善」という「効率化」へ舵を切りました。これにより、CPAを842円という低い水準に抑え、高い投資対効果（ROAS 5.28）を実現されました。
## 3. 一般的な改善ポイント（中・下位のシミュレーションから学ぶポイント）
今回は亀井氏の見事な単独プレイとなりましたが、もし今回の厳しい市場環境（流入減少・広告高騰）において結果が伸び悩む（中・下位に留まる）パターンがあるとすれば、以下のような「意思決定の罠」が関係している可能性があります。次回以降の学びとして振り返ってみましょう。
* **「流入減少」を無理な広告費（集客）で解決しようとしてしまう罠**
市場全体の流入が減っている(T1, T2, T4)局面で、焦って新規集客施策や広告増枠を連発してしまうと、高騰するCPCの波に飲まれ、広告費だけが膨らんで利益を圧迫してしまいます。
* **サイト内の「バケツの穴」を塞がずに集客してしまう罠**
競合のUX改善により自社の離脱率が上がっている(T4〜T6)状態で、フォームや導線の改善を後回しにすると、獲得したユーザーが購入に至らず離脱してしまいます。「集客の前にコンバージョン率（CVR）の改善」という鉄則を忘れると、投資効率が悪化します。
* **施策の組み合わせ（シナジー）を意識できていない**
単発で見れば良い施策であっても、目的が分散すると効果が半減します。亀井氏のように「仕組み（会員制度）×動機（キャンペーン）」のように連動させ、施策どうしの効果を掛け合わせることが重要です。
## 4. 市場環境の変化と施策選択の関係
各ターンの市場の動きと、亀井氏の施策選択の対応度を振り返ると、環境にうまく適応していることが分かります。
* **【T1〜T2：市場停滞期の布石】**
市場全体の流入が落ちる（GI -1200）中で、亀井氏はサイトの土台（ファーストビュー・導線）を整え、間髪入れずに会員制度とキャンペーンで既存顧客を囲い込みました。市場が縮小している時は「外に広げる」のではなく「内を固める」のが正解であることを示しています。
* **【T3〜T4：競合激化へのカウンター】**
競合の価格攻勢やUX改善により、自社のCVR低下や離脱増加の危機が迫った局面です。ここでは「LP改善」「メルマガ強化」「レビュー強化」「フォーム改善」と、ユーザーの購入心理に寄り添い、カゴ落ちを防ぐ防御陣形を敷きました。競合の攻勢に対して自社の強みを磨くことで、顧客の流出を最小限に食い止めました。
* **【T5〜T6：広告高騰期の効率化と次の仕込み】**
CPCの上昇がピークに達する中、T5で「広告精査」と「ターゲティング改善」を同時に行い、無駄なコストを排除。そして最終T6では、磨き上げたサイト（モバイル最適化）に対して、「インフルエンサー施策」という質の高い流入を呼び込むことで、売上164,477、CV数37という成果を効率よく上げることに成功しました。
## 5. 特に学びになる意思決定
今回のプレイにおいて特に評価すべき意思決定は、「T5における『広告精査』と『ターゲティング改善』の同時選択」です。
売上が伸び悩むと、「もっと広告を出さなければ」というバイアス（心理的罠）にかかりがちです。しかし、亀井氏は「CPCが上昇している＝広告効率が落ちている」という3C・競合変化のデータを冷静に読み解き、あえて「絞り込む（精査・ターゲティング）」という引き算の意思決定を行いました。
この決断があったからこそ、CPAが最適化され、最終的な利益成長率を押し上げる大きな原動力となりました。引くべき時に引ける冷静さこそ、上級者たる所以です。
## 6. 次回プレイへのアドバイス
次回、さらに難易度の高いミッションや、異なる市場トレンドに挑む際のアドバイスです。
1. **「バケツの穴」を常に意識する**
今回のように、まずはサイト内を整えてから集客する流れ（T1〜T2で土台、T6で集客）は完璧でした。次回も、市場の流入数だけでなく「現在の自社サイトのCVRや離脱率はどうなっているか」を常に確認し、バケツの穴が空いたまま集客に走らないよう意識しましょう。
2. **ミッション難易度に応じた「Turn0」の損益構造の把握**
今回は「利益成長率」が評価指標でした。難易度上級の「改善停滞」は初期の利益ベースが低い、あるいは構造的に利益が出にくい状態からスタートします。そのため、今回のように初期にCRM（会員化・メルマガ）を仕込んで「手堅く利益ベースの底上げを図る」アプローチは非常に有効です。初期状態の課題（課題が認知なのか、CVRなのか、リピートなのか）をTurn 0の時点でより深く分析しておくと、さらに初手の精度が上がります。
3. **複数プレイヤーとの競合シミュレーションへの備え**
もし次回、他のプレイヤーと同じ市場でリアルタイムに競う形式になった場合は、他のプレイヤーの広告投資状況なども影響してきます。今回の「データから市場を読み解く力」をベースに、周囲の出方を見ながら「あえて競合が手を出していないニッチな施策（例：ブランド強化や、特定のチャネル特化）」を突くような戦略も試してみてください。</t>
  </si>
  <si>
    <t># WAIG-2 ゲーム結果分析・振り返りレポート
ゲーム「WAIG-2」お疲れ様でした！今回のセッションでは、市場環境がダイナミックに変化する中、各プレイヤーがそれぞれのミッション（初期条件）を抱えながら、見応えのある意思決定を展開してくださいました。
単なる最終順位だけでなく、「市場の波をどう捉えたか」「ミッションの特性に合わせた施策を選べたか」という**意思決定の質**に焦点を当てて振り返っていきましょう。
## 1. 全体講評：市場の「波」と意思決定のシンクロ
今回のゲームは、前半（T1〜T3）の「市場拡大・季節需要による追い風」から、後半（T4〜T6）の「競合の台頭・市場停滞による向かい風」へと、環境が大きく変化するシナリオでした。
全体として、前半の追い風局面でどれだけ効率よく「器（CVRやサイト内導線）」を整え、後半の冷え込み局面で「集客の効率化（広告精査やLTV向上）」へ舵を切れたかが、明暗を分けるポイントとなりました。初期の利益目標や顧客属性（ミッション）が異なる中、全員が独自の仮説を持って6ターンを戦い抜いた、見応えのあるゲーム展開でした。
## 2. 上位プレイヤーの勝因分析
### 🥇 1位：G06 江尻 俊章 氏（M02｜広告依存型：初中級）
* **「広告依存」からの脱却とサイト改善の巧みなステップ**
* **勝因：**
利益成長率1192.64%という非常に高い数字でトップとなりました。元々の利益ベースが小さかった（成長率が出やすい）点もありますが、特筆すべきは**施策のステップ**です。前半（T1〜T2）に導線・速度・フォームといった「サイト内のCVR改善」を徹底。その後、市場が冷え込むT5〜T6のタイミングで「クリエイティブ改善」や「インフルエンサー・LINE施策」など、広告だけに頼らない顧客接点を作りました。ROAS 4.6、CPA 1,088円と、広告依存型ミッションながら非常に健全な数字に軟着陸させた見事な舵取りです。
### 🥈 2位：G04 谷 昭直 氏（M01｜新規立ち上げ：中級）
* **組み合わせ効果を連発した、攻めと守りのハイブリッド経営**
* **勝因：**
中級難易度の「新規立ち上げ」という厳しい条件ながら、最終利益（約70万）、売上（約91万）ともに高い水準で2位にランクイン。勝因は「組み合わせ効果」の最大活用です。T2で［導線改善×レビュー強化］、T3で［限定キャンペーン×メルマガ強化］を連続して発動させ、市場の拡大期に大きな売上を作りました。後半の停滞期（T5）にはすかさず「入札最適化・会員制度導入」に切り替え、ROAS 4.26を維持したまま逃げ切るという、戦略性の高いプレイでした。
## 3. 中位・下位プレイヤーの改善ポイント
### 3位〜5位（コンテンツ型・バランス型チーム）の振り返り
* **G02 吉田 哲也 氏（3位）：** ROAS 9.11、CPA 549円という優れた運用効率が光りました。利益額（81万）は全体2位です。初級ミッションとして手堅くサイト改善（LP・動画・レビュー）を積み上げましたが、後半の市場収縮期に「SNS強化」「ターゲティング改善」と、やや守りに入った印象があります。前半の拡大期にもう少し広告出稿拡大などの「攻め」の施策を混ぜていれば、さらに利益を上乗せできた可能性があります。
* **G01 奥平 初 氏（4位）＆ G03 横浦 玲子 氏（5位）：**
実は**最終利益ベースでは、このお二人が「111万円」「108万円」とツートップ**です。ミッション（コンテンツ型）の初期ポテンシャルを最大限に活かしました。
奥平氏は、T6で［広告精査×出稿］の組み合わせ効果を発動。向かい風の中でCV数を257まで伸ばした主軸の動きが光ります。
横浦氏は、T1からいきなり［SEO×LP改善］の組み合わせを的中させ、**ROAS 25.78、CPA 190円**という高い効率を実現しました。後半、さらに「ABテスト」等で内製改善を続けましたが、市場縮小期にはリターゲティングなどで「刈り取り」を強化しても良かったかもしれません。
### 6位〜7位（挑戦的なミッションと次へのヒント）
* **G07 山田 タカヒロ 氏（6位）：** 前半はコンテンツ型らしく、動画や記事、レビュー強化に徹底投資しました。ただ、市場が停滞し始めたT5で「SEO強化・広告出稿拡大」と攻めの投資を行い、T6で「広告精査・入札最適化」と引き締める形になりました。この**投資と引き締めのタイミングが、市場環境（T3〜T4がピーク）と1〜2ターン前後した点**が、利益成長率を少し抑える要因になったと考えられます。
* **G05 藤井 保 氏（7位・M10｜激戦区：上級）：**
上級難易度「激戦区」への果敢な挑戦、お疲れ様でした！利益成長率こそマイナス表示ですが、**最終利益31万、売上57万をしっかり残しているのは、激戦区の初期環境を考えれば健闘といえます**。
改善のポイントとしては、競合のUX改善（離脱増加）が始まったT4〜T5のタイミングで「広告精査」や「リターゲティング」など広告費がかさむ施策が多くなり、CPAが2,013円まで高騰してしまった点です。激戦区だからこそ、前半（T1〜T2）に「セット販売」や「会員化」を盛り込み、客単価（AOV）を先んじて上げておく戦略が有効だったかもしれません。
## 4. 市場環境の変化と施策選択の関係（答え合わせ）
今回の市場変化に対して、どのような意思決定がベストだったのかをタイムラインで整理します。
```
【市場の波】  拡大・季節需要（T1〜T3）  ───&gt;  競合台頭・市場停滞（T4〜T6）
【推奨方針】  「器の準備」＋「攻めの集客」  ───&gt;  「効率化（CPA抑制）」＋「既存顧客維持」
```
* **前半（T1〜T3）：** 一般流入・広告流入が自然と増えるボーナスタイム。ここでG04谷氏やG03横浦氏のように「サイト内改善（CVR向上）」を終えた上で集客を掛け算したプレイヤーが、大きな先行利益を得ました。
* **後半（T4〜T6）：** 競合のUX改善による離脱増、市場停滞による流入減というダブルパンチ。ここで広告を闇雲に広げるとCPAが高騰します。G06江尻氏の「広告精査・入札最適化」や、G04谷氏の「会員制度導入」のように、**「効率よく刈り取る」「リピートを狙う」施策にシフトできたか**が後半の防御力に直結しました。
## 5. 特に学びになる意思決定（ベストプラクティス）
&gt; ### 💡 ピックアップ：G04 谷氏の「引き出しの多さ」と「タイミング」
&gt; 谷氏はT2でサイト内の「導線×レビュー」を改善し、T3の季節需要ピークに合わせて「キャンペーン×メルマガ」で既存・新規の双方から売上を最大化させました。そして市場が冷え込む一歩手前（T4）で「モバイル最適化」、停滞期（T5）に「入札最適化」と、**市場の一手先を読んだバランスの良い配置**をしていました。「今、自社に必要なのは認知か、CVRか、客単価か、リピートか」を市場環境と照らし合わせる、良いお手本です。
## 6. 次回プレイへのアドバイス
次回、さらに高いスコア（あるいは高難易度ミッションの攻略）を目指すための3つのポイントです。
1. **「組み合わせ効果」を狙った仮説構築**
単発の施策だけでなく、「SEO（集客）× LP（受け皿）」「メルマガ（告知）× キャンペーン（場）」のように、**ユーザーの行動導線がつながる2枚の組み合わせ**を意識してみましょう。
2. **市場トレンドの一歩先を予測する**
「トレンド効果」の数字を見てから動くと、施策が反映される頃には市場が次のフェーズに移っていることがあります。「次のターンで市場が縮むなら、今から顧客を囲い込もう（会員化・LINE）」というように、予測に基づいた先行投資が勝利の鍵です。
3. **ミッションの「弱み」を補うロードマップ**
「広告依存型」なら前半で広告以外からの流入経路を作る、「激戦区」ならCPA高騰に耐えられるようにLTV（セット販売・定期購入など）をあらかじめ上げておくなど、ミッション特有の弱点を1〜2ターン目に補強する動きを意識すると、中上級ミッションの突破口が見えてきます。
皆様それぞれの強みとこだわりが見えた、学びの多い一戦でした。今回の気づきをぜひ次回の意思決定に活かしてください！</t>
  </si>
  <si>
    <t>compare_key</t>
  </si>
  <si>
    <t>group_id</t>
  </si>
  <si>
    <t>sum_id</t>
  </si>
  <si>
    <t>target_role</t>
  </si>
  <si>
    <t>sum_type</t>
  </si>
  <si>
    <t>member_id</t>
  </si>
  <si>
    <t>display_name</t>
  </si>
  <si>
    <t>mission_id</t>
  </si>
  <si>
    <t>trend_id</t>
  </si>
  <si>
    <t>tc_id</t>
  </si>
  <si>
    <t>skill_id</t>
  </si>
  <si>
    <t>action_1</t>
  </si>
  <si>
    <t>action_2</t>
  </si>
  <si>
    <t>gi</t>
  </si>
  <si>
    <t>ai</t>
  </si>
  <si>
    <t>bounce</t>
  </si>
  <si>
    <t>browse</t>
  </si>
  <si>
    <t>cvr</t>
  </si>
  <si>
    <t>aov</t>
  </si>
  <si>
    <t>cpc</t>
  </si>
  <si>
    <t>sales</t>
  </si>
  <si>
    <t>ad_cost</t>
  </si>
  <si>
    <t>profit</t>
  </si>
  <si>
    <t>roas</t>
  </si>
  <si>
    <t>rank</t>
  </si>
  <si>
    <t>rank_display</t>
  </si>
  <si>
    <t>growth_rate</t>
  </si>
  <si>
    <t>T0_G00_M_SUM</t>
  </si>
  <si>
    <t>G00</t>
  </si>
  <si>
    <t>G00_M_SUM</t>
  </si>
  <si>
    <t>market</t>
  </si>
  <si>
    <t>T0_G01_H_SUM</t>
  </si>
  <si>
    <t>G01</t>
  </si>
  <si>
    <t>G01_H_SUM</t>
  </si>
  <si>
    <t>HUMAN</t>
  </si>
  <si>
    <t>player</t>
  </si>
  <si>
    <t>T0_G02_H_SUM</t>
  </si>
  <si>
    <t>G02</t>
  </si>
  <si>
    <t>G02_H_SUM</t>
  </si>
  <si>
    <t>T0_G03_H_SUM</t>
  </si>
  <si>
    <t>G03</t>
  </si>
  <si>
    <t>G03_H_SUM</t>
  </si>
  <si>
    <t>T0_G04_H_SUM</t>
  </si>
  <si>
    <t>G04</t>
  </si>
  <si>
    <t>G04_H_SUM</t>
  </si>
  <si>
    <t>T0_G05_H_SUM</t>
  </si>
  <si>
    <t>G05</t>
  </si>
  <si>
    <t>G05_H_SUM</t>
  </si>
  <si>
    <t>T0_G06_H_SUM</t>
  </si>
  <si>
    <t>G06</t>
  </si>
  <si>
    <t>G06_H_SUM</t>
  </si>
  <si>
    <t>T0_G07_H_SUM</t>
  </si>
  <si>
    <t>G07</t>
  </si>
  <si>
    <t>G07_H_SUM</t>
  </si>
  <si>
    <t>T0_G08_H_SUM</t>
  </si>
  <si>
    <t>G08</t>
  </si>
  <si>
    <t>G08_H_SUM</t>
  </si>
  <si>
    <t>T0_G09_H_SUM</t>
  </si>
  <si>
    <t>G09</t>
  </si>
  <si>
    <t>G09_H_SUM</t>
  </si>
  <si>
    <t>T0_G10_H_SUM</t>
  </si>
  <si>
    <t>G10</t>
  </si>
  <si>
    <t>G10_H_SUM</t>
  </si>
  <si>
    <t>T0_G11_H_SUM</t>
  </si>
  <si>
    <t>G11</t>
  </si>
  <si>
    <t>G11_H_SUM</t>
  </si>
  <si>
    <t>T0_G12_H_SUM</t>
  </si>
  <si>
    <t>G12</t>
  </si>
  <si>
    <t>G12_H_SUM</t>
  </si>
  <si>
    <t>T1_G00_M_SUM</t>
  </si>
  <si>
    <t>T1_G01_H_SUM</t>
  </si>
  <si>
    <t>T1_G02_H_SUM</t>
  </si>
  <si>
    <t>T1_G03_H_SUM</t>
  </si>
  <si>
    <t>T1_G04_H_SUM</t>
  </si>
  <si>
    <t>T1_G05_H_SUM</t>
  </si>
  <si>
    <t>T1_G06_H_SUM</t>
  </si>
  <si>
    <t>T1_G07_H_SUM</t>
  </si>
  <si>
    <t>T1_G08_H_SUM</t>
  </si>
  <si>
    <t>T1_G09_H_SUM</t>
  </si>
  <si>
    <t>T1_G10_H_SUM</t>
  </si>
  <si>
    <t>T1_G11_H_SUM</t>
  </si>
  <si>
    <t>T1_G12_H_SUM</t>
  </si>
  <si>
    <t>T2_G00_M_SUM</t>
  </si>
  <si>
    <t>T2_G01_H_SUM</t>
  </si>
  <si>
    <t>T2_G02_H_SUM</t>
  </si>
  <si>
    <t>T2_G03_H_SUM</t>
  </si>
  <si>
    <t>T2_G04_H_SUM</t>
  </si>
  <si>
    <t>T2_G05_H_SUM</t>
  </si>
  <si>
    <t>T2_G06_H_SUM</t>
  </si>
  <si>
    <t>T2_G07_H_SUM</t>
  </si>
  <si>
    <t>T2_G08_H_SUM</t>
  </si>
  <si>
    <t>T2_G09_H_SUM</t>
  </si>
  <si>
    <t>T2_G10_H_SUM</t>
  </si>
  <si>
    <t>T2_G11_H_SUM</t>
  </si>
  <si>
    <t>T2_G12_H_SUM</t>
  </si>
  <si>
    <t>T3_G00_M_SUM</t>
  </si>
  <si>
    <t>T3_G01_H_SUM</t>
  </si>
  <si>
    <t>T3_G02_H_SUM</t>
  </si>
  <si>
    <t>T3_G03_H_SUM</t>
  </si>
  <si>
    <t>T3_G04_H_SUM</t>
  </si>
  <si>
    <t>T3_G05_H_SUM</t>
  </si>
  <si>
    <t>T3_G06_H_SUM</t>
  </si>
  <si>
    <t>T3_G07_H_SUM</t>
  </si>
  <si>
    <t>T3_G08_H_SUM</t>
  </si>
  <si>
    <t>T3_G09_H_SUM</t>
  </si>
  <si>
    <t>T3_G10_H_SUM</t>
  </si>
  <si>
    <t>T3_G11_H_SUM</t>
  </si>
  <si>
    <t>T3_G12_H_SUM</t>
  </si>
  <si>
    <t>T4_G00_M_SUM</t>
  </si>
  <si>
    <t>T4_G01_H_SUM</t>
  </si>
  <si>
    <t>T4_G02_H_SUM</t>
  </si>
  <si>
    <t>T4_G03_H_SUM</t>
  </si>
  <si>
    <t>T4_G04_H_SUM</t>
  </si>
  <si>
    <t>T4_G05_H_SUM</t>
  </si>
  <si>
    <t>T4_G06_H_SUM</t>
  </si>
  <si>
    <t>T4_G07_H_SUM</t>
  </si>
  <si>
    <t>T4_G08_H_SUM</t>
  </si>
  <si>
    <t>T4_G09_H_SUM</t>
  </si>
  <si>
    <t>T4_G10_H_SUM</t>
  </si>
  <si>
    <t>T4_G11_H_SUM</t>
  </si>
  <si>
    <t>T4_G12_H_SUM</t>
  </si>
  <si>
    <t>T5_G00_M_SUM</t>
  </si>
  <si>
    <t>T5_G01_H_SUM</t>
  </si>
  <si>
    <t>T5_G02_H_SUM</t>
  </si>
  <si>
    <t>T5_G03_H_SUM</t>
  </si>
  <si>
    <t>T5_G04_H_SUM</t>
  </si>
  <si>
    <t>T5_G05_H_SUM</t>
  </si>
  <si>
    <t>T5_G06_H_SUM</t>
  </si>
  <si>
    <t>T5_G07_H_SUM</t>
  </si>
  <si>
    <t>T5_G08_H_SUM</t>
  </si>
  <si>
    <t>T5_G09_H_SUM</t>
  </si>
  <si>
    <t>T5_G10_H_SUM</t>
  </si>
  <si>
    <t>T5_G11_H_SUM</t>
  </si>
  <si>
    <t>T5_G12_H_SUM</t>
  </si>
  <si>
    <t>T6_G00_M_SUM</t>
  </si>
  <si>
    <t>T6_G01_H_SUM</t>
  </si>
  <si>
    <t>T6_G02_H_SUM</t>
  </si>
  <si>
    <t>T6_G03_H_SUM</t>
  </si>
  <si>
    <t>T6_G04_H_SUM</t>
  </si>
  <si>
    <t>T6_G05_H_SUM</t>
  </si>
  <si>
    <t>T6_G06_H_SUM</t>
  </si>
  <si>
    <t>T6_G07_H_SUM</t>
  </si>
  <si>
    <t>T6_G08_H_SUM</t>
  </si>
  <si>
    <t>T6_G09_H_SUM</t>
  </si>
  <si>
    <t>T6_G10_H_SUM</t>
  </si>
  <si>
    <t>T6_G11_H_SUM</t>
  </si>
  <si>
    <t>T6_G12_H_SUM</t>
  </si>
  <si>
    <t>group_name</t>
  </si>
  <si>
    <t>memo</t>
  </si>
  <si>
    <t>プレイヤー1</t>
  </si>
  <si>
    <t>active</t>
  </si>
  <si>
    <t>プレイヤー2</t>
  </si>
  <si>
    <t>プレイヤー3</t>
  </si>
  <si>
    <t>プレイヤー4</t>
  </si>
  <si>
    <t>プレイヤー5</t>
  </si>
  <si>
    <t>プレイヤー6</t>
  </si>
  <si>
    <t>プレイヤー7</t>
  </si>
  <si>
    <t>プレイヤー8</t>
  </si>
  <si>
    <t>プレイヤー9</t>
  </si>
  <si>
    <t>プレイヤー10</t>
  </si>
  <si>
    <t>プレイヤー11</t>
  </si>
  <si>
    <t>プレイヤー12</t>
  </si>
  <si>
    <t>challenge_id</t>
  </si>
  <si>
    <t>is_valid_group</t>
  </si>
  <si>
    <t>setup_status</t>
  </si>
  <si>
    <t>scenario_name</t>
  </si>
  <si>
    <t>scenario_difficulty</t>
  </si>
  <si>
    <t>challenge_label</t>
  </si>
  <si>
    <t>mission_label</t>
  </si>
  <si>
    <t>mission_difficulty</t>
  </si>
  <si>
    <t>skill_label</t>
  </si>
  <si>
    <t>activation</t>
  </si>
  <si>
    <t>Q07</t>
  </si>
  <si>
    <t>M10</t>
  </si>
  <si>
    <t>S06</t>
  </si>
  <si>
    <t>completed</t>
  </si>
  <si>
    <t>標準バランス型</t>
  </si>
  <si>
    <t>初級</t>
  </si>
  <si>
    <t>広告運用改善案件</t>
  </si>
  <si>
    <t>激戦区</t>
  </si>
  <si>
    <t>上級</t>
  </si>
  <si>
    <t>広告改善研修</t>
  </si>
  <si>
    <t>Q06</t>
  </si>
  <si>
    <t>M03</t>
  </si>
  <si>
    <t>S02</t>
  </si>
  <si>
    <t>離脱改善案件</t>
  </si>
  <si>
    <t>コンテンツ型</t>
  </si>
  <si>
    <t>初中級</t>
  </si>
  <si>
    <t>UX改善研修</t>
  </si>
  <si>
    <t>Q12</t>
  </si>
  <si>
    <t>M01</t>
  </si>
  <si>
    <t>S01</t>
  </si>
  <si>
    <t>新規顧客獲得改善案件</t>
  </si>
  <si>
    <t>新規立ち上げ</t>
  </si>
  <si>
    <t>中級</t>
  </si>
  <si>
    <t>広告運用研修</t>
  </si>
  <si>
    <t>Q01</t>
  </si>
  <si>
    <t>集客改善案件</t>
  </si>
  <si>
    <t>S03</t>
  </si>
  <si>
    <t>コンテンツ戦略研修</t>
  </si>
  <si>
    <t>Q15</t>
  </si>
  <si>
    <t>M12</t>
  </si>
  <si>
    <t>サイト改善推進案件</t>
  </si>
  <si>
    <t>バランス型</t>
  </si>
  <si>
    <t>M02</t>
  </si>
  <si>
    <t>広告依存型</t>
  </si>
  <si>
    <t>タイムスタンプ</t>
  </si>
  <si>
    <t>log_type</t>
  </si>
  <si>
    <t xml:space="preserve">turn </t>
  </si>
  <si>
    <t xml:space="preserve">  group_id  </t>
  </si>
  <si>
    <t>role</t>
  </si>
  <si>
    <t xml:space="preserve">  action_1  </t>
  </si>
  <si>
    <t xml:space="preserve">  action_2  </t>
  </si>
  <si>
    <t xml:space="preserve">  ai_action_1  </t>
  </si>
  <si>
    <t xml:space="preserve">ai_action_2  </t>
  </si>
  <si>
    <t xml:space="preserve">  ai  </t>
  </si>
  <si>
    <t xml:space="preserve">  bounce  </t>
  </si>
  <si>
    <t xml:space="preserve">  browse  </t>
  </si>
  <si>
    <t xml:space="preserve">cvr  </t>
  </si>
  <si>
    <t xml:space="preserve">  aov  </t>
  </si>
  <si>
    <t xml:space="preserve">cpc  </t>
  </si>
  <si>
    <t>TURN_START</t>
  </si>
  <si>
    <t>HUMAN_ACTION</t>
  </si>
  <si>
    <t>A01</t>
  </si>
  <si>
    <t>A13</t>
  </si>
  <si>
    <t>A05</t>
  </si>
  <si>
    <t>A23</t>
  </si>
  <si>
    <t>A06</t>
  </si>
  <si>
    <t>A11</t>
  </si>
  <si>
    <t>A08</t>
  </si>
  <si>
    <t>A14</t>
  </si>
  <si>
    <t>A02</t>
  </si>
  <si>
    <t>A21</t>
  </si>
  <si>
    <t>TURN_END</t>
  </si>
  <si>
    <t>A10</t>
  </si>
  <si>
    <t>A22</t>
  </si>
  <si>
    <t>A12</t>
  </si>
  <si>
    <t>A09</t>
  </si>
  <si>
    <t>A16</t>
  </si>
  <si>
    <t>A17</t>
  </si>
  <si>
    <t>A24</t>
  </si>
  <si>
    <t>A19</t>
  </si>
  <si>
    <t>A03</t>
  </si>
  <si>
    <t>A07</t>
  </si>
  <si>
    <t>A15</t>
  </si>
  <si>
    <t>A20</t>
  </si>
  <si>
    <t>A18</t>
  </si>
  <si>
    <t>A00</t>
  </si>
  <si>
    <t>A04</t>
  </si>
  <si>
    <t>GM_ACTION</t>
  </si>
  <si>
    <t>GM処理：一手パス</t>
  </si>
  <si>
    <t>name</t>
  </si>
  <si>
    <t>ai_use</t>
  </si>
  <si>
    <t>G01_H</t>
  </si>
  <si>
    <t>奥平 初</t>
  </si>
  <si>
    <t>G01_奥平 初</t>
  </si>
  <si>
    <t>USE</t>
  </si>
  <si>
    <t>G02_H</t>
  </si>
  <si>
    <t>吉田 哲也</t>
  </si>
  <si>
    <t>G02_吉田 哲也</t>
  </si>
  <si>
    <t>G03_H</t>
  </si>
  <si>
    <t>横浦 玲子</t>
  </si>
  <si>
    <t>G03_横浦 玲子</t>
  </si>
  <si>
    <t>G04_H</t>
  </si>
  <si>
    <t>谷 昭直</t>
  </si>
  <si>
    <t>G04_谷 昭直</t>
  </si>
  <si>
    <t>G05_H</t>
  </si>
  <si>
    <t>藤井 保</t>
  </si>
  <si>
    <t>G05_藤井 保</t>
  </si>
  <si>
    <t>G06_H</t>
  </si>
  <si>
    <t>江尻 俊章</t>
  </si>
  <si>
    <t>G06_江尻 俊章</t>
  </si>
  <si>
    <t>G07_H</t>
  </si>
  <si>
    <t>山田タカヒロ</t>
  </si>
  <si>
    <t>G07_山田タカヒロ</t>
  </si>
  <si>
    <t>market_key</t>
  </si>
  <si>
    <t>trend_label</t>
  </si>
  <si>
    <t>trend_effect_short</t>
  </si>
  <si>
    <t>tc_label</t>
  </si>
  <si>
    <t>tc_effect_short</t>
  </si>
  <si>
    <t>source_type</t>
  </si>
  <si>
    <t>T0_MARKET</t>
  </si>
  <si>
    <t>T00</t>
  </si>
  <si>
    <t>C00</t>
  </si>
  <si>
    <t>manual</t>
  </si>
  <si>
    <t>T1_MARKET</t>
  </si>
  <si>
    <t>T01</t>
  </si>
  <si>
    <t>C01</t>
  </si>
  <si>
    <t>T2_MARKET</t>
  </si>
  <si>
    <t>C03</t>
  </si>
  <si>
    <t>T3_MARKET</t>
  </si>
  <si>
    <t>T03</t>
  </si>
  <si>
    <t>T4_MARKET</t>
  </si>
  <si>
    <t>C04</t>
  </si>
  <si>
    <t>T5_MARKET</t>
  </si>
  <si>
    <t>T04</t>
  </si>
  <si>
    <t>T6_MARKET</t>
  </si>
  <si>
    <t>SCN02_T01</t>
  </si>
  <si>
    <t>SCENARIO</t>
  </si>
  <si>
    <t>SCN02</t>
  </si>
  <si>
    <t>GM画面でシナリオ設定</t>
  </si>
  <si>
    <t>SCN02_T02</t>
  </si>
  <si>
    <t>T02</t>
  </si>
  <si>
    <t>C02</t>
  </si>
  <si>
    <t>SCN02_T03</t>
  </si>
  <si>
    <t>SCN02_T04</t>
  </si>
  <si>
    <t>SCN02_T05</t>
  </si>
  <si>
    <t>SCN02_T06</t>
  </si>
  <si>
    <t>SCN03_T01</t>
  </si>
  <si>
    <t>SCN03_T02</t>
  </si>
  <si>
    <t>SCN03_T03</t>
  </si>
  <si>
    <t>SCN03_T04</t>
  </si>
  <si>
    <t>SCN03_T05</t>
  </si>
  <si>
    <t>SCN03_T06</t>
  </si>
  <si>
    <t>SCN04_T01</t>
  </si>
  <si>
    <t>T04｜市場が停滞し流入が減少</t>
  </si>
  <si>
    <t>GI -1200 / AI -400</t>
  </si>
  <si>
    <t>C01｜競合の広告強化でCPC上昇</t>
  </si>
  <si>
    <t>AI-200 / CPC+5</t>
  </si>
  <si>
    <t>混合圧力型</t>
  </si>
  <si>
    <t>SCN04_T02</t>
  </si>
  <si>
    <t>C03｜自社ブランド向上でCVR改善</t>
  </si>
  <si>
    <t>GI+400 / AI+100 / BR+0.01 / CVR+0.000</t>
  </si>
  <si>
    <t>SCN04_T03</t>
  </si>
  <si>
    <t>T02｜広告競争が激化しCPCが上昇</t>
  </si>
  <si>
    <t>AI -300 / CPC +8</t>
  </si>
  <si>
    <t>C02｜競合の価格攻勢でCVR低下</t>
  </si>
  <si>
    <t>GI-300 / AI-100 / CVR-0.001</t>
  </si>
  <si>
    <t>SCN04_T04</t>
  </si>
  <si>
    <t>C04｜競合UX改善で離脱増加</t>
  </si>
  <si>
    <t>GI-200 / AI-30 / BO+0.02 / BR-0.01 / CVR-0.001</t>
  </si>
  <si>
    <t>SCN04_T05</t>
  </si>
  <si>
    <t>SCN04_T06</t>
  </si>
  <si>
    <t>SCN01_T01</t>
  </si>
  <si>
    <t>T01｜市場が拡大し新規流入が増加</t>
  </si>
  <si>
    <t>GI +1200</t>
  </si>
  <si>
    <t>SCN01_T02</t>
  </si>
  <si>
    <t>SCN01_T03</t>
  </si>
  <si>
    <t>T03｜季節需要で購買意欲が上昇</t>
  </si>
  <si>
    <t>GI +800 / AI +200 / BR +0.01 / CVR +0.001 / AOV +200</t>
  </si>
  <si>
    <t>SCN01_T04</t>
  </si>
  <si>
    <t>SCN01_T05</t>
  </si>
  <si>
    <t>SCN01_T06</t>
  </si>
  <si>
    <t>challenge_name</t>
  </si>
  <si>
    <t>mission_1</t>
  </si>
  <si>
    <t>mission_2</t>
  </si>
  <si>
    <t>mission_3</t>
  </si>
  <si>
    <t>mission_4</t>
  </si>
  <si>
    <t>Q01｜集客改善案件</t>
  </si>
  <si>
    <t>M08</t>
  </si>
  <si>
    <t>M11</t>
  </si>
  <si>
    <t>Q02</t>
  </si>
  <si>
    <t>成果転換改善案件</t>
  </si>
  <si>
    <t>Q02｜成果転換改善案件</t>
  </si>
  <si>
    <t>M07</t>
  </si>
  <si>
    <t>M09</t>
  </si>
  <si>
    <t>Q03</t>
  </si>
  <si>
    <t>広告効率改善案件</t>
  </si>
  <si>
    <t>Q03｜広告効率改善案件</t>
  </si>
  <si>
    <t>M05</t>
  </si>
  <si>
    <t>Q04</t>
  </si>
  <si>
    <t>サイト回遊改善案件</t>
  </si>
  <si>
    <t>Q04｜サイト回遊改善案件</t>
  </si>
  <si>
    <t>M06</t>
  </si>
  <si>
    <t>Q05</t>
  </si>
  <si>
    <t>客単価改善案件</t>
  </si>
  <si>
    <t>Q05｜客単価改善案件</t>
  </si>
  <si>
    <t>M04</t>
  </si>
  <si>
    <t>Q06｜離脱改善案件</t>
  </si>
  <si>
    <t>Q07｜広告運用改善案件</t>
  </si>
  <si>
    <t>Q08</t>
  </si>
  <si>
    <t>リピーター育成案件</t>
  </si>
  <si>
    <t>Q08｜リピーター育成案件</t>
  </si>
  <si>
    <t>Q09</t>
  </si>
  <si>
    <t>売上成長案件</t>
  </si>
  <si>
    <t>Q09｜売上成長案件</t>
  </si>
  <si>
    <t>Q10</t>
  </si>
  <si>
    <t>競争力改善案件</t>
  </si>
  <si>
    <t>Q10｜競争力改善案件</t>
  </si>
  <si>
    <t>Q11</t>
  </si>
  <si>
    <t>価格競争改善案件</t>
  </si>
  <si>
    <t>Q11｜価格競争改善案件</t>
  </si>
  <si>
    <t>Q12｜新規顧客獲得改善案件</t>
  </si>
  <si>
    <t>Q13</t>
  </si>
  <si>
    <t>利益改善案件</t>
  </si>
  <si>
    <t>Q13｜利益改善案件</t>
  </si>
  <si>
    <t>Q14</t>
  </si>
  <si>
    <t>成長再加速案件</t>
  </si>
  <si>
    <t>Q14｜成長再加速案件</t>
  </si>
  <si>
    <t>Q15｜サイト改善推進案件</t>
  </si>
  <si>
    <t>Q16</t>
  </si>
  <si>
    <t>単価改善案件</t>
  </si>
  <si>
    <t>Q16｜単価改善案件</t>
  </si>
  <si>
    <t>Q17</t>
  </si>
  <si>
    <t>Q17｜成果転換改善案件</t>
  </si>
  <si>
    <t>Q18</t>
  </si>
  <si>
    <t>集客基盤改善案件</t>
  </si>
  <si>
    <t>Q18｜集客基盤改善案件</t>
  </si>
  <si>
    <t>Q19</t>
  </si>
  <si>
    <t>競争環境対応案件</t>
  </si>
  <si>
    <t>Q19｜競争環境対応案件</t>
  </si>
  <si>
    <t>Q20</t>
  </si>
  <si>
    <t>収益構造改善案件</t>
  </si>
  <si>
    <t>Q20｜収益構造改善案件</t>
  </si>
  <si>
    <t>mission_name</t>
  </si>
  <si>
    <t>general_inflow</t>
  </si>
  <si>
    <t>ad_inflow</t>
  </si>
  <si>
    <t>objective</t>
  </si>
  <si>
    <t>mod_general_inflow</t>
  </si>
  <si>
    <t>mod_ad_inflow</t>
  </si>
  <si>
    <t>mod_bounce</t>
  </si>
  <si>
    <t>mod_browse</t>
  </si>
  <si>
    <t>mod_cvr</t>
  </si>
  <si>
    <t>mod_aov</t>
  </si>
  <si>
    <t>mod_cpc</t>
  </si>
  <si>
    <t>difficulty</t>
  </si>
  <si>
    <t>M01｜新規立ち上げ</t>
  </si>
  <si>
    <t>売上立ち上げ・拡大</t>
  </si>
  <si>
    <t>M02｜広告依存型</t>
  </si>
  <si>
    <t>CPA改善・効率化</t>
  </si>
  <si>
    <t>M03｜コンテンツ型</t>
  </si>
  <si>
    <t>CVR向上・最適化</t>
  </si>
  <si>
    <t>ブランド強化</t>
  </si>
  <si>
    <t>M04｜ブランド強化</t>
  </si>
  <si>
    <t>AOV向上・価値強化</t>
  </si>
  <si>
    <t>価格競争型</t>
  </si>
  <si>
    <t>M05｜価格競争型</t>
  </si>
  <si>
    <t>利益改善・最適化</t>
  </si>
  <si>
    <t>リピーター重視</t>
  </si>
  <si>
    <t>M06｜リピーター重視</t>
  </si>
  <si>
    <t>LTV向上・関係強化</t>
  </si>
  <si>
    <t>改善停滞</t>
  </si>
  <si>
    <t>M07｜改善停滞</t>
  </si>
  <si>
    <t>構造改善・全体最適化</t>
  </si>
  <si>
    <t>急成長</t>
  </si>
  <si>
    <t>M08｜急成長</t>
  </si>
  <si>
    <t>利益維持・成長制御</t>
  </si>
  <si>
    <t>高単価</t>
  </si>
  <si>
    <t>M09｜高単価</t>
  </si>
  <si>
    <t>CVR改善・検討短縮</t>
  </si>
  <si>
    <t>M10｜激戦区</t>
  </si>
  <si>
    <t>差別化強化・競争優位</t>
  </si>
  <si>
    <t>大量販売</t>
  </si>
  <si>
    <t>M11｜大量販売</t>
  </si>
  <si>
    <t>売上拡大・効率改善</t>
  </si>
  <si>
    <t>最難関</t>
  </si>
  <si>
    <t>M12｜バランス型</t>
  </si>
  <si>
    <t>安定成長・バランス最適化</t>
  </si>
  <si>
    <t>strategy_type</t>
  </si>
  <si>
    <t>skill_name</t>
  </si>
  <si>
    <t>増強</t>
  </si>
  <si>
    <t>S05</t>
  </si>
  <si>
    <t>CRM戦略研修</t>
  </si>
  <si>
    <t>補強</t>
  </si>
  <si>
    <t>S07</t>
  </si>
  <si>
    <t>UX基礎研修</t>
  </si>
  <si>
    <t>バランス</t>
  </si>
  <si>
    <t>S10</t>
  </si>
  <si>
    <t>CRM基礎研修</t>
  </si>
  <si>
    <t>S08</t>
  </si>
  <si>
    <t>コンテンツ基礎研修</t>
  </si>
  <si>
    <t>S04</t>
  </si>
  <si>
    <t>商品設計研修</t>
  </si>
  <si>
    <t>S09</t>
  </si>
  <si>
    <t>商品改善研修</t>
  </si>
  <si>
    <t>action_id</t>
  </si>
  <si>
    <t>action_name</t>
  </si>
  <si>
    <t>action_label</t>
  </si>
  <si>
    <t>group_code</t>
  </si>
  <si>
    <t>category</t>
  </si>
  <si>
    <t>cost</t>
  </si>
  <si>
    <t>description</t>
  </si>
  <si>
    <t>side_effect</t>
  </si>
  <si>
    <t>synergy_text</t>
  </si>
  <si>
    <t>main_kpi</t>
  </si>
  <si>
    <t>effect_text</t>
  </si>
  <si>
    <t>effect_short</t>
  </si>
  <si>
    <t>パス</t>
  </si>
  <si>
    <t>A00｜パス</t>
  </si>
  <si>
    <t>Z</t>
  </si>
  <si>
    <t>このターンは施策を実行しない。コスト0、効果0。</t>
  </si>
  <si>
    <t>なし</t>
  </si>
  <si>
    <t>効果なし</t>
  </si>
  <si>
    <t>効果0</t>
  </si>
  <si>
    <t>SEO強化</t>
  </si>
  <si>
    <t>A01｜SEO強化</t>
  </si>
  <si>
    <t>A</t>
  </si>
  <si>
    <t>集客</t>
  </si>
  <si>
    <t>商品ページの検索キーワードを最適化する／比較記事やSEO記事を追加する／内部リンク構造を整理する</t>
  </si>
  <si>
    <t>成果が出るまで時間がかかる／継続的な記事更新コストが発生する</t>
  </si>
  <si>
    <t>A13（LP改善）→一般流入+500/CVR+0.001／A25（AI検索最適化）→一般流入+300</t>
  </si>
  <si>
    <t>GI</t>
  </si>
  <si>
    <t>↑ GI</t>
  </si>
  <si>
    <t>GI+1000</t>
  </si>
  <si>
    <t>SNS運用強化</t>
  </si>
  <si>
    <t>A02｜SNS運用強化</t>
  </si>
  <si>
    <t>Instagramで商品紹介投稿を増やす／Xでキャンペーン情報を発信する／UGC投稿を活用して拡散を促進する</t>
  </si>
  <si>
    <t>継続運用の負荷が高い／流入品質が不安定になりやすい</t>
  </si>
  <si>
    <t>A11（記事コンテンツ追加）→一般流入+300/回遊+0.03/CVR+0.0005</t>
  </si>
  <si>
    <t>GI / BR</t>
  </si>
  <si>
    <t>↑ GI BR</t>
  </si>
  <si>
    <t>GI+1000 / BR+0.01</t>
  </si>
  <si>
    <t>広告出稿拡大</t>
  </si>
  <si>
    <t>A03｜広告出稿拡大</t>
  </si>
  <si>
    <t>リスティング広告の予算を増額する／新しい広告媒体へ出稿する／高CVキーワードへ入札を集中する</t>
  </si>
  <si>
    <t>広告費が急増する／CPAが悪化する可能性がある</t>
  </si>
  <si>
    <t>A21（広告精査）→広告流入+500/CVR+0.0005/CPC-5</t>
  </si>
  <si>
    <t>AdI / CPC</t>
  </si>
  <si>
    <t>↓ CPC / ↑ AdI</t>
  </si>
  <si>
    <t>AdI+1500 / CPC+10</t>
  </si>
  <si>
    <t>インフルエンサー施策</t>
  </si>
  <si>
    <t>A04｜インフルエンサー施策</t>
  </si>
  <si>
    <t>インフルエンサーへ商品レビューを依頼する／SNSタイアップ投稿を実施する／レビュー動画を拡散する</t>
  </si>
  <si>
    <t>効果が一時的になりやすい／ブランドイメージに影響する可能性がある</t>
  </si>
  <si>
    <t>A10（レビュー強化）→一般流入+200/回遊+0.02/CVR+0.0005</t>
  </si>
  <si>
    <t>GI / BR / CVR</t>
  </si>
  <si>
    <t>↑ GI BR CVR</t>
  </si>
  <si>
    <t>GI+800 / BR+0.01 / CVR+0.000</t>
  </si>
  <si>
    <t>ファーストビュー改善</t>
  </si>
  <si>
    <t>A05｜ファーストビュー改善</t>
  </si>
  <si>
    <t>B</t>
  </si>
  <si>
    <t>UX</t>
  </si>
  <si>
    <t>ファーストビューの訴求文を改善する／CTAボタンを目立つ位置へ変更する／商品価値を伝える画像へ差し替える</t>
  </si>
  <si>
    <t>期待値が上がりすぎる可能性がある／デザイン変更コストが発生する</t>
  </si>
  <si>
    <t>A14（フォーム改善）→離脱-0.03/CVR+0.0015／A27（AIチャット接客）→離脱-0.02/CVR+0.0005</t>
  </si>
  <si>
    <t>BO / CVR</t>
  </si>
  <si>
    <t>↑ BO CVR</t>
  </si>
  <si>
    <t>BO-0.05 / CVR+0.001</t>
  </si>
  <si>
    <t>導線改善</t>
  </si>
  <si>
    <t>A06｜導線改善</t>
  </si>
  <si>
    <t>商品ページへの導線を短縮する／関連商品リンクを増やす／カテゴリ構造を整理する</t>
  </si>
  <si>
    <t>導線が複雑になる可能性がある／回遊過多でCVが遅れる場合がある</t>
  </si>
  <si>
    <t>A10（レビュー強化）→離脱-0.02/回遊+0.03/CVR+0.0005／A27（AIチャット接客）→回遊+0.01/CVR+0.0005</t>
  </si>
  <si>
    <t>BO / BR</t>
  </si>
  <si>
    <t>↑ BO BR</t>
  </si>
  <si>
    <t>BO-0.03 / BR+0.03</t>
  </si>
  <si>
    <t>モバイル最適化</t>
  </si>
  <si>
    <t>A07｜モバイル最適化</t>
  </si>
  <si>
    <t>スマホUIを最適化する／タップ領域を改善する／縦スクロール設計を見直す</t>
  </si>
  <si>
    <t>開発負荷が増加する／PC表示との整合性が崩れる場合がある</t>
  </si>
  <si>
    <t>A27（AIチャット接客）→離脱-0.02/CVR+0.0005</t>
  </si>
  <si>
    <t>BO-0.04 / CVR+0.001</t>
  </si>
  <si>
    <t>ページ速度改善</t>
  </si>
  <si>
    <t>A08｜ページ速度改善</t>
  </si>
  <si>
    <t>画像圧縮を行う／不要スクリプトを削減する／キャッシュ設定を最適化する</t>
  </si>
  <si>
    <t>機能制限が発生する可能性がある／技術対応コストが発生する</t>
  </si>
  <si>
    <t>A07（モバイル最適化）→離脱-0.02/回遊+0.01</t>
  </si>
  <si>
    <t>BO-0.02 / BR+0.01</t>
  </si>
  <si>
    <t>セット販売の導入</t>
  </si>
  <si>
    <t>A09｜セット販売の導入</t>
  </si>
  <si>
    <t>C</t>
  </si>
  <si>
    <t>コンテンツ</t>
  </si>
  <si>
    <t>関連商品のセット販売を提案する／まとめ買い割引を導入する／商品ページで組み合わせ提案を行う</t>
  </si>
  <si>
    <t>在庫管理が複雑化する／単品購入率が低下する可能性がある</t>
  </si>
  <si>
    <t>A26（AIレコメンド）→CVR+0.0005/AOV+100／A28（在庫最適化）→CVR+0.0005/AOV+100</t>
  </si>
  <si>
    <t>BR / CVR / AOV</t>
  </si>
  <si>
    <t>↑ BR CVR AOV</t>
  </si>
  <si>
    <t>BR+0.01 / CVR+0.000 / AOV+400</t>
  </si>
  <si>
    <t>レビュー強化</t>
  </si>
  <si>
    <t>A10｜レビュー強化</t>
  </si>
  <si>
    <t>購入者レビューを掲載する／星評価を表示する／写真付きレビューを収集する</t>
  </si>
  <si>
    <t>ネガティブレビューの影響を受ける可能性がある／レビュー管理工数が増加する</t>
  </si>
  <si>
    <t>A19（リターゲティング）→一般流入+200/広告流入+200/回遊+0.02/CVR+0.0005／A26（AIレコメンド）→CVR+0.0005/AOV+100／A30（品質管理強化）→離脱-0.01/CVR+0.0005</t>
  </si>
  <si>
    <t>BR / CVR</t>
  </si>
  <si>
    <t>↑ BR CVR</t>
  </si>
  <si>
    <t>BR+0.01 / CVR+0.001</t>
  </si>
  <si>
    <t>記事コンテンツ追加</t>
  </si>
  <si>
    <t>A11｜記事コンテンツ追加</t>
  </si>
  <si>
    <t>SEO記事を継続的に追加する／比較記事やランキング記事を作成する／検索意図に沿った記事構成へ改善する</t>
  </si>
  <si>
    <t>即効性が低い／継続的な更新工数が発生する</t>
  </si>
  <si>
    <t>A13（LP改善）→回遊+0.02/CVR+0.001／A25（AI検索最適化）→一般流入+300/回遊+0.02／A29（商品情報整備）→回遊+0.02/CVR+0.0005</t>
  </si>
  <si>
    <t>GI+500 / BR+0.03</t>
  </si>
  <si>
    <t>動画コンテンツ導入</t>
  </si>
  <si>
    <t>A12｜動画コンテンツ導入</t>
  </si>
  <si>
    <t>商品動画を掲載する／レビュー動画を制作する／サービス説明動画を導入する</t>
  </si>
  <si>
    <t>制作コストが高い／読み込み速度へ影響する可能性がある</t>
  </si>
  <si>
    <t>A18（LINE施策）→一般流入+200/回遊+0.02/CVR+0.0005/AOV+100</t>
  </si>
  <si>
    <t>BR+0.02 / CVR+0.000</t>
  </si>
  <si>
    <t>LP改善</t>
  </si>
  <si>
    <t>A13｜LP改善</t>
  </si>
  <si>
    <t>D</t>
  </si>
  <si>
    <t>CVR</t>
  </si>
  <si>
    <t>CTA配置を最適化する／購入前の不安解消要素を追加する／訴求内容をターゲット別に調整する</t>
  </si>
  <si>
    <t>訴求過多で信頼性が下がる場合がある／改善には検証と調整が必要</t>
  </si>
  <si>
    <t>A22（ターゲティング改善）→広告流入+300/CVR+0.001/CPC-3／A27（AIチャット接客）→CVR+0.0005</t>
  </si>
  <si>
    <t>BO-0.02 / CVR+0.001</t>
  </si>
  <si>
    <t>フォーム改善</t>
  </si>
  <si>
    <t>A14｜フォーム改善</t>
  </si>
  <si>
    <t>入力項目を削減する／エラー表示を改善する／スマホ入力を最適化する</t>
  </si>
  <si>
    <t>情報不足になる可能性がある／誤入力が増加する可能性がある</t>
  </si>
  <si>
    <t>A05（ファーストビュー改善）→離脱-0.03/CVR+0.0015／A27（AIチャット接客）→離脱-0.02/CVR+0.0005</t>
  </si>
  <si>
    <t>BO-0.01 / CVR+0.001</t>
  </si>
  <si>
    <t>ABテスト</t>
  </si>
  <si>
    <t>A15｜ABテスト</t>
  </si>
  <si>
    <t>複数LPを比較検証する／コピーやデザインを比較する／UI改善案をテストする</t>
  </si>
  <si>
    <t>判断に時間がかかる／検証工数が増加する</t>
  </si>
  <si>
    <t>A23（クリエイティブ改善）→CVR+0.0005/CPC-2</t>
  </si>
  <si>
    <t>限定キャンペーン</t>
  </si>
  <si>
    <t>A16｜限定キャンペーン</t>
  </si>
  <si>
    <t>期間限定割引を実施する／特典キャンペーンを導入する／数量限定販売を行う</t>
  </si>
  <si>
    <t>利益率が低下する／ブランド価値が下がる可能性がある</t>
  </si>
  <si>
    <t>A17（メルマガ強化）→一般流入+300/CVR+0.0015/AOV+200／A26（AIレコメンド）→CVR+0.0005/AOV+100</t>
  </si>
  <si>
    <t>CVR / AOV</t>
  </si>
  <si>
    <t>↑ CVR AOV</t>
  </si>
  <si>
    <t>CVR+0.001 / AOV+100</t>
  </si>
  <si>
    <t>メルマガ強化</t>
  </si>
  <si>
    <t>A17｜メルマガ強化</t>
  </si>
  <si>
    <t>E</t>
  </si>
  <si>
    <t>CRM</t>
  </si>
  <si>
    <t>セグメント別メルマガを配信する／キャンペーン情報を定期送信する／既存顧客向け再訪導線を設計する</t>
  </si>
  <si>
    <t>解除率が上昇する可能性がある／コンテンツ制作負荷が増える</t>
  </si>
  <si>
    <t>A16（限定キャンペーン）→一般流入+300/CVR+0.0015/AOV+200／A26（AIレコメンド）→CVR+0.0005/AOV+100</t>
  </si>
  <si>
    <t>GI / CVR / AOV</t>
  </si>
  <si>
    <t>↑ GI CVR AOV</t>
  </si>
  <si>
    <t>GI+300 / CVR+0.001 / AOV+50</t>
  </si>
  <si>
    <t>LINE施策</t>
  </si>
  <si>
    <t>A18｜LINE施策</t>
  </si>
  <si>
    <t>LINE公式アカウントを運用する／クーポン配信を行う／ステップ配信を設計する</t>
  </si>
  <si>
    <t>ブロック率が上昇する可能性がある／運用設計に工数がかかる</t>
  </si>
  <si>
    <t>A12（動画コンテンツ導入）→一般流入+200/回遊+0.02/CVR+0.0005/AOV+100／A26（AIレコメンド）→CVR+0.0005/AOV+100</t>
  </si>
  <si>
    <t>GI+500 / BR+0.02 / CVR+0.001</t>
  </si>
  <si>
    <t>リターゲティング</t>
  </si>
  <si>
    <t>A19｜リターゲティング</t>
  </si>
  <si>
    <t>追跡広告を配信する／カゴ落ちユーザーへ再配信する／閲覧履歴ベース広告を配信する</t>
  </si>
  <si>
    <t>広告嫌悪感を持たれる可能性がある／広告費が増加しやすい</t>
  </si>
  <si>
    <t>A10（レビュー強化）→一般流入+200/広告流入+200/回遊+0.02/CVR+0.0005／A26（AIレコメンド）→CVR+0.0005/AOV+100</t>
  </si>
  <si>
    <t>AdI / CVR</t>
  </si>
  <si>
    <t>↑ AdI CVR</t>
  </si>
  <si>
    <t>AdI+600 / CVR+0.001</t>
  </si>
  <si>
    <t>会員制度導入</t>
  </si>
  <si>
    <t>A20｜会員制度導入</t>
  </si>
  <si>
    <t>ポイント制度を導入する／ランク制度を設定する／会員限定特典を提供する</t>
  </si>
  <si>
    <t>運用コストが増加する／制度が複雑化する可能性がある</t>
  </si>
  <si>
    <t>A26（AIレコメンド）→CVR+0.0005/AOV+100</t>
  </si>
  <si>
    <t>BR+0.01 / CVR+0.001 / AOV+100</t>
  </si>
  <si>
    <t>広告精査</t>
  </si>
  <si>
    <t>A21｜広告精査</t>
  </si>
  <si>
    <t>F</t>
  </si>
  <si>
    <t>広告最適化</t>
  </si>
  <si>
    <t>成果の低い広告を停止する／無駄キーワードを削除する／媒体配分を見直す</t>
  </si>
  <si>
    <t>流入が減少する可能性がある／機会損失が発生する場合がある</t>
  </si>
  <si>
    <t>A03（広告出稿拡大）→広告流入+500/CVR+0.0005/CPC-5／A24（入札最適化）→広告流入+200/CPC-5</t>
  </si>
  <si>
    <t>AdI / CVR / CPC</t>
  </si>
  <si>
    <t>↑ AdI CVR CPC</t>
  </si>
  <si>
    <t>AdI+300 / CVR+0.001 / CPC-5</t>
  </si>
  <si>
    <t>ターゲティング改善</t>
  </si>
  <si>
    <t>A22｜ターゲティング改善</t>
  </si>
  <si>
    <t>ターゲット属性を見直す／配信セグメントを細分化する／類似オーディエンスを活用する</t>
  </si>
  <si>
    <t>リーチが減少する可能性がある／配信対象が偏る場合がある</t>
  </si>
  <si>
    <t>A13（LP改善）→広告流入+300/CVR+0.001/CPC-3</t>
  </si>
  <si>
    <t>AdI+200 / CVR+0.001 / CPC-3</t>
  </si>
  <si>
    <t>クリエイティブ改善</t>
  </si>
  <si>
    <t>A23｜クリエイティブ改善</t>
  </si>
  <si>
    <t>広告バナーを改善する／訴求コピーを見直す／ABテストで表現を最適化する</t>
  </si>
  <si>
    <t>制作負荷が増加する／効果変動が大きい場合がある</t>
  </si>
  <si>
    <t>A15（ABテスト）→CVR+0.0005/CPC-2</t>
  </si>
  <si>
    <t>BR / CVR / CPC</t>
  </si>
  <si>
    <t>↑ BR CVR CPC</t>
  </si>
  <si>
    <t>BR+0.01 / CVR+0.001 / CPC-2</t>
  </si>
  <si>
    <t>入札最適化</t>
  </si>
  <si>
    <t>A24｜入札最適化</t>
  </si>
  <si>
    <t>入札単価を最適化する／自動入札を活用する／時間帯別に入札調整を行う</t>
  </si>
  <si>
    <t>表示回数が減少する可能性がある／細かい制御が難しくなる</t>
  </si>
  <si>
    <t>A21（広告精査）→広告流入+200/CPC-5</t>
  </si>
  <si>
    <t>CPC</t>
  </si>
  <si>
    <t>↑ CVR ↓ CPC</t>
  </si>
  <si>
    <t>CVR+0.0003 / CPC-10</t>
  </si>
  <si>
    <t>A25</t>
  </si>
  <si>
    <t>AI検索最適化</t>
  </si>
  <si>
    <t>A25｜AI検索最適化</t>
  </si>
  <si>
    <t>AI施策</t>
  </si>
  <si>
    <t>生成AI検索を意識したFAQ・構造化データ・要約コンテンツを整備する／AIを活用して記事作成を効率化する／AIに引用されやすい情報設計を行う</t>
  </si>
  <si>
    <t>データ不足では効果が限定される／AIの提案を鵜呑みにすると品質が低下する可能性がある／最終判断は人が行う必要がある</t>
  </si>
  <si>
    <t>A01（SEO強化）→一般流入+300／A11（記事コンテンツ追加）→一般流入+300・回遊+0.02</t>
  </si>
  <si>
    <t>GI+400 / BR+0.02 / CVR+0.001</t>
  </si>
  <si>
    <t>A26</t>
  </si>
  <si>
    <t>AIレコメンド</t>
  </si>
  <si>
    <t>A26｜AIレコメンド</t>
  </si>
  <si>
    <t>AIによる商品レコメンドを導入する／閲覧履歴や購入履歴を分析して最適な商品を提案する／メールやサイト内表示を自動最適化する</t>
  </si>
  <si>
    <t>学習データが少ないと精度が低下する／提案内容を定期的に見直す必要がある／最終的な販促判断は人が行う</t>
  </si>
  <si>
    <t>A09（セット販売の導入）→CVR+0.0005・AOV+100／A17（メルマガ強化）→CVR+0.0005・AOV+100／A20（会員制度導入）→CVR+0.0005・AOV+100</t>
  </si>
  <si>
    <t>A27</t>
  </si>
  <si>
    <t>AIチャット接客</t>
  </si>
  <si>
    <t>A27｜AIチャット接客</t>
  </si>
  <si>
    <t>AIチャットボットで24時間問い合わせ対応を行う／商品選びを支援する／購入前の疑問を即時に解決する</t>
  </si>
  <si>
    <t>複雑な相談への対応には限界がある／AI回答の確認が必要な場合がある／重要な判断は人が対応する</t>
  </si>
  <si>
    <t>A05（ファーストビュー改善）→離脱-0.02・CVR+0.0005／A13（LP改善）→CVR+0.0005／A14（フォーム改善）→離脱-0.02・CVR+0.0005</t>
  </si>
  <si>
    <t>BO / BR / CVR</t>
  </si>
  <si>
    <t>↑ BO BR CVR</t>
  </si>
  <si>
    <t>BO-0.02 / BR+0.01 / CVR+0.001</t>
  </si>
  <si>
    <t>A28</t>
  </si>
  <si>
    <t>在庫最適化</t>
  </si>
  <si>
    <t>A28｜在庫最適化</t>
  </si>
  <si>
    <t>G</t>
  </si>
  <si>
    <t>運営管理</t>
  </si>
  <si>
    <t>売れ筋商品の欠品を防止する／需要予測をもとに適正在庫を維持する／季節変動を考慮して仕入れ計画を最適化する</t>
  </si>
  <si>
    <t>在庫管理工数が増える／過剰在庫のリスクがある</t>
  </si>
  <si>
    <t>A09（セット販売の導入）→CVR+0.0005/AOV+100／A26（AIレコメンド）→CVR+0.0005/AOV+100</t>
  </si>
  <si>
    <t>BO / CVR / AOV</t>
  </si>
  <si>
    <t>↑ BO CVR AOV</t>
  </si>
  <si>
    <t>BO-0.01 / CVR+0.001 / AOV+100</t>
  </si>
  <si>
    <t>A29</t>
  </si>
  <si>
    <t>商品情報整備</t>
  </si>
  <si>
    <t>A29｜商品情報整備</t>
  </si>
  <si>
    <t>商品情報を充実させる／仕様や比較表を整備する／検索しやすい商品構成へ改善する</t>
  </si>
  <si>
    <t>情報更新の工数が増える／古い情報が残ると信頼を損なう</t>
  </si>
  <si>
    <t>A11（記事コンテンツ追加）→回遊+0.02/CVR+0.0005／A25（AI検索最適化）→一般流入+200/回遊+0.01</t>
  </si>
  <si>
    <t>BR+0.02 / CVR+0.001</t>
  </si>
  <si>
    <t>A30</t>
  </si>
  <si>
    <t>品質管理強化</t>
  </si>
  <si>
    <t>A30｜品質管理強化</t>
  </si>
  <si>
    <t>商品・サービス品質を標準化する／レビューやクレームを分析して改善する／再発防止の仕組みを整える</t>
  </si>
  <si>
    <t>運営コストが増加する／改善効果が見えるまで時間がかかる</t>
  </si>
  <si>
    <t>A10（レビュー強化）→離脱-0.01/CVR+0.0005</t>
  </si>
  <si>
    <t>A31</t>
  </si>
  <si>
    <t>業務効率化</t>
  </si>
  <si>
    <t>A31｜業務効率化</t>
  </si>
  <si>
    <t>受注処理や問い合わせ対応の手順を標準化する／業務フローを見直す／ミスや対応遅れを減らす</t>
  </si>
  <si>
    <t>現場への定着に時間がかかる／標準化しすぎると柔軟な対応が難しくなる</t>
  </si>
  <si>
    <t>A28（在庫最適化）→離脱-0.01/CVR+0.0005／A30（品質管理強化）→離脱-0.01/回遊+0.01</t>
  </si>
  <si>
    <t>BO-0.01 / BR+0.01 / CVR+0.000</t>
  </si>
  <si>
    <t>action_a</t>
  </si>
  <si>
    <t>action_b</t>
  </si>
  <si>
    <t>A01_A13</t>
  </si>
  <si>
    <t>SEO×LP改善で流入と成約が噛み合う</t>
  </si>
  <si>
    <t>A02_A11</t>
  </si>
  <si>
    <t>SNS×コンテンツで回遊が強化</t>
  </si>
  <si>
    <t>A06_A10</t>
  </si>
  <si>
    <t>導線改善×商品説明で購買導線が最適化</t>
  </si>
  <si>
    <t>A05_A14</t>
  </si>
  <si>
    <t>UI改善×フォーム改善でCVR上昇</t>
  </si>
  <si>
    <t>A11_A13</t>
  </si>
  <si>
    <t>コンテンツ×LP改善でCVR強化</t>
  </si>
  <si>
    <t>A13_A22</t>
  </si>
  <si>
    <t>LP改善×ターゲティングでCPA改善</t>
  </si>
  <si>
    <t>A16_A17</t>
  </si>
  <si>
    <t>CRM×キャンペーンで売上増加</t>
  </si>
  <si>
    <t>A12_A18</t>
  </si>
  <si>
    <t>LINE×動画でエンゲージ強化</t>
  </si>
  <si>
    <t>A03_A21</t>
  </si>
  <si>
    <t>広告精査×出稿で効率改善</t>
  </si>
  <si>
    <t>A10_A19</t>
  </si>
  <si>
    <t>レビュー×リターゲで信頼強化</t>
  </si>
  <si>
    <t>A01_A25</t>
  </si>
  <si>
    <t>SEO×AI検索最適化で検索流入を強化</t>
  </si>
  <si>
    <t>A11_A25</t>
  </si>
  <si>
    <t>コンテンツ×AI検索最適化で記事品質と流入を向上</t>
  </si>
  <si>
    <t>A05_A27</t>
  </si>
  <si>
    <t>ファーストビュー×AIチャットで離脱を抑制</t>
  </si>
  <si>
    <t>A13_A27</t>
  </si>
  <si>
    <t>LP改善×AIチャットで購入前の不安を解消</t>
  </si>
  <si>
    <t>A14_A27</t>
  </si>
  <si>
    <t>フォーム改善×AIチャットで入力完了率向上</t>
  </si>
  <si>
    <t>A09_A26</t>
  </si>
  <si>
    <t>セット販売×AIレコメンドで客単価向上</t>
  </si>
  <si>
    <t>A17_A26</t>
  </si>
  <si>
    <t>メルマガ×AIレコメンドで再購入率向上</t>
  </si>
  <si>
    <t>A18_A26</t>
  </si>
  <si>
    <t>LINE×AIレコメンドでパーソナライズ強化</t>
  </si>
  <si>
    <t>A20_A26</t>
  </si>
  <si>
    <t>会員制度×AIレコメンドでLTV向上</t>
  </si>
  <si>
    <t>A09_A28</t>
  </si>
  <si>
    <t>セット販売×在庫最適化で欠品を防ぎ販売機会を最大化</t>
  </si>
  <si>
    <t>A10_A30</t>
  </si>
  <si>
    <t>レビュー×品質管理で顧客満足度を向上</t>
  </si>
  <si>
    <t>A11_A29</t>
  </si>
  <si>
    <t>コンテンツ×商品情報整備で比較しやすく回遊が向上</t>
  </si>
  <si>
    <t>A26_A28</t>
  </si>
  <si>
    <t>AIレコメンド×在庫最適化で欠品を避け最適商品を提案</t>
  </si>
  <si>
    <t>A28_A31</t>
  </si>
  <si>
    <t>在庫最適化×業務効率化で安定した商品提供を実現</t>
  </si>
  <si>
    <t>target</t>
  </si>
  <si>
    <t>S01｜広告運用研修</t>
  </si>
  <si>
    <t>広告</t>
  </si>
  <si>
    <t>strength</t>
  </si>
  <si>
    <t>S02｜UX改善研修</t>
  </si>
  <si>
    <t>S03｜コンテンツ戦略研修</t>
  </si>
  <si>
    <t>S04｜商品設計研修</t>
  </si>
  <si>
    <t>商品</t>
  </si>
  <si>
    <t>S05｜CRM戦略研修</t>
  </si>
  <si>
    <t>S06｜広告改善研修</t>
  </si>
  <si>
    <t>weakness</t>
  </si>
  <si>
    <t>S07｜UX基礎研修</t>
  </si>
  <si>
    <t>S08｜コンテンツ基礎研修</t>
  </si>
  <si>
    <t>S09｜商品改善研修</t>
  </si>
  <si>
    <t>S10｜CRM基礎研修</t>
  </si>
  <si>
    <t>trend_name</t>
  </si>
  <si>
    <t>指定なし</t>
  </si>
  <si>
    <t>市場が拡大し新規流入が増加</t>
  </si>
  <si>
    <t>広告競争が激化しCPCが上昇</t>
  </si>
  <si>
    <t>季節需要で購買意欲が上昇</t>
  </si>
  <si>
    <t>市場が停滞し流入が減少</t>
  </si>
  <si>
    <t>T05</t>
  </si>
  <si>
    <t>比較検討が増えCVRが低下</t>
  </si>
  <si>
    <t>T06</t>
  </si>
  <si>
    <t>ユーザーの関心が高まり回遊が増加</t>
  </si>
  <si>
    <t>T07</t>
  </si>
  <si>
    <t>景気悪化で購買意欲が低下</t>
  </si>
  <si>
    <t>T08</t>
  </si>
  <si>
    <t>セール時期で全体的に改善</t>
  </si>
  <si>
    <t>T09</t>
  </si>
  <si>
    <t>市場競争激化で総合的に悪化</t>
  </si>
  <si>
    <t>T10</t>
  </si>
  <si>
    <t>ブランド需要増で安定成長</t>
  </si>
  <si>
    <t>tc_name</t>
  </si>
  <si>
    <t>競合の広告強化でCPC上昇</t>
  </si>
  <si>
    <t>競合の価格攻勢でCVR低下</t>
  </si>
  <si>
    <t>自社ブランド向上でCVR改善</t>
  </si>
  <si>
    <t>競合UX改善で離脱増加</t>
  </si>
  <si>
    <t>C05</t>
  </si>
  <si>
    <t>自社CRM強化でリピート増</t>
  </si>
  <si>
    <t>C06</t>
  </si>
  <si>
    <t>競合の囲い込みで流入減</t>
  </si>
  <si>
    <t>C07</t>
  </si>
  <si>
    <t>自社コンテンツ改善で回遊増</t>
  </si>
  <si>
    <t>C08</t>
  </si>
  <si>
    <t>競合最適化でCPC上昇</t>
  </si>
  <si>
    <t>C09</t>
  </si>
  <si>
    <t>価格戦略成功でAOV上昇</t>
  </si>
  <si>
    <t>C10</t>
  </si>
  <si>
    <t>競合在庫不足で流入増</t>
  </si>
  <si>
    <t>C11</t>
  </si>
  <si>
    <t>顧客の比較検討期間が長期化</t>
  </si>
  <si>
    <t>C12</t>
  </si>
  <si>
    <t>顧客のレビュー依存が強まる</t>
  </si>
  <si>
    <t>C13</t>
  </si>
  <si>
    <t>顧客のスマホ利用がさらに加速</t>
  </si>
  <si>
    <t>C14</t>
  </si>
  <si>
    <t>顧客の価格感度が急上昇</t>
  </si>
  <si>
    <t>scenario_tr_id</t>
  </si>
  <si>
    <t>scenario_tc_id</t>
  </si>
  <si>
    <t>scenario_turn_key</t>
  </si>
  <si>
    <t>SCN02_T00</t>
  </si>
  <si>
    <t>SCN03_T00</t>
  </si>
  <si>
    <t>SCN04_T00</t>
  </si>
  <si>
    <t>SCN05</t>
  </si>
  <si>
    <t>SCN05_T00</t>
  </si>
  <si>
    <t>SCN05_T01</t>
  </si>
  <si>
    <t>SCN05_T02</t>
  </si>
  <si>
    <t>SCN05_T03</t>
  </si>
  <si>
    <t>SCN05_T04</t>
  </si>
  <si>
    <t>SCN05_T05</t>
  </si>
  <si>
    <t>SCN05_T06</t>
  </si>
  <si>
    <t/>
  </si>
  <si>
    <t>scenario_intent</t>
  </si>
  <si>
    <t>recommended_use</t>
  </si>
  <si>
    <t>市場拡大から競合圧力、後半の市場停滞までを体験する基本シナリオ</t>
  </si>
  <si>
    <t>初回プレイ・標準テスト用</t>
  </si>
  <si>
    <t>広告競争・市場縮小型</t>
  </si>
  <si>
    <t>前半は需要があるが競合広告・価格攻勢が強く、後半は市場停滞で広告頼みの限界を学ぶ</t>
  </si>
  <si>
    <t>広告施策偏重のリスクを学ぶ</t>
  </si>
  <si>
    <t>購買意欲・CRM重視型</t>
  </si>
  <si>
    <t>購買意欲が高い局面で、CVR・AOV・リピート施策をどう活かすかを学ぶ</t>
  </si>
  <si>
    <t>初級〜中級</t>
  </si>
  <si>
    <t>CRM・レビュー・客単価施策の重要性を学ぶ</t>
  </si>
  <si>
    <t>市場停滞、季節需要、競合広告・価格・UX圧力が混在する中で対応力を見る</t>
  </si>
  <si>
    <t>中級〜上級</t>
  </si>
  <si>
    <t>経験者向け・判断力テスト用</t>
  </si>
  <si>
    <t>低成長・守り重視型</t>
  </si>
  <si>
    <t>市場停滞が多く、大きな成長より効率改善と利益防衛が重要になる</t>
  </si>
  <si>
    <t>守りの経営判断・CPA改善を学ぶ</t>
  </si>
  <si>
    <t>G1_H_SUM</t>
  </si>
  <si>
    <t>HUMAN_SUM</t>
  </si>
  <si>
    <t>G1_AI_SUM</t>
  </si>
  <si>
    <t>AI_OPERATOR_SUM</t>
  </si>
  <si>
    <t>AI_OPERATOR</t>
  </si>
  <si>
    <t>G02_AI_SUM</t>
  </si>
  <si>
    <t>G0_MARKET_SUM</t>
  </si>
  <si>
    <t>G0</t>
  </si>
  <si>
    <t>MARKET_SUM</t>
  </si>
  <si>
    <t>G03_AI_SUM</t>
  </si>
  <si>
    <t>G04_AI_SUM</t>
  </si>
  <si>
    <t>G05_AI_SUM</t>
  </si>
  <si>
    <t>G6_H_SUM</t>
  </si>
  <si>
    <t>G6_AI_SUM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</si>
</sst>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yyyy/mm/dd"/>
    <numFmt numFmtId="166" formatCode="m/d/yyyy h:mm:ss"/>
    <numFmt numFmtId="167" formatCode="yyyy/MM/dd H:mm:ss"/>
  </numFmts>
  <fonts count="4">
    <font>
      <sz val="10.0"/>
      <color rgb="FF000000"/>
      <name val="Arial"/>
      <scheme val="minor"/>
    </font>
    <font>
      <b/>
      <color theme="1"/>
      <name val="Arial"/>
      <scheme val="minor"/>
    </font>
    <font>
      <color theme="1"/>
      <name val="Arial"/>
      <scheme val="minor"/>
    </font>
    <font>
      <color theme="1"/>
      <name val="Arial"/>
    </font>
  </fonts>
  <fills count="12">
    <fill>
      <patternFill patternType="none"/>
    </fill>
    <fill>
      <patternFill patternType="lightGray"/>
    </fill>
    <fill>
      <patternFill patternType="solid">
        <fgColor rgb="FFF3F3F3"/>
        <bgColor rgb="FFF3F3F3"/>
      </patternFill>
    </fill>
    <fill>
      <patternFill patternType="solid">
        <fgColor rgb="FFEAD1DC"/>
        <bgColor rgb="FFEAD1DC"/>
      </patternFill>
    </fill>
    <fill>
      <patternFill patternType="solid">
        <fgColor rgb="FFD0E0E3"/>
        <bgColor rgb="FFD0E0E3"/>
      </patternFill>
    </fill>
    <fill>
      <patternFill patternType="solid">
        <fgColor rgb="FFD9EAF7"/>
        <bgColor rgb="FFD9EAF7"/>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EEEEEE"/>
        <bgColor rgb="FFEEEEEE"/>
      </patternFill>
    </fill>
    <fill>
      <patternFill patternType="solid">
        <fgColor rgb="FFF4CCCC"/>
        <bgColor rgb="FFF4CC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2" numFmtId="0" xfId="0" applyAlignment="1" applyFill="1" applyFont="1">
      <alignment readingOrder="0"/>
    </xf>
    <xf borderId="0" fillId="5" fontId="2" numFmtId="0" xfId="0" applyAlignment="1" applyFill="1" applyFont="1">
      <alignment horizontal="center" readingOrder="0"/>
    </xf>
    <xf borderId="0" fillId="2" fontId="2" numFmtId="0" xfId="0" applyAlignment="1" applyFont="1">
      <alignment readingOrder="0"/>
    </xf>
    <xf borderId="0" fillId="3" fontId="2" numFmtId="0" xfId="0" applyAlignment="1" applyFont="1">
      <alignment horizontal="center"/>
    </xf>
    <xf borderId="0" fillId="6" fontId="2" numFmtId="0" xfId="0" applyAlignment="1" applyFill="1" applyFont="1">
      <alignment horizontal="center" readingOrder="0"/>
    </xf>
    <xf borderId="0" fillId="7" fontId="2" numFmtId="0" xfId="0" applyAlignment="1" applyFill="1" applyFont="1">
      <alignment readingOrder="0"/>
    </xf>
    <xf borderId="0" fillId="6" fontId="2" numFmtId="164" xfId="0" applyAlignment="1" applyFont="1" applyNumberFormat="1">
      <alignment horizontal="center" readingOrder="0"/>
    </xf>
    <xf borderId="0" fillId="3" fontId="2" numFmtId="164" xfId="0" applyAlignment="1" applyFont="1" applyNumberFormat="1">
      <alignment horizontal="center"/>
    </xf>
    <xf borderId="0" fillId="8" fontId="2" numFmtId="0" xfId="0" applyAlignment="1" applyFill="1" applyFont="1">
      <alignment readingOrder="0"/>
    </xf>
    <xf borderId="0" fillId="2" fontId="2" numFmtId="0" xfId="0" applyAlignment="1" applyFont="1">
      <alignment horizontal="center" readingOrder="0"/>
    </xf>
    <xf borderId="0" fillId="6" fontId="2" numFmtId="0" xfId="0" applyAlignment="1" applyFont="1">
      <alignment readingOrder="0"/>
    </xf>
    <xf borderId="0" fillId="0" fontId="2" numFmtId="0" xfId="0" applyAlignment="1" applyFont="1">
      <alignment readingOrder="0"/>
    </xf>
    <xf borderId="0" fillId="6" fontId="2" numFmtId="165" xfId="0" applyAlignment="1" applyFont="1" applyNumberFormat="1">
      <alignment horizontal="center" readingOrder="0"/>
    </xf>
    <xf borderId="0" fillId="9" fontId="2" numFmtId="14" xfId="0" applyAlignment="1" applyFill="1" applyFont="1" applyNumberFormat="1">
      <alignment horizontal="center" readingOrder="0"/>
    </xf>
    <xf borderId="0" fillId="3" fontId="2" numFmtId="14" xfId="0" applyAlignment="1" applyFont="1" applyNumberFormat="1">
      <alignment horizontal="center"/>
    </xf>
    <xf borderId="0" fillId="0" fontId="2" numFmtId="0" xfId="0" applyAlignment="1" applyFont="1">
      <alignment horizontal="center"/>
    </xf>
    <xf borderId="0" fillId="10" fontId="1" numFmtId="0" xfId="0" applyAlignment="1" applyFill="1" applyFont="1">
      <alignment horizontal="center" readingOrder="0" vertical="center"/>
    </xf>
    <xf borderId="0" fillId="0" fontId="2" numFmtId="0" xfId="0" applyAlignment="1" applyFont="1">
      <alignment readingOrder="0"/>
    </xf>
    <xf borderId="0" fillId="0" fontId="2" numFmtId="0" xfId="0" applyFont="1"/>
    <xf borderId="0" fillId="0" fontId="2" numFmtId="166" xfId="0" applyAlignment="1" applyFont="1" applyNumberFormat="1">
      <alignment readingOrder="0"/>
    </xf>
    <xf borderId="0" fillId="2" fontId="2" numFmtId="0" xfId="0" applyFont="1"/>
    <xf borderId="0" fillId="2" fontId="2" numFmtId="10" xfId="0" applyAlignment="1" applyFont="1" applyNumberFormat="1">
      <alignment readingOrder="0"/>
    </xf>
    <xf borderId="0" fillId="0" fontId="2" numFmtId="0" xfId="0" applyFont="1"/>
    <xf borderId="0" fillId="0" fontId="2" numFmtId="10" xfId="0" applyFont="1" applyNumberFormat="1"/>
    <xf borderId="0" fillId="0" fontId="2" numFmtId="0" xfId="0" applyAlignment="1" applyFont="1">
      <alignment readingOrder="0"/>
    </xf>
    <xf borderId="0" fillId="11" fontId="2" numFmtId="0" xfId="0" applyAlignment="1" applyFill="1" applyFont="1">
      <alignment readingOrder="0"/>
    </xf>
    <xf borderId="0" fillId="2" fontId="2" numFmtId="167" xfId="0" applyAlignment="1" applyFont="1" applyNumberFormat="1">
      <alignment readingOrder="0"/>
    </xf>
    <xf borderId="0" fillId="2" fontId="2" numFmtId="0" xfId="0" applyAlignment="1" applyFont="1">
      <alignment readingOrder="0"/>
    </xf>
    <xf borderId="0" fillId="2" fontId="2" numFmtId="0" xfId="0" applyAlignment="1" applyFont="1">
      <alignment readingOrder="0"/>
    </xf>
    <xf borderId="0" fillId="0" fontId="2" numFmtId="167" xfId="0" applyAlignment="1" applyFont="1" applyNumberFormat="1">
      <alignment readingOrder="0"/>
    </xf>
    <xf borderId="0" fillId="0" fontId="3" numFmtId="0" xfId="0" applyAlignment="1" applyFont="1">
      <alignment readingOrder="0" vertical="bottom"/>
    </xf>
    <xf borderId="0" fillId="0" fontId="2" numFmtId="165" xfId="0" applyAlignment="1" applyFont="1" applyNumberFormat="1">
      <alignment readingOrder="0"/>
    </xf>
    <xf borderId="0" fillId="0" fontId="2" numFmtId="14" xfId="0" applyAlignment="1" applyFont="1" applyNumberFormat="1">
      <alignment readingOrder="0"/>
    </xf>
    <xf borderId="0" fillId="2" fontId="1" numFmtId="0" xfId="0" applyAlignment="1" applyFont="1">
      <alignment readingOrder="0"/>
    </xf>
    <xf borderId="0" fillId="0" fontId="1" numFmtId="0" xfId="0" applyAlignment="1" applyFont="1">
      <alignment horizontal="center" readingOrder="0"/>
    </xf>
    <xf borderId="0" fillId="0" fontId="3"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41.75"/>
    <col customWidth="1" min="3" max="3" width="27.63"/>
    <col customWidth="1" min="4" max="4" width="35.88"/>
  </cols>
  <sheetData>
    <row r="1">
      <c r="A1" s="1" t="s">
        <v>0</v>
      </c>
      <c r="B1" s="1" t="s">
        <v>1</v>
      </c>
      <c r="C1" s="1" t="s">
        <v>2</v>
      </c>
      <c r="D1" s="2" t="s">
        <v>3</v>
      </c>
    </row>
    <row r="2">
      <c r="A2" s="3" t="s">
        <v>4</v>
      </c>
      <c r="B2" s="4" t="s">
        <v>5</v>
      </c>
      <c r="C2" s="5" t="s">
        <v>6</v>
      </c>
      <c r="D2" s="6" t="str">
        <f t="shared" ref="D2:D16" si="1">B2</f>
        <v>WAIG_MAIN_DB</v>
      </c>
    </row>
    <row r="3">
      <c r="A3" s="3" t="s">
        <v>7</v>
      </c>
      <c r="B3" s="7" t="s">
        <v>8</v>
      </c>
      <c r="C3" s="5" t="s">
        <v>9</v>
      </c>
      <c r="D3" s="6" t="str">
        <f t="shared" si="1"/>
        <v>WEB ANALYTICS IMPROVEMENT GAME</v>
      </c>
    </row>
    <row r="4">
      <c r="A4" s="3" t="s">
        <v>10</v>
      </c>
      <c r="B4" s="4" t="s">
        <v>11</v>
      </c>
      <c r="C4" s="5" t="s">
        <v>12</v>
      </c>
      <c r="D4" s="6" t="str">
        <f t="shared" si="1"/>
        <v>EC</v>
      </c>
    </row>
    <row r="5">
      <c r="A5" s="8" t="s">
        <v>13</v>
      </c>
      <c r="B5" s="9" t="s">
        <v>14</v>
      </c>
      <c r="C5" s="5" t="s">
        <v>15</v>
      </c>
      <c r="D5" s="10" t="str">
        <f t="shared" si="1"/>
        <v>2026.07.08-g04</v>
      </c>
    </row>
    <row r="6">
      <c r="A6" s="8" t="s">
        <v>16</v>
      </c>
      <c r="B6" s="9" t="s">
        <v>17</v>
      </c>
      <c r="C6" s="5" t="s">
        <v>18</v>
      </c>
      <c r="D6" s="10" t="str">
        <f t="shared" si="1"/>
        <v>2026.07.08-db04</v>
      </c>
    </row>
    <row r="7">
      <c r="A7" s="8" t="s">
        <v>19</v>
      </c>
      <c r="B7" s="9" t="s">
        <v>20</v>
      </c>
      <c r="C7" s="5" t="s">
        <v>21</v>
      </c>
      <c r="D7" s="10" t="str">
        <f t="shared" si="1"/>
        <v>2026.07.08-r04</v>
      </c>
    </row>
    <row r="8">
      <c r="A8" s="11" t="s">
        <v>22</v>
      </c>
      <c r="B8" s="9" t="s">
        <v>23</v>
      </c>
      <c r="C8" s="5" t="s">
        <v>24</v>
      </c>
      <c r="D8" s="10" t="str">
        <f t="shared" si="1"/>
        <v>標準版</v>
      </c>
    </row>
    <row r="9">
      <c r="A9" s="11" t="s">
        <v>25</v>
      </c>
      <c r="B9" s="7">
        <v>6.0</v>
      </c>
      <c r="C9" s="5" t="s">
        <v>26</v>
      </c>
      <c r="D9" s="6">
        <f t="shared" si="1"/>
        <v>6</v>
      </c>
    </row>
    <row r="10">
      <c r="A10" s="11" t="s">
        <v>27</v>
      </c>
      <c r="B10" s="7">
        <v>10.0</v>
      </c>
      <c r="C10" s="5" t="s">
        <v>28</v>
      </c>
      <c r="D10" s="6">
        <f t="shared" si="1"/>
        <v>10</v>
      </c>
    </row>
    <row r="11">
      <c r="A11" s="11" t="s">
        <v>29</v>
      </c>
      <c r="B11" s="7">
        <v>2.0</v>
      </c>
      <c r="C11" s="5" t="s">
        <v>30</v>
      </c>
      <c r="D11" s="6">
        <f t="shared" si="1"/>
        <v>2</v>
      </c>
    </row>
    <row r="12">
      <c r="A12" s="11" t="s">
        <v>31</v>
      </c>
      <c r="B12" s="4" t="s">
        <v>32</v>
      </c>
      <c r="C12" s="5" t="s">
        <v>33</v>
      </c>
      <c r="D12" s="6" t="str">
        <f t="shared" si="1"/>
        <v>期待KPIを入力</v>
      </c>
    </row>
    <row r="13">
      <c r="A13" s="11" t="s">
        <v>34</v>
      </c>
      <c r="B13" s="4" t="s">
        <v>35</v>
      </c>
      <c r="C13" s="5" t="s">
        <v>36</v>
      </c>
      <c r="D13" s="6" t="str">
        <f t="shared" si="1"/>
        <v>博士助言</v>
      </c>
    </row>
    <row r="14">
      <c r="A14" s="11" t="s">
        <v>37</v>
      </c>
      <c r="B14" s="12" t="s">
        <v>38</v>
      </c>
      <c r="C14" s="5" t="s">
        <v>39</v>
      </c>
      <c r="D14" s="6" t="str">
        <f t="shared" si="1"/>
        <v>GAS Webアプリ</v>
      </c>
    </row>
    <row r="15">
      <c r="A15" s="11" t="s">
        <v>40</v>
      </c>
      <c r="B15" s="12" t="s">
        <v>38</v>
      </c>
      <c r="C15" s="5" t="s">
        <v>41</v>
      </c>
      <c r="D15" s="6" t="str">
        <f t="shared" si="1"/>
        <v>GAS Webアプリ</v>
      </c>
    </row>
    <row r="16">
      <c r="A16" s="8" t="s">
        <v>42</v>
      </c>
      <c r="B16" s="13" t="s">
        <v>43</v>
      </c>
      <c r="C16" s="14" t="s">
        <v>44</v>
      </c>
      <c r="D16" s="6" t="str">
        <f t="shared" si="1"/>
        <v>WAIG_EC_20260521_TEST01</v>
      </c>
    </row>
    <row r="17">
      <c r="A17" s="8" t="s">
        <v>45</v>
      </c>
      <c r="B17" s="15">
        <v>46144.0</v>
      </c>
      <c r="C17" s="14"/>
      <c r="D17" s="6"/>
    </row>
    <row r="18">
      <c r="A18" s="8" t="s">
        <v>46</v>
      </c>
      <c r="B18" s="7" t="s">
        <v>47</v>
      </c>
      <c r="C18" s="14" t="s">
        <v>48</v>
      </c>
      <c r="D18" s="6" t="str">
        <f t="shared" ref="D18:D28" si="2">B18</f>
        <v>亀井耕ニ</v>
      </c>
    </row>
    <row r="19">
      <c r="A19" s="8" t="s">
        <v>49</v>
      </c>
      <c r="B19" s="7" t="s">
        <v>50</v>
      </c>
      <c r="C19" s="14" t="s">
        <v>51</v>
      </c>
      <c r="D19" s="6" t="str">
        <f t="shared" si="2"/>
        <v>SCN01</v>
      </c>
    </row>
    <row r="20">
      <c r="A20" s="8" t="s">
        <v>52</v>
      </c>
      <c r="B20" s="7">
        <v>9000.0</v>
      </c>
      <c r="C20" s="14" t="s">
        <v>53</v>
      </c>
      <c r="D20" s="6">
        <f t="shared" si="2"/>
        <v>9000</v>
      </c>
    </row>
    <row r="21">
      <c r="A21" s="8" t="s">
        <v>54</v>
      </c>
      <c r="B21" s="7">
        <v>3000.0</v>
      </c>
      <c r="C21" s="14" t="s">
        <v>55</v>
      </c>
      <c r="D21" s="6">
        <f t="shared" si="2"/>
        <v>3000</v>
      </c>
    </row>
    <row r="22">
      <c r="A22" s="8" t="s">
        <v>56</v>
      </c>
      <c r="B22" s="7">
        <v>0.5</v>
      </c>
      <c r="C22" s="14" t="s">
        <v>57</v>
      </c>
      <c r="D22" s="6">
        <f t="shared" si="2"/>
        <v>0.5</v>
      </c>
    </row>
    <row r="23">
      <c r="A23" s="8" t="s">
        <v>58</v>
      </c>
      <c r="B23" s="7">
        <v>1.8</v>
      </c>
      <c r="C23" s="14" t="s">
        <v>59</v>
      </c>
      <c r="D23" s="6">
        <f t="shared" si="2"/>
        <v>1.8</v>
      </c>
    </row>
    <row r="24">
      <c r="A24" s="8" t="s">
        <v>60</v>
      </c>
      <c r="B24" s="7">
        <v>0.012</v>
      </c>
      <c r="C24" s="14" t="s">
        <v>61</v>
      </c>
      <c r="D24" s="6">
        <f t="shared" si="2"/>
        <v>0.012</v>
      </c>
    </row>
    <row r="25">
      <c r="A25" s="8" t="s">
        <v>62</v>
      </c>
      <c r="B25" s="7">
        <v>4500.0</v>
      </c>
      <c r="C25" s="14" t="s">
        <v>63</v>
      </c>
      <c r="D25" s="6">
        <f t="shared" si="2"/>
        <v>4500</v>
      </c>
    </row>
    <row r="26">
      <c r="A26" s="8" t="s">
        <v>64</v>
      </c>
      <c r="B26" s="7">
        <v>40.0</v>
      </c>
      <c r="C26" s="14" t="s">
        <v>65</v>
      </c>
      <c r="D26" s="6">
        <f t="shared" si="2"/>
        <v>40</v>
      </c>
    </row>
    <row r="27">
      <c r="A27" s="5" t="s">
        <v>66</v>
      </c>
      <c r="B27" s="16">
        <v>46163.0</v>
      </c>
      <c r="C27" s="5" t="s">
        <v>67</v>
      </c>
      <c r="D27" s="17">
        <f t="shared" si="2"/>
        <v>46163</v>
      </c>
    </row>
    <row r="28">
      <c r="A28" s="5" t="s">
        <v>68</v>
      </c>
      <c r="B28" s="7" t="s">
        <v>69</v>
      </c>
      <c r="C28" s="5" t="s">
        <v>70</v>
      </c>
      <c r="D28" s="6" t="str">
        <f t="shared" si="2"/>
        <v>KozyWorks</v>
      </c>
    </row>
    <row r="29">
      <c r="B29" s="18"/>
      <c r="D29" s="18"/>
    </row>
    <row r="30">
      <c r="B30" s="18"/>
      <c r="D30" s="18"/>
    </row>
    <row r="31">
      <c r="B31" s="18"/>
      <c r="D31" s="18"/>
    </row>
    <row r="32">
      <c r="B32" s="18"/>
      <c r="D32" s="18"/>
    </row>
    <row r="33">
      <c r="B33" s="18"/>
      <c r="D33" s="18"/>
    </row>
    <row r="34">
      <c r="B34" s="18"/>
      <c r="D34" s="18"/>
    </row>
    <row r="35">
      <c r="B35" s="18"/>
      <c r="D35" s="18"/>
    </row>
    <row r="36">
      <c r="B36" s="18"/>
      <c r="D36" s="18"/>
    </row>
    <row r="37">
      <c r="B37" s="18"/>
      <c r="D37" s="18"/>
    </row>
    <row r="38">
      <c r="B38" s="18"/>
      <c r="D38" s="18"/>
    </row>
    <row r="39">
      <c r="B39" s="18"/>
      <c r="D39" s="18"/>
    </row>
    <row r="40">
      <c r="B40" s="18"/>
      <c r="D40" s="18"/>
    </row>
    <row r="41">
      <c r="B41" s="18"/>
      <c r="D41" s="18"/>
    </row>
    <row r="42">
      <c r="B42" s="18"/>
      <c r="D42" s="18"/>
    </row>
    <row r="43">
      <c r="B43" s="18"/>
      <c r="D43" s="18"/>
    </row>
    <row r="44">
      <c r="B44" s="18"/>
      <c r="D44" s="18"/>
    </row>
    <row r="45">
      <c r="B45" s="18"/>
      <c r="D45" s="18"/>
    </row>
    <row r="46">
      <c r="B46" s="18"/>
      <c r="D46" s="18"/>
    </row>
    <row r="47">
      <c r="B47" s="18"/>
      <c r="D47" s="18"/>
    </row>
    <row r="48">
      <c r="B48" s="18"/>
      <c r="D48" s="18"/>
    </row>
    <row r="49">
      <c r="B49" s="18"/>
      <c r="D49" s="18"/>
    </row>
    <row r="50">
      <c r="B50" s="18"/>
      <c r="D50" s="18"/>
    </row>
    <row r="51">
      <c r="B51" s="18"/>
      <c r="D51" s="18"/>
    </row>
    <row r="52">
      <c r="B52" s="18"/>
      <c r="D52" s="18"/>
    </row>
    <row r="53">
      <c r="B53" s="18"/>
      <c r="D53" s="18"/>
    </row>
    <row r="54">
      <c r="B54" s="18"/>
      <c r="D54" s="18"/>
    </row>
    <row r="55">
      <c r="B55" s="18"/>
      <c r="D55" s="18"/>
    </row>
    <row r="56">
      <c r="B56" s="18"/>
      <c r="D56" s="18"/>
    </row>
    <row r="57">
      <c r="B57" s="18"/>
      <c r="D57" s="18"/>
    </row>
    <row r="58">
      <c r="B58" s="18"/>
      <c r="D58" s="18"/>
    </row>
    <row r="59">
      <c r="B59" s="18"/>
      <c r="D59" s="18"/>
    </row>
    <row r="60">
      <c r="B60" s="18"/>
      <c r="D60" s="18"/>
    </row>
    <row r="61">
      <c r="B61" s="18"/>
      <c r="D61" s="18"/>
    </row>
    <row r="62">
      <c r="B62" s="18"/>
      <c r="D62" s="18"/>
    </row>
    <row r="63">
      <c r="B63" s="18"/>
      <c r="D63" s="18"/>
    </row>
    <row r="64">
      <c r="B64" s="18"/>
      <c r="D64" s="18"/>
    </row>
    <row r="65">
      <c r="B65" s="18"/>
      <c r="D65" s="18"/>
    </row>
    <row r="66">
      <c r="B66" s="18"/>
      <c r="D66" s="18"/>
    </row>
    <row r="67">
      <c r="B67" s="18"/>
      <c r="D67" s="18"/>
    </row>
    <row r="68">
      <c r="B68" s="18"/>
      <c r="D68" s="18"/>
    </row>
    <row r="69">
      <c r="B69" s="18"/>
      <c r="D69" s="18"/>
    </row>
    <row r="70">
      <c r="B70" s="18"/>
      <c r="D70" s="18"/>
    </row>
    <row r="71">
      <c r="B71" s="18"/>
      <c r="D71" s="18"/>
    </row>
    <row r="72">
      <c r="B72" s="18"/>
      <c r="D72" s="18"/>
    </row>
    <row r="73">
      <c r="B73" s="18"/>
      <c r="D73" s="18"/>
    </row>
    <row r="74">
      <c r="B74" s="18"/>
      <c r="D74" s="18"/>
    </row>
    <row r="75">
      <c r="B75" s="18"/>
      <c r="D75" s="18"/>
    </row>
    <row r="76">
      <c r="B76" s="18"/>
      <c r="D76" s="18"/>
    </row>
    <row r="77">
      <c r="B77" s="18"/>
      <c r="D77" s="18"/>
    </row>
    <row r="78">
      <c r="B78" s="18"/>
      <c r="D78" s="18"/>
    </row>
    <row r="79">
      <c r="B79" s="18"/>
      <c r="D79" s="18"/>
    </row>
    <row r="80">
      <c r="B80" s="18"/>
      <c r="D80" s="18"/>
    </row>
    <row r="81">
      <c r="B81" s="18"/>
      <c r="D81" s="18"/>
    </row>
    <row r="82">
      <c r="B82" s="18"/>
      <c r="D82" s="18"/>
    </row>
    <row r="83">
      <c r="B83" s="18"/>
      <c r="D83" s="18"/>
    </row>
    <row r="84">
      <c r="B84" s="18"/>
      <c r="D84" s="18"/>
    </row>
    <row r="85">
      <c r="B85" s="18"/>
      <c r="D85" s="18"/>
    </row>
    <row r="86">
      <c r="B86" s="18"/>
      <c r="D86" s="18"/>
    </row>
    <row r="87">
      <c r="B87" s="18"/>
      <c r="D87" s="18"/>
    </row>
    <row r="88">
      <c r="B88" s="18"/>
      <c r="D88" s="18"/>
    </row>
    <row r="89">
      <c r="B89" s="18"/>
      <c r="D89" s="18"/>
    </row>
    <row r="90">
      <c r="B90" s="18"/>
      <c r="D90" s="18"/>
    </row>
    <row r="91">
      <c r="B91" s="18"/>
      <c r="D91" s="18"/>
    </row>
    <row r="92">
      <c r="B92" s="18"/>
      <c r="D92" s="18"/>
    </row>
    <row r="93">
      <c r="B93" s="18"/>
      <c r="D93" s="18"/>
    </row>
    <row r="94">
      <c r="B94" s="18"/>
      <c r="D94" s="18"/>
    </row>
    <row r="95">
      <c r="B95" s="18"/>
      <c r="D95" s="18"/>
    </row>
    <row r="96">
      <c r="B96" s="18"/>
      <c r="D96" s="18"/>
    </row>
    <row r="97">
      <c r="B97" s="18"/>
      <c r="D97" s="18"/>
    </row>
    <row r="98">
      <c r="B98" s="18"/>
      <c r="D98" s="18"/>
    </row>
    <row r="99">
      <c r="B99" s="18"/>
      <c r="D99" s="18"/>
    </row>
    <row r="100">
      <c r="B100" s="18"/>
      <c r="D100" s="18"/>
    </row>
    <row r="101">
      <c r="B101" s="18"/>
      <c r="D101" s="18"/>
    </row>
    <row r="102">
      <c r="B102" s="18"/>
      <c r="D102" s="18"/>
    </row>
    <row r="103">
      <c r="B103" s="18"/>
      <c r="D103" s="18"/>
    </row>
    <row r="104">
      <c r="B104" s="18"/>
      <c r="D104" s="18"/>
    </row>
    <row r="105">
      <c r="B105" s="18"/>
      <c r="D105" s="18"/>
    </row>
    <row r="106">
      <c r="B106" s="18"/>
      <c r="D106" s="18"/>
    </row>
    <row r="107">
      <c r="B107" s="18"/>
      <c r="D107" s="18"/>
    </row>
    <row r="108">
      <c r="B108" s="18"/>
      <c r="D108" s="18"/>
    </row>
    <row r="109">
      <c r="B109" s="18"/>
      <c r="D109" s="18"/>
    </row>
    <row r="110">
      <c r="B110" s="18"/>
      <c r="D110" s="18"/>
    </row>
    <row r="111">
      <c r="B111" s="18"/>
      <c r="D111" s="18"/>
    </row>
    <row r="112">
      <c r="B112" s="18"/>
      <c r="D112" s="18"/>
    </row>
    <row r="113">
      <c r="B113" s="18"/>
      <c r="D113" s="18"/>
    </row>
    <row r="114">
      <c r="B114" s="18"/>
      <c r="D114" s="18"/>
    </row>
    <row r="115">
      <c r="B115" s="18"/>
      <c r="D115" s="18"/>
    </row>
    <row r="116">
      <c r="B116" s="18"/>
      <c r="D116" s="18"/>
    </row>
    <row r="117">
      <c r="B117" s="18"/>
      <c r="D117" s="18"/>
    </row>
    <row r="118">
      <c r="B118" s="18"/>
      <c r="D118" s="18"/>
    </row>
    <row r="119">
      <c r="B119" s="18"/>
      <c r="D119" s="18"/>
    </row>
    <row r="120">
      <c r="B120" s="18"/>
      <c r="D120" s="18"/>
    </row>
    <row r="121">
      <c r="B121" s="18"/>
      <c r="D121" s="18"/>
    </row>
    <row r="122">
      <c r="B122" s="18"/>
      <c r="D122" s="18"/>
    </row>
    <row r="123">
      <c r="B123" s="18"/>
      <c r="D123" s="18"/>
    </row>
    <row r="124">
      <c r="B124" s="18"/>
      <c r="D124" s="18"/>
    </row>
    <row r="125">
      <c r="B125" s="18"/>
      <c r="D125" s="18"/>
    </row>
    <row r="126">
      <c r="B126" s="18"/>
      <c r="D126" s="18"/>
    </row>
    <row r="127">
      <c r="B127" s="18"/>
      <c r="D127" s="18"/>
    </row>
    <row r="128">
      <c r="B128" s="18"/>
      <c r="D128" s="18"/>
    </row>
    <row r="129">
      <c r="B129" s="18"/>
      <c r="D129" s="18"/>
    </row>
    <row r="130">
      <c r="B130" s="18"/>
      <c r="D130" s="18"/>
    </row>
    <row r="131">
      <c r="B131" s="18"/>
      <c r="D131" s="18"/>
    </row>
    <row r="132">
      <c r="B132" s="18"/>
      <c r="D132" s="18"/>
    </row>
    <row r="133">
      <c r="B133" s="18"/>
      <c r="D133" s="18"/>
    </row>
    <row r="134">
      <c r="B134" s="18"/>
      <c r="D134" s="18"/>
    </row>
    <row r="135">
      <c r="B135" s="18"/>
      <c r="D135" s="18"/>
    </row>
    <row r="136">
      <c r="B136" s="18"/>
      <c r="D136" s="18"/>
    </row>
    <row r="137">
      <c r="B137" s="18"/>
      <c r="D137" s="18"/>
    </row>
    <row r="138">
      <c r="B138" s="18"/>
      <c r="D138" s="18"/>
    </row>
    <row r="139">
      <c r="B139" s="18"/>
      <c r="D139" s="18"/>
    </row>
    <row r="140">
      <c r="B140" s="18"/>
      <c r="D140" s="18"/>
    </row>
    <row r="141">
      <c r="B141" s="18"/>
      <c r="D141" s="18"/>
    </row>
    <row r="142">
      <c r="B142" s="18"/>
      <c r="D142" s="18"/>
    </row>
    <row r="143">
      <c r="B143" s="18"/>
      <c r="D143" s="18"/>
    </row>
    <row r="144">
      <c r="B144" s="18"/>
      <c r="D144" s="18"/>
    </row>
    <row r="145">
      <c r="B145" s="18"/>
      <c r="D145" s="18"/>
    </row>
    <row r="146">
      <c r="B146" s="18"/>
      <c r="D146" s="18"/>
    </row>
    <row r="147">
      <c r="B147" s="18"/>
      <c r="D147" s="18"/>
    </row>
    <row r="148">
      <c r="B148" s="18"/>
      <c r="D148" s="18"/>
    </row>
    <row r="149">
      <c r="B149" s="18"/>
      <c r="D149" s="18"/>
    </row>
    <row r="150">
      <c r="B150" s="18"/>
      <c r="D150" s="18"/>
    </row>
    <row r="151">
      <c r="B151" s="18"/>
      <c r="D151" s="18"/>
    </row>
    <row r="152">
      <c r="B152" s="18"/>
      <c r="D152" s="18"/>
    </row>
    <row r="153">
      <c r="B153" s="18"/>
      <c r="D153" s="18"/>
    </row>
    <row r="154">
      <c r="B154" s="18"/>
      <c r="D154" s="18"/>
    </row>
    <row r="155">
      <c r="B155" s="18"/>
      <c r="D155" s="18"/>
    </row>
    <row r="156">
      <c r="B156" s="18"/>
      <c r="D156" s="18"/>
    </row>
    <row r="157">
      <c r="B157" s="18"/>
      <c r="D157" s="18"/>
    </row>
    <row r="158">
      <c r="B158" s="18"/>
      <c r="D158" s="18"/>
    </row>
    <row r="159">
      <c r="B159" s="18"/>
      <c r="D159" s="18"/>
    </row>
    <row r="160">
      <c r="B160" s="18"/>
      <c r="D160" s="18"/>
    </row>
    <row r="161">
      <c r="B161" s="18"/>
      <c r="D161" s="18"/>
    </row>
    <row r="162">
      <c r="B162" s="18"/>
      <c r="D162" s="18"/>
    </row>
    <row r="163">
      <c r="B163" s="18"/>
      <c r="D163" s="18"/>
    </row>
    <row r="164">
      <c r="B164" s="18"/>
      <c r="D164" s="18"/>
    </row>
    <row r="165">
      <c r="B165" s="18"/>
      <c r="D165" s="18"/>
    </row>
    <row r="166">
      <c r="B166" s="18"/>
      <c r="D166" s="18"/>
    </row>
    <row r="167">
      <c r="B167" s="18"/>
      <c r="D167" s="18"/>
    </row>
    <row r="168">
      <c r="B168" s="18"/>
      <c r="D168" s="18"/>
    </row>
    <row r="169">
      <c r="B169" s="18"/>
      <c r="D169" s="18"/>
    </row>
    <row r="170">
      <c r="B170" s="18"/>
      <c r="D170" s="18"/>
    </row>
    <row r="171">
      <c r="B171" s="18"/>
      <c r="D171" s="18"/>
    </row>
    <row r="172">
      <c r="B172" s="18"/>
      <c r="D172" s="18"/>
    </row>
    <row r="173">
      <c r="B173" s="18"/>
      <c r="D173" s="18"/>
    </row>
    <row r="174">
      <c r="B174" s="18"/>
      <c r="D174" s="18"/>
    </row>
    <row r="175">
      <c r="B175" s="18"/>
      <c r="D175" s="18"/>
    </row>
    <row r="176">
      <c r="B176" s="18"/>
      <c r="D176" s="18"/>
    </row>
    <row r="177">
      <c r="B177" s="18"/>
      <c r="D177" s="18"/>
    </row>
    <row r="178">
      <c r="B178" s="18"/>
      <c r="D178" s="18"/>
    </row>
    <row r="179">
      <c r="B179" s="18"/>
      <c r="D179" s="18"/>
    </row>
    <row r="180">
      <c r="B180" s="18"/>
      <c r="D180" s="18"/>
    </row>
    <row r="181">
      <c r="B181" s="18"/>
      <c r="D181" s="18"/>
    </row>
    <row r="182">
      <c r="B182" s="18"/>
      <c r="D182" s="18"/>
    </row>
    <row r="183">
      <c r="B183" s="18"/>
      <c r="D183" s="18"/>
    </row>
    <row r="184">
      <c r="B184" s="18"/>
      <c r="D184" s="18"/>
    </row>
    <row r="185">
      <c r="B185" s="18"/>
      <c r="D185" s="18"/>
    </row>
    <row r="186">
      <c r="B186" s="18"/>
      <c r="D186" s="18"/>
    </row>
    <row r="187">
      <c r="B187" s="18"/>
      <c r="D187" s="18"/>
    </row>
    <row r="188">
      <c r="B188" s="18"/>
      <c r="D188" s="18"/>
    </row>
    <row r="189">
      <c r="B189" s="18"/>
      <c r="D189" s="18"/>
    </row>
    <row r="190">
      <c r="B190" s="18"/>
      <c r="D190" s="18"/>
    </row>
    <row r="191">
      <c r="B191" s="18"/>
      <c r="D191" s="18"/>
    </row>
    <row r="192">
      <c r="B192" s="18"/>
      <c r="D192" s="18"/>
    </row>
    <row r="193">
      <c r="B193" s="18"/>
      <c r="D193" s="18"/>
    </row>
    <row r="194">
      <c r="B194" s="18"/>
      <c r="D194" s="18"/>
    </row>
    <row r="195">
      <c r="B195" s="18"/>
      <c r="D195" s="18"/>
    </row>
    <row r="196">
      <c r="B196" s="18"/>
      <c r="D196" s="18"/>
    </row>
    <row r="197">
      <c r="B197" s="18"/>
      <c r="D197" s="18"/>
    </row>
    <row r="198">
      <c r="B198" s="18"/>
      <c r="D198" s="18"/>
    </row>
    <row r="199">
      <c r="B199" s="18"/>
      <c r="D199" s="18"/>
    </row>
    <row r="200">
      <c r="B200" s="18"/>
      <c r="D200" s="18"/>
    </row>
    <row r="201">
      <c r="B201" s="18"/>
      <c r="D201" s="18"/>
    </row>
    <row r="202">
      <c r="B202" s="18"/>
      <c r="D202" s="18"/>
    </row>
    <row r="203">
      <c r="B203" s="18"/>
      <c r="D203" s="18"/>
    </row>
    <row r="204">
      <c r="B204" s="18"/>
      <c r="D204" s="18"/>
    </row>
    <row r="205">
      <c r="B205" s="18"/>
      <c r="D205" s="18"/>
    </row>
    <row r="206">
      <c r="B206" s="18"/>
      <c r="D206" s="18"/>
    </row>
    <row r="207">
      <c r="B207" s="18"/>
      <c r="D207" s="18"/>
    </row>
    <row r="208">
      <c r="B208" s="18"/>
      <c r="D208" s="18"/>
    </row>
    <row r="209">
      <c r="B209" s="18"/>
      <c r="D209" s="18"/>
    </row>
    <row r="210">
      <c r="B210" s="18"/>
      <c r="D210" s="18"/>
    </row>
    <row r="211">
      <c r="B211" s="18"/>
      <c r="D211" s="18"/>
    </row>
    <row r="212">
      <c r="B212" s="18"/>
      <c r="D212" s="18"/>
    </row>
    <row r="213">
      <c r="B213" s="18"/>
      <c r="D213" s="18"/>
    </row>
    <row r="214">
      <c r="B214" s="18"/>
      <c r="D214" s="18"/>
    </row>
    <row r="215">
      <c r="B215" s="18"/>
      <c r="D215" s="18"/>
    </row>
    <row r="216">
      <c r="B216" s="18"/>
      <c r="D216" s="18"/>
    </row>
    <row r="217">
      <c r="B217" s="18"/>
      <c r="D217" s="18"/>
    </row>
    <row r="218">
      <c r="B218" s="18"/>
      <c r="D218" s="18"/>
    </row>
    <row r="219">
      <c r="B219" s="18"/>
      <c r="D219" s="18"/>
    </row>
    <row r="220">
      <c r="B220" s="18"/>
      <c r="D220" s="18"/>
    </row>
    <row r="221">
      <c r="B221" s="18"/>
      <c r="D221" s="18"/>
    </row>
    <row r="222">
      <c r="B222" s="18"/>
      <c r="D222" s="18"/>
    </row>
    <row r="223">
      <c r="B223" s="18"/>
      <c r="D223" s="18"/>
    </row>
    <row r="224">
      <c r="B224" s="18"/>
      <c r="D224" s="18"/>
    </row>
    <row r="225">
      <c r="B225" s="18"/>
      <c r="D225" s="18"/>
    </row>
    <row r="226">
      <c r="B226" s="18"/>
      <c r="D226" s="18"/>
    </row>
    <row r="227">
      <c r="B227" s="18"/>
      <c r="D227" s="18"/>
    </row>
    <row r="228">
      <c r="B228" s="18"/>
      <c r="D228" s="18"/>
    </row>
    <row r="229">
      <c r="B229" s="18"/>
      <c r="D229" s="18"/>
    </row>
    <row r="230">
      <c r="B230" s="18"/>
      <c r="D230" s="18"/>
    </row>
    <row r="231">
      <c r="B231" s="18"/>
      <c r="D231" s="18"/>
    </row>
    <row r="232">
      <c r="B232" s="18"/>
      <c r="D232" s="18"/>
    </row>
    <row r="233">
      <c r="B233" s="18"/>
      <c r="D233" s="18"/>
    </row>
    <row r="234">
      <c r="B234" s="18"/>
      <c r="D234" s="18"/>
    </row>
    <row r="235">
      <c r="B235" s="18"/>
      <c r="D235" s="18"/>
    </row>
    <row r="236">
      <c r="B236" s="18"/>
      <c r="D236" s="18"/>
    </row>
    <row r="237">
      <c r="B237" s="18"/>
      <c r="D237" s="18"/>
    </row>
    <row r="238">
      <c r="B238" s="18"/>
      <c r="D238" s="18"/>
    </row>
    <row r="239">
      <c r="B239" s="18"/>
      <c r="D239" s="18"/>
    </row>
    <row r="240">
      <c r="B240" s="18"/>
      <c r="D240" s="18"/>
    </row>
    <row r="241">
      <c r="B241" s="18"/>
      <c r="D241" s="18"/>
    </row>
    <row r="242">
      <c r="B242" s="18"/>
      <c r="D242" s="18"/>
    </row>
    <row r="243">
      <c r="B243" s="18"/>
      <c r="D243" s="18"/>
    </row>
    <row r="244">
      <c r="B244" s="18"/>
      <c r="D244" s="18"/>
    </row>
    <row r="245">
      <c r="B245" s="18"/>
      <c r="D245" s="18"/>
    </row>
    <row r="246">
      <c r="B246" s="18"/>
      <c r="D246" s="18"/>
    </row>
    <row r="247">
      <c r="B247" s="18"/>
      <c r="D247" s="18"/>
    </row>
    <row r="248">
      <c r="B248" s="18"/>
      <c r="D248" s="18"/>
    </row>
    <row r="249">
      <c r="B249" s="18"/>
      <c r="D249" s="18"/>
    </row>
    <row r="250">
      <c r="B250" s="18"/>
      <c r="D250" s="18"/>
    </row>
    <row r="251">
      <c r="B251" s="18"/>
      <c r="D251" s="18"/>
    </row>
    <row r="252">
      <c r="B252" s="18"/>
      <c r="D252" s="18"/>
    </row>
    <row r="253">
      <c r="B253" s="18"/>
      <c r="D253" s="18"/>
    </row>
    <row r="254">
      <c r="B254" s="18"/>
      <c r="D254" s="18"/>
    </row>
    <row r="255">
      <c r="B255" s="18"/>
      <c r="D255" s="18"/>
    </row>
    <row r="256">
      <c r="B256" s="18"/>
      <c r="D256" s="18"/>
    </row>
    <row r="257">
      <c r="B257" s="18"/>
      <c r="D257" s="18"/>
    </row>
    <row r="258">
      <c r="B258" s="18"/>
      <c r="D258" s="18"/>
    </row>
    <row r="259">
      <c r="B259" s="18"/>
      <c r="D259" s="18"/>
    </row>
    <row r="260">
      <c r="B260" s="18"/>
      <c r="D260" s="18"/>
    </row>
    <row r="261">
      <c r="B261" s="18"/>
      <c r="D261" s="18"/>
    </row>
    <row r="262">
      <c r="B262" s="18"/>
      <c r="D262" s="18"/>
    </row>
    <row r="263">
      <c r="B263" s="18"/>
      <c r="D263" s="18"/>
    </row>
    <row r="264">
      <c r="B264" s="18"/>
      <c r="D264" s="18"/>
    </row>
    <row r="265">
      <c r="B265" s="18"/>
      <c r="D265" s="18"/>
    </row>
    <row r="266">
      <c r="B266" s="18"/>
      <c r="D266" s="18"/>
    </row>
    <row r="267">
      <c r="B267" s="18"/>
      <c r="D267" s="18"/>
    </row>
    <row r="268">
      <c r="B268" s="18"/>
      <c r="D268" s="18"/>
    </row>
    <row r="269">
      <c r="B269" s="18"/>
      <c r="D269" s="18"/>
    </row>
    <row r="270">
      <c r="B270" s="18"/>
      <c r="D270" s="18"/>
    </row>
    <row r="271">
      <c r="B271" s="18"/>
      <c r="D271" s="18"/>
    </row>
    <row r="272">
      <c r="B272" s="18"/>
      <c r="D272" s="18"/>
    </row>
    <row r="273">
      <c r="B273" s="18"/>
      <c r="D273" s="18"/>
    </row>
    <row r="274">
      <c r="B274" s="18"/>
      <c r="D274" s="18"/>
    </row>
    <row r="275">
      <c r="B275" s="18"/>
      <c r="D275" s="18"/>
    </row>
    <row r="276">
      <c r="B276" s="18"/>
      <c r="D276" s="18"/>
    </row>
    <row r="277">
      <c r="B277" s="18"/>
      <c r="D277" s="18"/>
    </row>
    <row r="278">
      <c r="B278" s="18"/>
      <c r="D278" s="18"/>
    </row>
    <row r="279">
      <c r="B279" s="18"/>
      <c r="D279" s="18"/>
    </row>
    <row r="280">
      <c r="B280" s="18"/>
      <c r="D280" s="18"/>
    </row>
    <row r="281">
      <c r="B281" s="18"/>
      <c r="D281" s="18"/>
    </row>
    <row r="282">
      <c r="B282" s="18"/>
      <c r="D282" s="18"/>
    </row>
    <row r="283">
      <c r="B283" s="18"/>
      <c r="D283" s="18"/>
    </row>
    <row r="284">
      <c r="B284" s="18"/>
      <c r="D284" s="18"/>
    </row>
    <row r="285">
      <c r="B285" s="18"/>
      <c r="D285" s="18"/>
    </row>
    <row r="286">
      <c r="B286" s="18"/>
      <c r="D286" s="18"/>
    </row>
    <row r="287">
      <c r="B287" s="18"/>
      <c r="D287" s="18"/>
    </row>
    <row r="288">
      <c r="B288" s="18"/>
      <c r="D288" s="18"/>
    </row>
    <row r="289">
      <c r="B289" s="18"/>
      <c r="D289" s="18"/>
    </row>
    <row r="290">
      <c r="B290" s="18"/>
      <c r="D290" s="18"/>
    </row>
    <row r="291">
      <c r="B291" s="18"/>
      <c r="D291" s="18"/>
    </row>
    <row r="292">
      <c r="B292" s="18"/>
      <c r="D292" s="18"/>
    </row>
    <row r="293">
      <c r="B293" s="18"/>
      <c r="D293" s="18"/>
    </row>
    <row r="294">
      <c r="B294" s="18"/>
      <c r="D294" s="18"/>
    </row>
    <row r="295">
      <c r="B295" s="18"/>
      <c r="D295" s="18"/>
    </row>
    <row r="296">
      <c r="B296" s="18"/>
      <c r="D296" s="18"/>
    </row>
    <row r="297">
      <c r="B297" s="18"/>
      <c r="D297" s="18"/>
    </row>
    <row r="298">
      <c r="B298" s="18"/>
      <c r="D298" s="18"/>
    </row>
    <row r="299">
      <c r="B299" s="18"/>
      <c r="D299" s="18"/>
    </row>
    <row r="300">
      <c r="B300" s="18"/>
      <c r="D300" s="18"/>
    </row>
    <row r="301">
      <c r="B301" s="18"/>
      <c r="D301" s="18"/>
    </row>
    <row r="302">
      <c r="B302" s="18"/>
      <c r="D302" s="18"/>
    </row>
    <row r="303">
      <c r="B303" s="18"/>
      <c r="D303" s="18"/>
    </row>
    <row r="304">
      <c r="B304" s="18"/>
      <c r="D304" s="18"/>
    </row>
    <row r="305">
      <c r="B305" s="18"/>
      <c r="D305" s="18"/>
    </row>
    <row r="306">
      <c r="B306" s="18"/>
      <c r="D306" s="18"/>
    </row>
    <row r="307">
      <c r="B307" s="18"/>
      <c r="D307" s="18"/>
    </row>
    <row r="308">
      <c r="B308" s="18"/>
      <c r="D308" s="18"/>
    </row>
    <row r="309">
      <c r="B309" s="18"/>
      <c r="D309" s="18"/>
    </row>
    <row r="310">
      <c r="B310" s="18"/>
      <c r="D310" s="18"/>
    </row>
    <row r="311">
      <c r="B311" s="18"/>
      <c r="D311" s="18"/>
    </row>
    <row r="312">
      <c r="B312" s="18"/>
      <c r="D312" s="18"/>
    </row>
    <row r="313">
      <c r="B313" s="18"/>
      <c r="D313" s="18"/>
    </row>
    <row r="314">
      <c r="B314" s="18"/>
      <c r="D314" s="18"/>
    </row>
    <row r="315">
      <c r="B315" s="18"/>
      <c r="D315" s="18"/>
    </row>
    <row r="316">
      <c r="B316" s="18"/>
      <c r="D316" s="18"/>
    </row>
    <row r="317">
      <c r="B317" s="18"/>
      <c r="D317" s="18"/>
    </row>
    <row r="318">
      <c r="B318" s="18"/>
      <c r="D318" s="18"/>
    </row>
    <row r="319">
      <c r="B319" s="18"/>
      <c r="D319" s="18"/>
    </row>
    <row r="320">
      <c r="B320" s="18"/>
      <c r="D320" s="18"/>
    </row>
    <row r="321">
      <c r="B321" s="18"/>
      <c r="D321" s="18"/>
    </row>
    <row r="322">
      <c r="B322" s="18"/>
      <c r="D322" s="18"/>
    </row>
    <row r="323">
      <c r="B323" s="18"/>
      <c r="D323" s="18"/>
    </row>
    <row r="324">
      <c r="B324" s="18"/>
      <c r="D324" s="18"/>
    </row>
    <row r="325">
      <c r="B325" s="18"/>
      <c r="D325" s="18"/>
    </row>
    <row r="326">
      <c r="B326" s="18"/>
      <c r="D326" s="18"/>
    </row>
    <row r="327">
      <c r="B327" s="18"/>
      <c r="D327" s="18"/>
    </row>
    <row r="328">
      <c r="B328" s="18"/>
      <c r="D328" s="18"/>
    </row>
    <row r="329">
      <c r="B329" s="18"/>
      <c r="D329" s="18"/>
    </row>
    <row r="330">
      <c r="B330" s="18"/>
      <c r="D330" s="18"/>
    </row>
    <row r="331">
      <c r="B331" s="18"/>
      <c r="D331" s="18"/>
    </row>
    <row r="332">
      <c r="B332" s="18"/>
      <c r="D332" s="18"/>
    </row>
    <row r="333">
      <c r="B333" s="18"/>
      <c r="D333" s="18"/>
    </row>
    <row r="334">
      <c r="B334" s="18"/>
      <c r="D334" s="18"/>
    </row>
    <row r="335">
      <c r="B335" s="18"/>
      <c r="D335" s="18"/>
    </row>
    <row r="336">
      <c r="B336" s="18"/>
      <c r="D336" s="18"/>
    </row>
    <row r="337">
      <c r="B337" s="18"/>
      <c r="D337" s="18"/>
    </row>
    <row r="338">
      <c r="B338" s="18"/>
      <c r="D338" s="18"/>
    </row>
    <row r="339">
      <c r="B339" s="18"/>
      <c r="D339" s="18"/>
    </row>
    <row r="340">
      <c r="B340" s="18"/>
      <c r="D340" s="18"/>
    </row>
    <row r="341">
      <c r="B341" s="18"/>
      <c r="D341" s="18"/>
    </row>
    <row r="342">
      <c r="B342" s="18"/>
      <c r="D342" s="18"/>
    </row>
    <row r="343">
      <c r="B343" s="18"/>
      <c r="D343" s="18"/>
    </row>
    <row r="344">
      <c r="B344" s="18"/>
      <c r="D344" s="18"/>
    </row>
    <row r="345">
      <c r="B345" s="18"/>
      <c r="D345" s="18"/>
    </row>
    <row r="346">
      <c r="B346" s="18"/>
      <c r="D346" s="18"/>
    </row>
    <row r="347">
      <c r="B347" s="18"/>
      <c r="D347" s="18"/>
    </row>
    <row r="348">
      <c r="B348" s="18"/>
      <c r="D348" s="18"/>
    </row>
    <row r="349">
      <c r="B349" s="18"/>
      <c r="D349" s="18"/>
    </row>
    <row r="350">
      <c r="B350" s="18"/>
      <c r="D350" s="18"/>
    </row>
    <row r="351">
      <c r="B351" s="18"/>
      <c r="D351" s="18"/>
    </row>
    <row r="352">
      <c r="B352" s="18"/>
      <c r="D352" s="18"/>
    </row>
    <row r="353">
      <c r="B353" s="18"/>
      <c r="D353" s="18"/>
    </row>
    <row r="354">
      <c r="B354" s="18"/>
      <c r="D354" s="18"/>
    </row>
    <row r="355">
      <c r="B355" s="18"/>
      <c r="D355" s="18"/>
    </row>
    <row r="356">
      <c r="B356" s="18"/>
      <c r="D356" s="18"/>
    </row>
    <row r="357">
      <c r="B357" s="18"/>
      <c r="D357" s="18"/>
    </row>
    <row r="358">
      <c r="B358" s="18"/>
      <c r="D358" s="18"/>
    </row>
    <row r="359">
      <c r="B359" s="18"/>
      <c r="D359" s="18"/>
    </row>
    <row r="360">
      <c r="B360" s="18"/>
      <c r="D360" s="18"/>
    </row>
    <row r="361">
      <c r="B361" s="18"/>
      <c r="D361" s="18"/>
    </row>
    <row r="362">
      <c r="B362" s="18"/>
      <c r="D362" s="18"/>
    </row>
    <row r="363">
      <c r="B363" s="18"/>
      <c r="D363" s="18"/>
    </row>
    <row r="364">
      <c r="B364" s="18"/>
      <c r="D364" s="18"/>
    </row>
    <row r="365">
      <c r="B365" s="18"/>
      <c r="D365" s="18"/>
    </row>
    <row r="366">
      <c r="B366" s="18"/>
      <c r="D366" s="18"/>
    </row>
    <row r="367">
      <c r="B367" s="18"/>
      <c r="D367" s="18"/>
    </row>
    <row r="368">
      <c r="B368" s="18"/>
      <c r="D368" s="18"/>
    </row>
    <row r="369">
      <c r="B369" s="18"/>
      <c r="D369" s="18"/>
    </row>
    <row r="370">
      <c r="B370" s="18"/>
      <c r="D370" s="18"/>
    </row>
    <row r="371">
      <c r="B371" s="18"/>
      <c r="D371" s="18"/>
    </row>
    <row r="372">
      <c r="B372" s="18"/>
      <c r="D372" s="18"/>
    </row>
    <row r="373">
      <c r="B373" s="18"/>
      <c r="D373" s="18"/>
    </row>
    <row r="374">
      <c r="B374" s="18"/>
      <c r="D374" s="18"/>
    </row>
    <row r="375">
      <c r="B375" s="18"/>
      <c r="D375" s="18"/>
    </row>
    <row r="376">
      <c r="B376" s="18"/>
      <c r="D376" s="18"/>
    </row>
    <row r="377">
      <c r="B377" s="18"/>
      <c r="D377" s="18"/>
    </row>
    <row r="378">
      <c r="B378" s="18"/>
      <c r="D378" s="18"/>
    </row>
    <row r="379">
      <c r="B379" s="18"/>
      <c r="D379" s="18"/>
    </row>
    <row r="380">
      <c r="B380" s="18"/>
      <c r="D380" s="18"/>
    </row>
    <row r="381">
      <c r="B381" s="18"/>
      <c r="D381" s="18"/>
    </row>
    <row r="382">
      <c r="B382" s="18"/>
      <c r="D382" s="18"/>
    </row>
    <row r="383">
      <c r="B383" s="18"/>
      <c r="D383" s="18"/>
    </row>
    <row r="384">
      <c r="B384" s="18"/>
      <c r="D384" s="18"/>
    </row>
    <row r="385">
      <c r="B385" s="18"/>
      <c r="D385" s="18"/>
    </row>
    <row r="386">
      <c r="B386" s="18"/>
      <c r="D386" s="18"/>
    </row>
    <row r="387">
      <c r="B387" s="18"/>
      <c r="D387" s="18"/>
    </row>
    <row r="388">
      <c r="B388" s="18"/>
      <c r="D388" s="18"/>
    </row>
    <row r="389">
      <c r="B389" s="18"/>
      <c r="D389" s="18"/>
    </row>
    <row r="390">
      <c r="B390" s="18"/>
      <c r="D390" s="18"/>
    </row>
    <row r="391">
      <c r="B391" s="18"/>
      <c r="D391" s="18"/>
    </row>
    <row r="392">
      <c r="B392" s="18"/>
      <c r="D392" s="18"/>
    </row>
    <row r="393">
      <c r="B393" s="18"/>
      <c r="D393" s="18"/>
    </row>
    <row r="394">
      <c r="B394" s="18"/>
      <c r="D394" s="18"/>
    </row>
    <row r="395">
      <c r="B395" s="18"/>
      <c r="D395" s="18"/>
    </row>
    <row r="396">
      <c r="B396" s="18"/>
      <c r="D396" s="18"/>
    </row>
    <row r="397">
      <c r="B397" s="18"/>
      <c r="D397" s="18"/>
    </row>
    <row r="398">
      <c r="B398" s="18"/>
      <c r="D398" s="18"/>
    </row>
    <row r="399">
      <c r="B399" s="18"/>
      <c r="D399" s="18"/>
    </row>
    <row r="400">
      <c r="B400" s="18"/>
      <c r="D400" s="18"/>
    </row>
    <row r="401">
      <c r="B401" s="18"/>
      <c r="D401" s="18"/>
    </row>
    <row r="402">
      <c r="B402" s="18"/>
      <c r="D402" s="18"/>
    </row>
    <row r="403">
      <c r="B403" s="18"/>
      <c r="D403" s="18"/>
    </row>
    <row r="404">
      <c r="B404" s="18"/>
      <c r="D404" s="18"/>
    </row>
    <row r="405">
      <c r="B405" s="18"/>
      <c r="D405" s="18"/>
    </row>
    <row r="406">
      <c r="B406" s="18"/>
      <c r="D406" s="18"/>
    </row>
    <row r="407">
      <c r="B407" s="18"/>
      <c r="D407" s="18"/>
    </row>
    <row r="408">
      <c r="B408" s="18"/>
      <c r="D408" s="18"/>
    </row>
    <row r="409">
      <c r="B409" s="18"/>
      <c r="D409" s="18"/>
    </row>
    <row r="410">
      <c r="B410" s="18"/>
      <c r="D410" s="18"/>
    </row>
    <row r="411">
      <c r="B411" s="18"/>
      <c r="D411" s="18"/>
    </row>
    <row r="412">
      <c r="B412" s="18"/>
      <c r="D412" s="18"/>
    </row>
    <row r="413">
      <c r="B413" s="18"/>
      <c r="D413" s="18"/>
    </row>
    <row r="414">
      <c r="B414" s="18"/>
      <c r="D414" s="18"/>
    </row>
    <row r="415">
      <c r="B415" s="18"/>
      <c r="D415" s="18"/>
    </row>
    <row r="416">
      <c r="B416" s="18"/>
      <c r="D416" s="18"/>
    </row>
    <row r="417">
      <c r="B417" s="18"/>
      <c r="D417" s="18"/>
    </row>
    <row r="418">
      <c r="B418" s="18"/>
      <c r="D418" s="18"/>
    </row>
    <row r="419">
      <c r="B419" s="18"/>
      <c r="D419" s="18"/>
    </row>
    <row r="420">
      <c r="B420" s="18"/>
      <c r="D420" s="18"/>
    </row>
    <row r="421">
      <c r="B421" s="18"/>
      <c r="D421" s="18"/>
    </row>
    <row r="422">
      <c r="B422" s="18"/>
      <c r="D422" s="18"/>
    </row>
    <row r="423">
      <c r="B423" s="18"/>
      <c r="D423" s="18"/>
    </row>
    <row r="424">
      <c r="B424" s="18"/>
      <c r="D424" s="18"/>
    </row>
    <row r="425">
      <c r="B425" s="18"/>
      <c r="D425" s="18"/>
    </row>
    <row r="426">
      <c r="B426" s="18"/>
      <c r="D426" s="18"/>
    </row>
    <row r="427">
      <c r="B427" s="18"/>
      <c r="D427" s="18"/>
    </row>
    <row r="428">
      <c r="B428" s="18"/>
      <c r="D428" s="18"/>
    </row>
    <row r="429">
      <c r="B429" s="18"/>
      <c r="D429" s="18"/>
    </row>
    <row r="430">
      <c r="B430" s="18"/>
      <c r="D430" s="18"/>
    </row>
    <row r="431">
      <c r="B431" s="18"/>
      <c r="D431" s="18"/>
    </row>
    <row r="432">
      <c r="B432" s="18"/>
      <c r="D432" s="18"/>
    </row>
    <row r="433">
      <c r="B433" s="18"/>
      <c r="D433" s="18"/>
    </row>
    <row r="434">
      <c r="B434" s="18"/>
      <c r="D434" s="18"/>
    </row>
    <row r="435">
      <c r="B435" s="18"/>
      <c r="D435" s="18"/>
    </row>
    <row r="436">
      <c r="B436" s="18"/>
      <c r="D436" s="18"/>
    </row>
    <row r="437">
      <c r="B437" s="18"/>
      <c r="D437" s="18"/>
    </row>
    <row r="438">
      <c r="B438" s="18"/>
      <c r="D438" s="18"/>
    </row>
    <row r="439">
      <c r="B439" s="18"/>
      <c r="D439" s="18"/>
    </row>
    <row r="440">
      <c r="B440" s="18"/>
      <c r="D440" s="18"/>
    </row>
    <row r="441">
      <c r="B441" s="18"/>
      <c r="D441" s="18"/>
    </row>
    <row r="442">
      <c r="B442" s="18"/>
      <c r="D442" s="18"/>
    </row>
    <row r="443">
      <c r="B443" s="18"/>
      <c r="D443" s="18"/>
    </row>
    <row r="444">
      <c r="B444" s="18"/>
      <c r="D444" s="18"/>
    </row>
    <row r="445">
      <c r="B445" s="18"/>
      <c r="D445" s="18"/>
    </row>
    <row r="446">
      <c r="B446" s="18"/>
      <c r="D446" s="18"/>
    </row>
    <row r="447">
      <c r="B447" s="18"/>
      <c r="D447" s="18"/>
    </row>
    <row r="448">
      <c r="B448" s="18"/>
      <c r="D448" s="18"/>
    </row>
    <row r="449">
      <c r="B449" s="18"/>
      <c r="D449" s="18"/>
    </row>
    <row r="450">
      <c r="B450" s="18"/>
      <c r="D450" s="18"/>
    </row>
    <row r="451">
      <c r="B451" s="18"/>
      <c r="D451" s="18"/>
    </row>
    <row r="452">
      <c r="B452" s="18"/>
      <c r="D452" s="18"/>
    </row>
    <row r="453">
      <c r="B453" s="18"/>
      <c r="D453" s="18"/>
    </row>
    <row r="454">
      <c r="B454" s="18"/>
      <c r="D454" s="18"/>
    </row>
    <row r="455">
      <c r="B455" s="18"/>
      <c r="D455" s="18"/>
    </row>
    <row r="456">
      <c r="B456" s="18"/>
      <c r="D456" s="18"/>
    </row>
    <row r="457">
      <c r="B457" s="18"/>
      <c r="D457" s="18"/>
    </row>
    <row r="458">
      <c r="B458" s="18"/>
      <c r="D458" s="18"/>
    </row>
    <row r="459">
      <c r="B459" s="18"/>
      <c r="D459" s="18"/>
    </row>
    <row r="460">
      <c r="B460" s="18"/>
      <c r="D460" s="18"/>
    </row>
    <row r="461">
      <c r="B461" s="18"/>
      <c r="D461" s="18"/>
    </row>
    <row r="462">
      <c r="B462" s="18"/>
      <c r="D462" s="18"/>
    </row>
    <row r="463">
      <c r="B463" s="18"/>
      <c r="D463" s="18"/>
    </row>
    <row r="464">
      <c r="B464" s="18"/>
      <c r="D464" s="18"/>
    </row>
    <row r="465">
      <c r="B465" s="18"/>
      <c r="D465" s="18"/>
    </row>
    <row r="466">
      <c r="B466" s="18"/>
      <c r="D466" s="18"/>
    </row>
    <row r="467">
      <c r="B467" s="18"/>
      <c r="D467" s="18"/>
    </row>
    <row r="468">
      <c r="B468" s="18"/>
      <c r="D468" s="18"/>
    </row>
    <row r="469">
      <c r="B469" s="18"/>
      <c r="D469" s="18"/>
    </row>
    <row r="470">
      <c r="B470" s="18"/>
      <c r="D470" s="18"/>
    </row>
    <row r="471">
      <c r="B471" s="18"/>
      <c r="D471" s="18"/>
    </row>
    <row r="472">
      <c r="B472" s="18"/>
      <c r="D472" s="18"/>
    </row>
    <row r="473">
      <c r="B473" s="18"/>
      <c r="D473" s="18"/>
    </row>
    <row r="474">
      <c r="B474" s="18"/>
      <c r="D474" s="18"/>
    </row>
    <row r="475">
      <c r="B475" s="18"/>
      <c r="D475" s="18"/>
    </row>
    <row r="476">
      <c r="B476" s="18"/>
      <c r="D476" s="18"/>
    </row>
    <row r="477">
      <c r="B477" s="18"/>
      <c r="D477" s="18"/>
    </row>
    <row r="478">
      <c r="B478" s="18"/>
      <c r="D478" s="18"/>
    </row>
    <row r="479">
      <c r="B479" s="18"/>
      <c r="D479" s="18"/>
    </row>
    <row r="480">
      <c r="B480" s="18"/>
      <c r="D480" s="18"/>
    </row>
    <row r="481">
      <c r="B481" s="18"/>
      <c r="D481" s="18"/>
    </row>
    <row r="482">
      <c r="B482" s="18"/>
      <c r="D482" s="18"/>
    </row>
    <row r="483">
      <c r="B483" s="18"/>
      <c r="D483" s="18"/>
    </row>
    <row r="484">
      <c r="B484" s="18"/>
      <c r="D484" s="18"/>
    </row>
    <row r="485">
      <c r="B485" s="18"/>
      <c r="D485" s="18"/>
    </row>
    <row r="486">
      <c r="B486" s="18"/>
      <c r="D486" s="18"/>
    </row>
    <row r="487">
      <c r="B487" s="18"/>
      <c r="D487" s="18"/>
    </row>
    <row r="488">
      <c r="B488" s="18"/>
      <c r="D488" s="18"/>
    </row>
    <row r="489">
      <c r="B489" s="18"/>
      <c r="D489" s="18"/>
    </row>
    <row r="490">
      <c r="B490" s="18"/>
      <c r="D490" s="18"/>
    </row>
    <row r="491">
      <c r="B491" s="18"/>
      <c r="D491" s="18"/>
    </row>
    <row r="492">
      <c r="B492" s="18"/>
      <c r="D492" s="18"/>
    </row>
    <row r="493">
      <c r="B493" s="18"/>
      <c r="D493" s="18"/>
    </row>
    <row r="494">
      <c r="B494" s="18"/>
      <c r="D494" s="18"/>
    </row>
    <row r="495">
      <c r="B495" s="18"/>
      <c r="D495" s="18"/>
    </row>
    <row r="496">
      <c r="B496" s="18"/>
      <c r="D496" s="18"/>
    </row>
    <row r="497">
      <c r="B497" s="18"/>
      <c r="D497" s="18"/>
    </row>
    <row r="498">
      <c r="B498" s="18"/>
      <c r="D498" s="18"/>
    </row>
    <row r="499">
      <c r="B499" s="18"/>
      <c r="D499" s="18"/>
    </row>
    <row r="500">
      <c r="B500" s="18"/>
      <c r="D500" s="18"/>
    </row>
    <row r="501">
      <c r="B501" s="18"/>
      <c r="D501" s="18"/>
    </row>
    <row r="502">
      <c r="B502" s="18"/>
      <c r="D502" s="18"/>
    </row>
    <row r="503">
      <c r="B503" s="18"/>
      <c r="D503" s="18"/>
    </row>
    <row r="504">
      <c r="B504" s="18"/>
      <c r="D504" s="18"/>
    </row>
    <row r="505">
      <c r="B505" s="18"/>
      <c r="D505" s="18"/>
    </row>
    <row r="506">
      <c r="B506" s="18"/>
      <c r="D506" s="18"/>
    </row>
    <row r="507">
      <c r="B507" s="18"/>
      <c r="D507" s="18"/>
    </row>
    <row r="508">
      <c r="B508" s="18"/>
      <c r="D508" s="18"/>
    </row>
    <row r="509">
      <c r="B509" s="18"/>
      <c r="D509" s="18"/>
    </row>
    <row r="510">
      <c r="B510" s="18"/>
      <c r="D510" s="18"/>
    </row>
    <row r="511">
      <c r="B511" s="18"/>
      <c r="D511" s="18"/>
    </row>
    <row r="512">
      <c r="B512" s="18"/>
      <c r="D512" s="18"/>
    </row>
    <row r="513">
      <c r="B513" s="18"/>
      <c r="D513" s="18"/>
    </row>
    <row r="514">
      <c r="B514" s="18"/>
      <c r="D514" s="18"/>
    </row>
    <row r="515">
      <c r="B515" s="18"/>
      <c r="D515" s="18"/>
    </row>
    <row r="516">
      <c r="B516" s="18"/>
      <c r="D516" s="18"/>
    </row>
    <row r="517">
      <c r="B517" s="18"/>
      <c r="D517" s="18"/>
    </row>
    <row r="518">
      <c r="B518" s="18"/>
      <c r="D518" s="18"/>
    </row>
    <row r="519">
      <c r="B519" s="18"/>
      <c r="D519" s="18"/>
    </row>
    <row r="520">
      <c r="B520" s="18"/>
      <c r="D520" s="18"/>
    </row>
    <row r="521">
      <c r="B521" s="18"/>
      <c r="D521" s="18"/>
    </row>
    <row r="522">
      <c r="B522" s="18"/>
      <c r="D522" s="18"/>
    </row>
    <row r="523">
      <c r="B523" s="18"/>
      <c r="D523" s="18"/>
    </row>
    <row r="524">
      <c r="B524" s="18"/>
      <c r="D524" s="18"/>
    </row>
    <row r="525">
      <c r="B525" s="18"/>
      <c r="D525" s="18"/>
    </row>
    <row r="526">
      <c r="B526" s="18"/>
      <c r="D526" s="18"/>
    </row>
    <row r="527">
      <c r="B527" s="18"/>
      <c r="D527" s="18"/>
    </row>
    <row r="528">
      <c r="B528" s="18"/>
      <c r="D528" s="18"/>
    </row>
    <row r="529">
      <c r="B529" s="18"/>
      <c r="D529" s="18"/>
    </row>
    <row r="530">
      <c r="B530" s="18"/>
      <c r="D530" s="18"/>
    </row>
    <row r="531">
      <c r="B531" s="18"/>
      <c r="D531" s="18"/>
    </row>
    <row r="532">
      <c r="B532" s="18"/>
      <c r="D532" s="18"/>
    </row>
    <row r="533">
      <c r="B533" s="18"/>
      <c r="D533" s="18"/>
    </row>
    <row r="534">
      <c r="B534" s="18"/>
      <c r="D534" s="18"/>
    </row>
    <row r="535">
      <c r="B535" s="18"/>
      <c r="D535" s="18"/>
    </row>
    <row r="536">
      <c r="B536" s="18"/>
      <c r="D536" s="18"/>
    </row>
    <row r="537">
      <c r="B537" s="18"/>
      <c r="D537" s="18"/>
    </row>
    <row r="538">
      <c r="B538" s="18"/>
      <c r="D538" s="18"/>
    </row>
    <row r="539">
      <c r="B539" s="18"/>
      <c r="D539" s="18"/>
    </row>
    <row r="540">
      <c r="B540" s="18"/>
      <c r="D540" s="18"/>
    </row>
    <row r="541">
      <c r="B541" s="18"/>
      <c r="D541" s="18"/>
    </row>
    <row r="542">
      <c r="B542" s="18"/>
      <c r="D542" s="18"/>
    </row>
    <row r="543">
      <c r="B543" s="18"/>
      <c r="D543" s="18"/>
    </row>
    <row r="544">
      <c r="B544" s="18"/>
      <c r="D544" s="18"/>
    </row>
    <row r="545">
      <c r="B545" s="18"/>
      <c r="D545" s="18"/>
    </row>
    <row r="546">
      <c r="B546" s="18"/>
      <c r="D546" s="18"/>
    </row>
    <row r="547">
      <c r="B547" s="18"/>
      <c r="D547" s="18"/>
    </row>
    <row r="548">
      <c r="B548" s="18"/>
      <c r="D548" s="18"/>
    </row>
    <row r="549">
      <c r="B549" s="18"/>
      <c r="D549" s="18"/>
    </row>
    <row r="550">
      <c r="B550" s="18"/>
      <c r="D550" s="18"/>
    </row>
    <row r="551">
      <c r="B551" s="18"/>
      <c r="D551" s="18"/>
    </row>
    <row r="552">
      <c r="B552" s="18"/>
      <c r="D552" s="18"/>
    </row>
    <row r="553">
      <c r="B553" s="18"/>
      <c r="D553" s="18"/>
    </row>
    <row r="554">
      <c r="B554" s="18"/>
      <c r="D554" s="18"/>
    </row>
    <row r="555">
      <c r="B555" s="18"/>
      <c r="D555" s="18"/>
    </row>
    <row r="556">
      <c r="B556" s="18"/>
      <c r="D556" s="18"/>
    </row>
    <row r="557">
      <c r="B557" s="18"/>
      <c r="D557" s="18"/>
    </row>
    <row r="558">
      <c r="B558" s="18"/>
      <c r="D558" s="18"/>
    </row>
    <row r="559">
      <c r="B559" s="18"/>
      <c r="D559" s="18"/>
    </row>
    <row r="560">
      <c r="B560" s="18"/>
      <c r="D560" s="18"/>
    </row>
    <row r="561">
      <c r="B561" s="18"/>
      <c r="D561" s="18"/>
    </row>
    <row r="562">
      <c r="B562" s="18"/>
      <c r="D562" s="18"/>
    </row>
    <row r="563">
      <c r="B563" s="18"/>
      <c r="D563" s="18"/>
    </row>
    <row r="564">
      <c r="B564" s="18"/>
      <c r="D564" s="18"/>
    </row>
    <row r="565">
      <c r="B565" s="18"/>
      <c r="D565" s="18"/>
    </row>
    <row r="566">
      <c r="B566" s="18"/>
      <c r="D566" s="18"/>
    </row>
    <row r="567">
      <c r="B567" s="18"/>
      <c r="D567" s="18"/>
    </row>
    <row r="568">
      <c r="B568" s="18"/>
      <c r="D568" s="18"/>
    </row>
    <row r="569">
      <c r="B569" s="18"/>
      <c r="D569" s="18"/>
    </row>
    <row r="570">
      <c r="B570" s="18"/>
      <c r="D570" s="18"/>
    </row>
    <row r="571">
      <c r="B571" s="18"/>
      <c r="D571" s="18"/>
    </row>
    <row r="572">
      <c r="B572" s="18"/>
      <c r="D572" s="18"/>
    </row>
    <row r="573">
      <c r="B573" s="18"/>
      <c r="D573" s="18"/>
    </row>
    <row r="574">
      <c r="B574" s="18"/>
      <c r="D574" s="18"/>
    </row>
    <row r="575">
      <c r="B575" s="18"/>
      <c r="D575" s="18"/>
    </row>
    <row r="576">
      <c r="B576" s="18"/>
      <c r="D576" s="18"/>
    </row>
    <row r="577">
      <c r="B577" s="18"/>
      <c r="D577" s="18"/>
    </row>
    <row r="578">
      <c r="B578" s="18"/>
      <c r="D578" s="18"/>
    </row>
    <row r="579">
      <c r="B579" s="18"/>
      <c r="D579" s="18"/>
    </row>
    <row r="580">
      <c r="B580" s="18"/>
      <c r="D580" s="18"/>
    </row>
    <row r="581">
      <c r="B581" s="18"/>
      <c r="D581" s="18"/>
    </row>
    <row r="582">
      <c r="B582" s="18"/>
      <c r="D582" s="18"/>
    </row>
    <row r="583">
      <c r="B583" s="18"/>
      <c r="D583" s="18"/>
    </row>
    <row r="584">
      <c r="B584" s="18"/>
      <c r="D584" s="18"/>
    </row>
    <row r="585">
      <c r="B585" s="18"/>
      <c r="D585" s="18"/>
    </row>
    <row r="586">
      <c r="B586" s="18"/>
      <c r="D586" s="18"/>
    </row>
    <row r="587">
      <c r="B587" s="18"/>
      <c r="D587" s="18"/>
    </row>
    <row r="588">
      <c r="B588" s="18"/>
      <c r="D588" s="18"/>
    </row>
    <row r="589">
      <c r="B589" s="18"/>
      <c r="D589" s="18"/>
    </row>
    <row r="590">
      <c r="B590" s="18"/>
      <c r="D590" s="18"/>
    </row>
    <row r="591">
      <c r="B591" s="18"/>
      <c r="D591" s="18"/>
    </row>
    <row r="592">
      <c r="B592" s="18"/>
      <c r="D592" s="18"/>
    </row>
    <row r="593">
      <c r="B593" s="18"/>
      <c r="D593" s="18"/>
    </row>
    <row r="594">
      <c r="B594" s="18"/>
      <c r="D594" s="18"/>
    </row>
    <row r="595">
      <c r="B595" s="18"/>
      <c r="D595" s="18"/>
    </row>
    <row r="596">
      <c r="B596" s="18"/>
      <c r="D596" s="18"/>
    </row>
    <row r="597">
      <c r="B597" s="18"/>
      <c r="D597" s="18"/>
    </row>
    <row r="598">
      <c r="B598" s="18"/>
      <c r="D598" s="18"/>
    </row>
    <row r="599">
      <c r="B599" s="18"/>
      <c r="D599" s="18"/>
    </row>
    <row r="600">
      <c r="B600" s="18"/>
      <c r="D600" s="18"/>
    </row>
    <row r="601">
      <c r="B601" s="18"/>
      <c r="D601" s="18"/>
    </row>
    <row r="602">
      <c r="B602" s="18"/>
      <c r="D602" s="18"/>
    </row>
    <row r="603">
      <c r="B603" s="18"/>
      <c r="D603" s="18"/>
    </row>
    <row r="604">
      <c r="B604" s="18"/>
      <c r="D604" s="18"/>
    </row>
    <row r="605">
      <c r="B605" s="18"/>
      <c r="D605" s="18"/>
    </row>
    <row r="606">
      <c r="B606" s="18"/>
      <c r="D606" s="18"/>
    </row>
    <row r="607">
      <c r="B607" s="18"/>
      <c r="D607" s="18"/>
    </row>
    <row r="608">
      <c r="B608" s="18"/>
      <c r="D608" s="18"/>
    </row>
    <row r="609">
      <c r="B609" s="18"/>
      <c r="D609" s="18"/>
    </row>
    <row r="610">
      <c r="B610" s="18"/>
      <c r="D610" s="18"/>
    </row>
    <row r="611">
      <c r="B611" s="18"/>
      <c r="D611" s="18"/>
    </row>
    <row r="612">
      <c r="B612" s="18"/>
      <c r="D612" s="18"/>
    </row>
    <row r="613">
      <c r="B613" s="18"/>
      <c r="D613" s="18"/>
    </row>
    <row r="614">
      <c r="B614" s="18"/>
      <c r="D614" s="18"/>
    </row>
    <row r="615">
      <c r="B615" s="18"/>
      <c r="D615" s="18"/>
    </row>
    <row r="616">
      <c r="B616" s="18"/>
      <c r="D616" s="18"/>
    </row>
    <row r="617">
      <c r="B617" s="18"/>
      <c r="D617" s="18"/>
    </row>
    <row r="618">
      <c r="B618" s="18"/>
      <c r="D618" s="18"/>
    </row>
    <row r="619">
      <c r="B619" s="18"/>
      <c r="D619" s="18"/>
    </row>
    <row r="620">
      <c r="B620" s="18"/>
      <c r="D620" s="18"/>
    </row>
    <row r="621">
      <c r="B621" s="18"/>
      <c r="D621" s="18"/>
    </row>
    <row r="622">
      <c r="B622" s="18"/>
      <c r="D622" s="18"/>
    </row>
    <row r="623">
      <c r="B623" s="18"/>
      <c r="D623" s="18"/>
    </row>
    <row r="624">
      <c r="B624" s="18"/>
      <c r="D624" s="18"/>
    </row>
    <row r="625">
      <c r="B625" s="18"/>
      <c r="D625" s="18"/>
    </row>
    <row r="626">
      <c r="B626" s="18"/>
      <c r="D626" s="18"/>
    </row>
    <row r="627">
      <c r="B627" s="18"/>
      <c r="D627" s="18"/>
    </row>
    <row r="628">
      <c r="B628" s="18"/>
      <c r="D628" s="18"/>
    </row>
    <row r="629">
      <c r="B629" s="18"/>
      <c r="D629" s="18"/>
    </row>
    <row r="630">
      <c r="B630" s="18"/>
      <c r="D630" s="18"/>
    </row>
    <row r="631">
      <c r="B631" s="18"/>
      <c r="D631" s="18"/>
    </row>
    <row r="632">
      <c r="B632" s="18"/>
      <c r="D632" s="18"/>
    </row>
    <row r="633">
      <c r="B633" s="18"/>
      <c r="D633" s="18"/>
    </row>
    <row r="634">
      <c r="B634" s="18"/>
      <c r="D634" s="18"/>
    </row>
    <row r="635">
      <c r="B635" s="18"/>
      <c r="D635" s="18"/>
    </row>
    <row r="636">
      <c r="B636" s="18"/>
      <c r="D636" s="18"/>
    </row>
    <row r="637">
      <c r="B637" s="18"/>
      <c r="D637" s="18"/>
    </row>
    <row r="638">
      <c r="B638" s="18"/>
      <c r="D638" s="18"/>
    </row>
    <row r="639">
      <c r="B639" s="18"/>
      <c r="D639" s="18"/>
    </row>
    <row r="640">
      <c r="B640" s="18"/>
      <c r="D640" s="18"/>
    </row>
    <row r="641">
      <c r="B641" s="18"/>
      <c r="D641" s="18"/>
    </row>
    <row r="642">
      <c r="B642" s="18"/>
      <c r="D642" s="18"/>
    </row>
    <row r="643">
      <c r="B643" s="18"/>
      <c r="D643" s="18"/>
    </row>
    <row r="644">
      <c r="B644" s="18"/>
      <c r="D644" s="18"/>
    </row>
    <row r="645">
      <c r="B645" s="18"/>
      <c r="D645" s="18"/>
    </row>
    <row r="646">
      <c r="B646" s="18"/>
      <c r="D646" s="18"/>
    </row>
    <row r="647">
      <c r="B647" s="18"/>
      <c r="D647" s="18"/>
    </row>
    <row r="648">
      <c r="B648" s="18"/>
      <c r="D648" s="18"/>
    </row>
    <row r="649">
      <c r="B649" s="18"/>
      <c r="D649" s="18"/>
    </row>
    <row r="650">
      <c r="B650" s="18"/>
      <c r="D650" s="18"/>
    </row>
    <row r="651">
      <c r="B651" s="18"/>
      <c r="D651" s="18"/>
    </row>
    <row r="652">
      <c r="B652" s="18"/>
      <c r="D652" s="18"/>
    </row>
    <row r="653">
      <c r="B653" s="18"/>
      <c r="D653" s="18"/>
    </row>
    <row r="654">
      <c r="B654" s="18"/>
      <c r="D654" s="18"/>
    </row>
    <row r="655">
      <c r="B655" s="18"/>
      <c r="D655" s="18"/>
    </row>
    <row r="656">
      <c r="B656" s="18"/>
      <c r="D656" s="18"/>
    </row>
    <row r="657">
      <c r="B657" s="18"/>
      <c r="D657" s="18"/>
    </row>
    <row r="658">
      <c r="B658" s="18"/>
      <c r="D658" s="18"/>
    </row>
    <row r="659">
      <c r="B659" s="18"/>
      <c r="D659" s="18"/>
    </row>
    <row r="660">
      <c r="B660" s="18"/>
      <c r="D660" s="18"/>
    </row>
    <row r="661">
      <c r="B661" s="18"/>
      <c r="D661" s="18"/>
    </row>
    <row r="662">
      <c r="B662" s="18"/>
      <c r="D662" s="18"/>
    </row>
    <row r="663">
      <c r="B663" s="18"/>
      <c r="D663" s="18"/>
    </row>
    <row r="664">
      <c r="B664" s="18"/>
      <c r="D664" s="18"/>
    </row>
    <row r="665">
      <c r="B665" s="18"/>
      <c r="D665" s="18"/>
    </row>
    <row r="666">
      <c r="B666" s="18"/>
      <c r="D666" s="18"/>
    </row>
    <row r="667">
      <c r="B667" s="18"/>
      <c r="D667" s="18"/>
    </row>
    <row r="668">
      <c r="B668" s="18"/>
      <c r="D668" s="18"/>
    </row>
    <row r="669">
      <c r="B669" s="18"/>
      <c r="D669" s="18"/>
    </row>
    <row r="670">
      <c r="B670" s="18"/>
      <c r="D670" s="18"/>
    </row>
    <row r="671">
      <c r="B671" s="18"/>
      <c r="D671" s="18"/>
    </row>
    <row r="672">
      <c r="B672" s="18"/>
      <c r="D672" s="18"/>
    </row>
    <row r="673">
      <c r="B673" s="18"/>
      <c r="D673" s="18"/>
    </row>
    <row r="674">
      <c r="B674" s="18"/>
      <c r="D674" s="18"/>
    </row>
    <row r="675">
      <c r="B675" s="18"/>
      <c r="D675" s="18"/>
    </row>
    <row r="676">
      <c r="B676" s="18"/>
      <c r="D676" s="18"/>
    </row>
    <row r="677">
      <c r="B677" s="18"/>
      <c r="D677" s="18"/>
    </row>
    <row r="678">
      <c r="B678" s="18"/>
      <c r="D678" s="18"/>
    </row>
    <row r="679">
      <c r="B679" s="18"/>
      <c r="D679" s="18"/>
    </row>
    <row r="680">
      <c r="B680" s="18"/>
      <c r="D680" s="18"/>
    </row>
    <row r="681">
      <c r="B681" s="18"/>
      <c r="D681" s="18"/>
    </row>
    <row r="682">
      <c r="B682" s="18"/>
      <c r="D682" s="18"/>
    </row>
    <row r="683">
      <c r="B683" s="18"/>
      <c r="D683" s="18"/>
    </row>
    <row r="684">
      <c r="B684" s="18"/>
      <c r="D684" s="18"/>
    </row>
    <row r="685">
      <c r="B685" s="18"/>
      <c r="D685" s="18"/>
    </row>
    <row r="686">
      <c r="B686" s="18"/>
      <c r="D686" s="18"/>
    </row>
    <row r="687">
      <c r="B687" s="18"/>
      <c r="D687" s="18"/>
    </row>
    <row r="688">
      <c r="B688" s="18"/>
      <c r="D688" s="18"/>
    </row>
    <row r="689">
      <c r="B689" s="18"/>
      <c r="D689" s="18"/>
    </row>
    <row r="690">
      <c r="B690" s="18"/>
      <c r="D690" s="18"/>
    </row>
    <row r="691">
      <c r="B691" s="18"/>
      <c r="D691" s="18"/>
    </row>
    <row r="692">
      <c r="B692" s="18"/>
      <c r="D692" s="18"/>
    </row>
    <row r="693">
      <c r="B693" s="18"/>
      <c r="D693" s="18"/>
    </row>
    <row r="694">
      <c r="B694" s="18"/>
      <c r="D694" s="18"/>
    </row>
    <row r="695">
      <c r="B695" s="18"/>
      <c r="D695" s="18"/>
    </row>
    <row r="696">
      <c r="B696" s="18"/>
      <c r="D696" s="18"/>
    </row>
    <row r="697">
      <c r="B697" s="18"/>
      <c r="D697" s="18"/>
    </row>
    <row r="698">
      <c r="B698" s="18"/>
      <c r="D698" s="18"/>
    </row>
    <row r="699">
      <c r="B699" s="18"/>
      <c r="D699" s="18"/>
    </row>
    <row r="700">
      <c r="B700" s="18"/>
      <c r="D700" s="18"/>
    </row>
    <row r="701">
      <c r="B701" s="18"/>
      <c r="D701" s="18"/>
    </row>
    <row r="702">
      <c r="B702" s="18"/>
      <c r="D702" s="18"/>
    </row>
    <row r="703">
      <c r="B703" s="18"/>
      <c r="D703" s="18"/>
    </row>
    <row r="704">
      <c r="B704" s="18"/>
      <c r="D704" s="18"/>
    </row>
    <row r="705">
      <c r="B705" s="18"/>
      <c r="D705" s="18"/>
    </row>
    <row r="706">
      <c r="B706" s="18"/>
      <c r="D706" s="18"/>
    </row>
    <row r="707">
      <c r="B707" s="18"/>
      <c r="D707" s="18"/>
    </row>
    <row r="708">
      <c r="B708" s="18"/>
      <c r="D708" s="18"/>
    </row>
    <row r="709">
      <c r="B709" s="18"/>
      <c r="D709" s="18"/>
    </row>
    <row r="710">
      <c r="B710" s="18"/>
      <c r="D710" s="18"/>
    </row>
    <row r="711">
      <c r="B711" s="18"/>
      <c r="D711" s="18"/>
    </row>
    <row r="712">
      <c r="B712" s="18"/>
      <c r="D712" s="18"/>
    </row>
    <row r="713">
      <c r="B713" s="18"/>
      <c r="D713" s="18"/>
    </row>
    <row r="714">
      <c r="B714" s="18"/>
      <c r="D714" s="18"/>
    </row>
    <row r="715">
      <c r="B715" s="18"/>
      <c r="D715" s="18"/>
    </row>
    <row r="716">
      <c r="B716" s="18"/>
      <c r="D716" s="18"/>
    </row>
    <row r="717">
      <c r="B717" s="18"/>
      <c r="D717" s="18"/>
    </row>
    <row r="718">
      <c r="B718" s="18"/>
      <c r="D718" s="18"/>
    </row>
    <row r="719">
      <c r="B719" s="18"/>
      <c r="D719" s="18"/>
    </row>
    <row r="720">
      <c r="B720" s="18"/>
      <c r="D720" s="18"/>
    </row>
    <row r="721">
      <c r="B721" s="18"/>
      <c r="D721" s="18"/>
    </row>
    <row r="722">
      <c r="B722" s="18"/>
      <c r="D722" s="18"/>
    </row>
    <row r="723">
      <c r="B723" s="18"/>
      <c r="D723" s="18"/>
    </row>
    <row r="724">
      <c r="B724" s="18"/>
      <c r="D724" s="18"/>
    </row>
    <row r="725">
      <c r="B725" s="18"/>
      <c r="D725" s="18"/>
    </row>
    <row r="726">
      <c r="B726" s="18"/>
      <c r="D726" s="18"/>
    </row>
    <row r="727">
      <c r="B727" s="18"/>
      <c r="D727" s="18"/>
    </row>
    <row r="728">
      <c r="B728" s="18"/>
      <c r="D728" s="18"/>
    </row>
    <row r="729">
      <c r="B729" s="18"/>
      <c r="D729" s="18"/>
    </row>
    <row r="730">
      <c r="B730" s="18"/>
      <c r="D730" s="18"/>
    </row>
    <row r="731">
      <c r="B731" s="18"/>
      <c r="D731" s="18"/>
    </row>
    <row r="732">
      <c r="B732" s="18"/>
      <c r="D732" s="18"/>
    </row>
    <row r="733">
      <c r="B733" s="18"/>
      <c r="D733" s="18"/>
    </row>
    <row r="734">
      <c r="B734" s="18"/>
      <c r="D734" s="18"/>
    </row>
    <row r="735">
      <c r="B735" s="18"/>
      <c r="D735" s="18"/>
    </row>
    <row r="736">
      <c r="B736" s="18"/>
      <c r="D736" s="18"/>
    </row>
    <row r="737">
      <c r="B737" s="18"/>
      <c r="D737" s="18"/>
    </row>
    <row r="738">
      <c r="B738" s="18"/>
      <c r="D738" s="18"/>
    </row>
    <row r="739">
      <c r="B739" s="18"/>
      <c r="D739" s="18"/>
    </row>
    <row r="740">
      <c r="B740" s="18"/>
      <c r="D740" s="18"/>
    </row>
    <row r="741">
      <c r="B741" s="18"/>
      <c r="D741" s="18"/>
    </row>
    <row r="742">
      <c r="B742" s="18"/>
      <c r="D742" s="18"/>
    </row>
    <row r="743">
      <c r="B743" s="18"/>
      <c r="D743" s="18"/>
    </row>
    <row r="744">
      <c r="B744" s="18"/>
      <c r="D744" s="18"/>
    </row>
    <row r="745">
      <c r="B745" s="18"/>
      <c r="D745" s="18"/>
    </row>
    <row r="746">
      <c r="B746" s="18"/>
      <c r="D746" s="18"/>
    </row>
    <row r="747">
      <c r="B747" s="18"/>
      <c r="D747" s="18"/>
    </row>
    <row r="748">
      <c r="B748" s="18"/>
      <c r="D748" s="18"/>
    </row>
    <row r="749">
      <c r="B749" s="18"/>
      <c r="D749" s="18"/>
    </row>
    <row r="750">
      <c r="B750" s="18"/>
      <c r="D750" s="18"/>
    </row>
    <row r="751">
      <c r="B751" s="18"/>
      <c r="D751" s="18"/>
    </row>
    <row r="752">
      <c r="B752" s="18"/>
      <c r="D752" s="18"/>
    </row>
    <row r="753">
      <c r="B753" s="18"/>
      <c r="D753" s="18"/>
    </row>
    <row r="754">
      <c r="B754" s="18"/>
      <c r="D754" s="18"/>
    </row>
    <row r="755">
      <c r="B755" s="18"/>
      <c r="D755" s="18"/>
    </row>
    <row r="756">
      <c r="B756" s="18"/>
      <c r="D756" s="18"/>
    </row>
    <row r="757">
      <c r="B757" s="18"/>
      <c r="D757" s="18"/>
    </row>
    <row r="758">
      <c r="B758" s="18"/>
      <c r="D758" s="18"/>
    </row>
    <row r="759">
      <c r="B759" s="18"/>
      <c r="D759" s="18"/>
    </row>
    <row r="760">
      <c r="B760" s="18"/>
      <c r="D760" s="18"/>
    </row>
    <row r="761">
      <c r="B761" s="18"/>
      <c r="D761" s="18"/>
    </row>
    <row r="762">
      <c r="B762" s="18"/>
      <c r="D762" s="18"/>
    </row>
    <row r="763">
      <c r="B763" s="18"/>
      <c r="D763" s="18"/>
    </row>
    <row r="764">
      <c r="B764" s="18"/>
      <c r="D764" s="18"/>
    </row>
    <row r="765">
      <c r="B765" s="18"/>
      <c r="D765" s="18"/>
    </row>
    <row r="766">
      <c r="B766" s="18"/>
      <c r="D766" s="18"/>
    </row>
    <row r="767">
      <c r="B767" s="18"/>
      <c r="D767" s="18"/>
    </row>
    <row r="768">
      <c r="B768" s="18"/>
      <c r="D768" s="18"/>
    </row>
    <row r="769">
      <c r="B769" s="18"/>
      <c r="D769" s="18"/>
    </row>
    <row r="770">
      <c r="B770" s="18"/>
      <c r="D770" s="18"/>
    </row>
    <row r="771">
      <c r="B771" s="18"/>
      <c r="D771" s="18"/>
    </row>
    <row r="772">
      <c r="B772" s="18"/>
      <c r="D772" s="18"/>
    </row>
    <row r="773">
      <c r="B773" s="18"/>
      <c r="D773" s="18"/>
    </row>
    <row r="774">
      <c r="B774" s="18"/>
      <c r="D774" s="18"/>
    </row>
    <row r="775">
      <c r="B775" s="18"/>
      <c r="D775" s="18"/>
    </row>
    <row r="776">
      <c r="B776" s="18"/>
      <c r="D776" s="18"/>
    </row>
    <row r="777">
      <c r="B777" s="18"/>
      <c r="D777" s="18"/>
    </row>
    <row r="778">
      <c r="B778" s="18"/>
      <c r="D778" s="18"/>
    </row>
    <row r="779">
      <c r="B779" s="18"/>
      <c r="D779" s="18"/>
    </row>
    <row r="780">
      <c r="B780" s="18"/>
      <c r="D780" s="18"/>
    </row>
    <row r="781">
      <c r="B781" s="18"/>
      <c r="D781" s="18"/>
    </row>
    <row r="782">
      <c r="B782" s="18"/>
      <c r="D782" s="18"/>
    </row>
    <row r="783">
      <c r="B783" s="18"/>
      <c r="D783" s="18"/>
    </row>
    <row r="784">
      <c r="B784" s="18"/>
      <c r="D784" s="18"/>
    </row>
    <row r="785">
      <c r="B785" s="18"/>
      <c r="D785" s="18"/>
    </row>
    <row r="786">
      <c r="B786" s="18"/>
      <c r="D786" s="18"/>
    </row>
    <row r="787">
      <c r="B787" s="18"/>
      <c r="D787" s="18"/>
    </row>
    <row r="788">
      <c r="B788" s="18"/>
      <c r="D788" s="18"/>
    </row>
    <row r="789">
      <c r="B789" s="18"/>
      <c r="D789" s="18"/>
    </row>
    <row r="790">
      <c r="B790" s="18"/>
      <c r="D790" s="18"/>
    </row>
    <row r="791">
      <c r="B791" s="18"/>
      <c r="D791" s="18"/>
    </row>
    <row r="792">
      <c r="B792" s="18"/>
      <c r="D792" s="18"/>
    </row>
    <row r="793">
      <c r="B793" s="18"/>
      <c r="D793" s="18"/>
    </row>
    <row r="794">
      <c r="B794" s="18"/>
      <c r="D794" s="18"/>
    </row>
    <row r="795">
      <c r="B795" s="18"/>
      <c r="D795" s="18"/>
    </row>
    <row r="796">
      <c r="B796" s="18"/>
      <c r="D796" s="18"/>
    </row>
    <row r="797">
      <c r="B797" s="18"/>
      <c r="D797" s="18"/>
    </row>
    <row r="798">
      <c r="B798" s="18"/>
      <c r="D798" s="18"/>
    </row>
    <row r="799">
      <c r="B799" s="18"/>
      <c r="D799" s="18"/>
    </row>
    <row r="800">
      <c r="B800" s="18"/>
      <c r="D800" s="18"/>
    </row>
    <row r="801">
      <c r="B801" s="18"/>
      <c r="D801" s="18"/>
    </row>
    <row r="802">
      <c r="B802" s="18"/>
      <c r="D802" s="18"/>
    </row>
    <row r="803">
      <c r="B803" s="18"/>
      <c r="D803" s="18"/>
    </row>
    <row r="804">
      <c r="B804" s="18"/>
      <c r="D804" s="18"/>
    </row>
    <row r="805">
      <c r="B805" s="18"/>
      <c r="D805" s="18"/>
    </row>
    <row r="806">
      <c r="B806" s="18"/>
      <c r="D806" s="18"/>
    </row>
    <row r="807">
      <c r="B807" s="18"/>
      <c r="D807" s="18"/>
    </row>
    <row r="808">
      <c r="B808" s="18"/>
      <c r="D808" s="18"/>
    </row>
    <row r="809">
      <c r="B809" s="18"/>
      <c r="D809" s="18"/>
    </row>
    <row r="810">
      <c r="B810" s="18"/>
      <c r="D810" s="18"/>
    </row>
    <row r="811">
      <c r="B811" s="18"/>
      <c r="D811" s="18"/>
    </row>
    <row r="812">
      <c r="B812" s="18"/>
      <c r="D812" s="18"/>
    </row>
    <row r="813">
      <c r="B813" s="18"/>
      <c r="D813" s="18"/>
    </row>
    <row r="814">
      <c r="B814" s="18"/>
      <c r="D814" s="18"/>
    </row>
    <row r="815">
      <c r="B815" s="18"/>
      <c r="D815" s="18"/>
    </row>
    <row r="816">
      <c r="B816" s="18"/>
      <c r="D816" s="18"/>
    </row>
    <row r="817">
      <c r="B817" s="18"/>
      <c r="D817" s="18"/>
    </row>
    <row r="818">
      <c r="B818" s="18"/>
      <c r="D818" s="18"/>
    </row>
    <row r="819">
      <c r="B819" s="18"/>
      <c r="D819" s="18"/>
    </row>
    <row r="820">
      <c r="B820" s="18"/>
      <c r="D820" s="18"/>
    </row>
    <row r="821">
      <c r="B821" s="18"/>
      <c r="D821" s="18"/>
    </row>
    <row r="822">
      <c r="B822" s="18"/>
      <c r="D822" s="18"/>
    </row>
    <row r="823">
      <c r="B823" s="18"/>
      <c r="D823" s="18"/>
    </row>
    <row r="824">
      <c r="B824" s="18"/>
      <c r="D824" s="18"/>
    </row>
    <row r="825">
      <c r="B825" s="18"/>
      <c r="D825" s="18"/>
    </row>
    <row r="826">
      <c r="B826" s="18"/>
      <c r="D826" s="18"/>
    </row>
    <row r="827">
      <c r="B827" s="18"/>
      <c r="D827" s="18"/>
    </row>
    <row r="828">
      <c r="B828" s="18"/>
      <c r="D828" s="18"/>
    </row>
    <row r="829">
      <c r="B829" s="18"/>
      <c r="D829" s="18"/>
    </row>
    <row r="830">
      <c r="B830" s="18"/>
      <c r="D830" s="18"/>
    </row>
    <row r="831">
      <c r="B831" s="18"/>
      <c r="D831" s="18"/>
    </row>
    <row r="832">
      <c r="B832" s="18"/>
      <c r="D832" s="18"/>
    </row>
    <row r="833">
      <c r="B833" s="18"/>
      <c r="D833" s="18"/>
    </row>
    <row r="834">
      <c r="B834" s="18"/>
      <c r="D834" s="18"/>
    </row>
    <row r="835">
      <c r="B835" s="18"/>
      <c r="D835" s="18"/>
    </row>
    <row r="836">
      <c r="B836" s="18"/>
      <c r="D836" s="18"/>
    </row>
    <row r="837">
      <c r="B837" s="18"/>
      <c r="D837" s="18"/>
    </row>
    <row r="838">
      <c r="B838" s="18"/>
      <c r="D838" s="18"/>
    </row>
    <row r="839">
      <c r="B839" s="18"/>
      <c r="D839" s="18"/>
    </row>
    <row r="840">
      <c r="B840" s="18"/>
      <c r="D840" s="18"/>
    </row>
    <row r="841">
      <c r="B841" s="18"/>
      <c r="D841" s="18"/>
    </row>
    <row r="842">
      <c r="B842" s="18"/>
      <c r="D842" s="18"/>
    </row>
    <row r="843">
      <c r="B843" s="18"/>
      <c r="D843" s="18"/>
    </row>
    <row r="844">
      <c r="B844" s="18"/>
      <c r="D844" s="18"/>
    </row>
    <row r="845">
      <c r="B845" s="18"/>
      <c r="D845" s="18"/>
    </row>
    <row r="846">
      <c r="B846" s="18"/>
      <c r="D846" s="18"/>
    </row>
    <row r="847">
      <c r="B847" s="18"/>
      <c r="D847" s="18"/>
    </row>
    <row r="848">
      <c r="B848" s="18"/>
      <c r="D848" s="18"/>
    </row>
    <row r="849">
      <c r="B849" s="18"/>
      <c r="D849" s="18"/>
    </row>
    <row r="850">
      <c r="B850" s="18"/>
      <c r="D850" s="18"/>
    </row>
    <row r="851">
      <c r="B851" s="18"/>
      <c r="D851" s="18"/>
    </row>
    <row r="852">
      <c r="B852" s="18"/>
      <c r="D852" s="18"/>
    </row>
    <row r="853">
      <c r="B853" s="18"/>
      <c r="D853" s="18"/>
    </row>
    <row r="854">
      <c r="B854" s="18"/>
      <c r="D854" s="18"/>
    </row>
    <row r="855">
      <c r="B855" s="18"/>
      <c r="D855" s="18"/>
    </row>
    <row r="856">
      <c r="B856" s="18"/>
      <c r="D856" s="18"/>
    </row>
    <row r="857">
      <c r="B857" s="18"/>
      <c r="D857" s="18"/>
    </row>
    <row r="858">
      <c r="B858" s="18"/>
      <c r="D858" s="18"/>
    </row>
    <row r="859">
      <c r="B859" s="18"/>
      <c r="D859" s="18"/>
    </row>
    <row r="860">
      <c r="B860" s="18"/>
      <c r="D860" s="18"/>
    </row>
    <row r="861">
      <c r="B861" s="18"/>
      <c r="D861" s="18"/>
    </row>
    <row r="862">
      <c r="B862" s="18"/>
      <c r="D862" s="18"/>
    </row>
    <row r="863">
      <c r="B863" s="18"/>
      <c r="D863" s="18"/>
    </row>
    <row r="864">
      <c r="B864" s="18"/>
      <c r="D864" s="18"/>
    </row>
    <row r="865">
      <c r="B865" s="18"/>
      <c r="D865" s="18"/>
    </row>
    <row r="866">
      <c r="B866" s="18"/>
      <c r="D866" s="18"/>
    </row>
    <row r="867">
      <c r="B867" s="18"/>
      <c r="D867" s="18"/>
    </row>
    <row r="868">
      <c r="B868" s="18"/>
      <c r="D868" s="18"/>
    </row>
    <row r="869">
      <c r="B869" s="18"/>
      <c r="D869" s="18"/>
    </row>
    <row r="870">
      <c r="B870" s="18"/>
      <c r="D870" s="18"/>
    </row>
    <row r="871">
      <c r="B871" s="18"/>
      <c r="D871" s="18"/>
    </row>
    <row r="872">
      <c r="B872" s="18"/>
      <c r="D872" s="18"/>
    </row>
    <row r="873">
      <c r="B873" s="18"/>
      <c r="D873" s="18"/>
    </row>
    <row r="874">
      <c r="B874" s="18"/>
      <c r="D874" s="18"/>
    </row>
    <row r="875">
      <c r="B875" s="18"/>
      <c r="D875" s="18"/>
    </row>
    <row r="876">
      <c r="B876" s="18"/>
      <c r="D876" s="18"/>
    </row>
    <row r="877">
      <c r="B877" s="18"/>
      <c r="D877" s="18"/>
    </row>
    <row r="878">
      <c r="B878" s="18"/>
      <c r="D878" s="18"/>
    </row>
    <row r="879">
      <c r="B879" s="18"/>
      <c r="D879" s="18"/>
    </row>
    <row r="880">
      <c r="B880" s="18"/>
      <c r="D880" s="18"/>
    </row>
    <row r="881">
      <c r="B881" s="18"/>
      <c r="D881" s="18"/>
    </row>
    <row r="882">
      <c r="B882" s="18"/>
      <c r="D882" s="18"/>
    </row>
    <row r="883">
      <c r="B883" s="18"/>
      <c r="D883" s="18"/>
    </row>
    <row r="884">
      <c r="B884" s="18"/>
      <c r="D884" s="18"/>
    </row>
    <row r="885">
      <c r="B885" s="18"/>
      <c r="D885" s="18"/>
    </row>
    <row r="886">
      <c r="B886" s="18"/>
      <c r="D886" s="18"/>
    </row>
    <row r="887">
      <c r="B887" s="18"/>
      <c r="D887" s="18"/>
    </row>
    <row r="888">
      <c r="B888" s="18"/>
      <c r="D888" s="18"/>
    </row>
    <row r="889">
      <c r="B889" s="18"/>
      <c r="D889" s="18"/>
    </row>
    <row r="890">
      <c r="B890" s="18"/>
      <c r="D890" s="18"/>
    </row>
    <row r="891">
      <c r="B891" s="18"/>
      <c r="D891" s="18"/>
    </row>
    <row r="892">
      <c r="B892" s="18"/>
      <c r="D892" s="18"/>
    </row>
    <row r="893">
      <c r="B893" s="18"/>
      <c r="D893" s="18"/>
    </row>
    <row r="894">
      <c r="B894" s="18"/>
      <c r="D894" s="18"/>
    </row>
    <row r="895">
      <c r="B895" s="18"/>
      <c r="D895" s="18"/>
    </row>
    <row r="896">
      <c r="B896" s="18"/>
      <c r="D896" s="18"/>
    </row>
    <row r="897">
      <c r="B897" s="18"/>
      <c r="D897" s="18"/>
    </row>
    <row r="898">
      <c r="B898" s="18"/>
      <c r="D898" s="18"/>
    </row>
    <row r="899">
      <c r="B899" s="18"/>
      <c r="D899" s="18"/>
    </row>
    <row r="900">
      <c r="B900" s="18"/>
      <c r="D900" s="18"/>
    </row>
    <row r="901">
      <c r="B901" s="18"/>
      <c r="D901" s="18"/>
    </row>
    <row r="902">
      <c r="B902" s="18"/>
      <c r="D902" s="18"/>
    </row>
    <row r="903">
      <c r="B903" s="18"/>
      <c r="D903" s="18"/>
    </row>
    <row r="904">
      <c r="B904" s="18"/>
      <c r="D904" s="18"/>
    </row>
    <row r="905">
      <c r="B905" s="18"/>
      <c r="D905" s="18"/>
    </row>
    <row r="906">
      <c r="B906" s="18"/>
      <c r="D906" s="18"/>
    </row>
    <row r="907">
      <c r="B907" s="18"/>
      <c r="D907" s="18"/>
    </row>
    <row r="908">
      <c r="B908" s="18"/>
      <c r="D908" s="18"/>
    </row>
    <row r="909">
      <c r="B909" s="18"/>
      <c r="D909" s="18"/>
    </row>
    <row r="910">
      <c r="B910" s="18"/>
      <c r="D910" s="18"/>
    </row>
    <row r="911">
      <c r="B911" s="18"/>
      <c r="D911" s="18"/>
    </row>
    <row r="912">
      <c r="B912" s="18"/>
      <c r="D912" s="18"/>
    </row>
    <row r="913">
      <c r="B913" s="18"/>
      <c r="D913" s="18"/>
    </row>
    <row r="914">
      <c r="B914" s="18"/>
      <c r="D914" s="18"/>
    </row>
    <row r="915">
      <c r="B915" s="18"/>
      <c r="D915" s="18"/>
    </row>
    <row r="916">
      <c r="B916" s="18"/>
      <c r="D916" s="18"/>
    </row>
    <row r="917">
      <c r="B917" s="18"/>
      <c r="D917" s="18"/>
    </row>
    <row r="918">
      <c r="B918" s="18"/>
      <c r="D918" s="18"/>
    </row>
    <row r="919">
      <c r="B919" s="18"/>
      <c r="D919" s="18"/>
    </row>
    <row r="920">
      <c r="B920" s="18"/>
      <c r="D920" s="18"/>
    </row>
    <row r="921">
      <c r="B921" s="18"/>
      <c r="D921" s="18"/>
    </row>
    <row r="922">
      <c r="B922" s="18"/>
      <c r="D922" s="18"/>
    </row>
    <row r="923">
      <c r="B923" s="18"/>
      <c r="D923" s="18"/>
    </row>
    <row r="924">
      <c r="B924" s="18"/>
      <c r="D924" s="18"/>
    </row>
    <row r="925">
      <c r="B925" s="18"/>
      <c r="D925" s="18"/>
    </row>
    <row r="926">
      <c r="B926" s="18"/>
      <c r="D926" s="18"/>
    </row>
    <row r="927">
      <c r="B927" s="18"/>
      <c r="D927" s="18"/>
    </row>
    <row r="928">
      <c r="B928" s="18"/>
      <c r="D928" s="18"/>
    </row>
    <row r="929">
      <c r="B929" s="18"/>
      <c r="D929" s="18"/>
    </row>
    <row r="930">
      <c r="B930" s="18"/>
      <c r="D930" s="18"/>
    </row>
    <row r="931">
      <c r="B931" s="18"/>
      <c r="D931" s="18"/>
    </row>
    <row r="932">
      <c r="B932" s="18"/>
      <c r="D932" s="18"/>
    </row>
    <row r="933">
      <c r="B933" s="18"/>
      <c r="D933" s="18"/>
    </row>
    <row r="934">
      <c r="B934" s="18"/>
      <c r="D934" s="18"/>
    </row>
    <row r="935">
      <c r="B935" s="18"/>
      <c r="D935" s="18"/>
    </row>
    <row r="936">
      <c r="B936" s="18"/>
      <c r="D936" s="18"/>
    </row>
    <row r="937">
      <c r="B937" s="18"/>
      <c r="D937" s="18"/>
    </row>
    <row r="938">
      <c r="B938" s="18"/>
      <c r="D938" s="18"/>
    </row>
    <row r="939">
      <c r="B939" s="18"/>
      <c r="D939" s="18"/>
    </row>
    <row r="940">
      <c r="B940" s="18"/>
      <c r="D940" s="18"/>
    </row>
    <row r="941">
      <c r="B941" s="18"/>
      <c r="D941" s="18"/>
    </row>
    <row r="942">
      <c r="B942" s="18"/>
      <c r="D942" s="18"/>
    </row>
    <row r="943">
      <c r="B943" s="18"/>
      <c r="D943" s="18"/>
    </row>
    <row r="944">
      <c r="B944" s="18"/>
      <c r="D944" s="18"/>
    </row>
    <row r="945">
      <c r="B945" s="18"/>
      <c r="D945" s="18"/>
    </row>
    <row r="946">
      <c r="B946" s="18"/>
      <c r="D946" s="18"/>
    </row>
    <row r="947">
      <c r="B947" s="18"/>
      <c r="D947" s="18"/>
    </row>
    <row r="948">
      <c r="B948" s="18"/>
      <c r="D948" s="18"/>
    </row>
    <row r="949">
      <c r="B949" s="18"/>
      <c r="D949" s="18"/>
    </row>
    <row r="950">
      <c r="B950" s="18"/>
      <c r="D950" s="18"/>
    </row>
    <row r="951">
      <c r="B951" s="18"/>
      <c r="D951" s="18"/>
    </row>
    <row r="952">
      <c r="B952" s="18"/>
      <c r="D952" s="18"/>
    </row>
    <row r="953">
      <c r="B953" s="18"/>
      <c r="D953" s="18"/>
    </row>
    <row r="954">
      <c r="B954" s="18"/>
      <c r="D954" s="18"/>
    </row>
    <row r="955">
      <c r="B955" s="18"/>
      <c r="D955" s="18"/>
    </row>
    <row r="956">
      <c r="B956" s="18"/>
      <c r="D956" s="18"/>
    </row>
    <row r="957">
      <c r="B957" s="18"/>
      <c r="D957" s="18"/>
    </row>
    <row r="958">
      <c r="B958" s="18"/>
      <c r="D958" s="18"/>
    </row>
    <row r="959">
      <c r="B959" s="18"/>
      <c r="D959" s="18"/>
    </row>
    <row r="960">
      <c r="B960" s="18"/>
      <c r="D960" s="18"/>
    </row>
    <row r="961">
      <c r="B961" s="18"/>
      <c r="D961" s="18"/>
    </row>
    <row r="962">
      <c r="B962" s="18"/>
      <c r="D962" s="18"/>
    </row>
    <row r="963">
      <c r="B963" s="18"/>
      <c r="D963" s="18"/>
    </row>
    <row r="964">
      <c r="B964" s="18"/>
      <c r="D964" s="18"/>
    </row>
    <row r="965">
      <c r="B965" s="18"/>
      <c r="D965" s="18"/>
    </row>
    <row r="966">
      <c r="B966" s="18"/>
      <c r="D966" s="18"/>
    </row>
    <row r="967">
      <c r="B967" s="18"/>
      <c r="D967" s="18"/>
    </row>
    <row r="968">
      <c r="B968" s="18"/>
      <c r="D968" s="18"/>
    </row>
    <row r="969">
      <c r="B969" s="18"/>
      <c r="D969" s="18"/>
    </row>
    <row r="970">
      <c r="B970" s="18"/>
      <c r="D970" s="18"/>
    </row>
    <row r="971">
      <c r="B971" s="18"/>
      <c r="D971" s="18"/>
    </row>
    <row r="972">
      <c r="B972" s="18"/>
      <c r="D972" s="18"/>
    </row>
    <row r="973">
      <c r="B973" s="18"/>
      <c r="D973" s="18"/>
    </row>
    <row r="974">
      <c r="B974" s="18"/>
      <c r="D974" s="18"/>
    </row>
    <row r="975">
      <c r="B975" s="18"/>
      <c r="D975" s="18"/>
    </row>
    <row r="976">
      <c r="B976" s="18"/>
      <c r="D976" s="18"/>
    </row>
    <row r="977">
      <c r="B977" s="18"/>
      <c r="D977" s="18"/>
    </row>
    <row r="978">
      <c r="B978" s="18"/>
      <c r="D978" s="18"/>
    </row>
    <row r="979">
      <c r="B979" s="18"/>
      <c r="D979" s="18"/>
    </row>
    <row r="980">
      <c r="B980" s="18"/>
      <c r="D980" s="18"/>
    </row>
    <row r="981">
      <c r="B981" s="18"/>
      <c r="D981" s="18"/>
    </row>
    <row r="982">
      <c r="B982" s="18"/>
      <c r="D982" s="18"/>
    </row>
    <row r="983">
      <c r="B983" s="18"/>
      <c r="D983" s="18"/>
    </row>
    <row r="984">
      <c r="B984" s="18"/>
      <c r="D984" s="18"/>
    </row>
    <row r="985">
      <c r="B985" s="18"/>
      <c r="D985" s="18"/>
    </row>
    <row r="986">
      <c r="B986" s="18"/>
      <c r="D986" s="18"/>
    </row>
    <row r="987">
      <c r="B987" s="18"/>
      <c r="D987" s="18"/>
    </row>
    <row r="988">
      <c r="B988" s="18"/>
      <c r="D988" s="18"/>
    </row>
    <row r="989">
      <c r="B989" s="18"/>
      <c r="D989" s="18"/>
    </row>
    <row r="990">
      <c r="B990" s="18"/>
      <c r="D990" s="18"/>
    </row>
    <row r="991">
      <c r="B991" s="18"/>
      <c r="D991" s="18"/>
    </row>
    <row r="992">
      <c r="B992" s="18"/>
      <c r="D992" s="18"/>
    </row>
    <row r="993">
      <c r="B993" s="18"/>
      <c r="D993" s="18"/>
    </row>
    <row r="994">
      <c r="B994" s="18"/>
      <c r="D994" s="18"/>
    </row>
    <row r="995">
      <c r="B995" s="18"/>
      <c r="D995" s="18"/>
    </row>
    <row r="996">
      <c r="B996" s="18"/>
      <c r="D996" s="18"/>
    </row>
    <row r="997">
      <c r="B997" s="18"/>
      <c r="D997" s="18"/>
    </row>
    <row r="998">
      <c r="B998" s="18"/>
      <c r="D998" s="18"/>
    </row>
    <row r="999">
      <c r="B999" s="18"/>
      <c r="D999" s="18"/>
    </row>
    <row r="1000">
      <c r="B1000" s="18"/>
      <c r="D1000" s="18"/>
    </row>
    <row r="1001">
      <c r="B1001" s="18"/>
      <c r="D1001" s="18"/>
    </row>
    <row r="1002">
      <c r="B1002" s="18"/>
      <c r="D1002" s="18"/>
    </row>
    <row r="1003">
      <c r="B1003" s="18"/>
      <c r="D1003" s="18"/>
    </row>
    <row r="1004">
      <c r="B1004" s="18"/>
      <c r="D1004" s="18"/>
    </row>
    <row r="1005">
      <c r="B1005" s="18"/>
      <c r="D1005" s="18"/>
    </row>
    <row r="1006">
      <c r="B1006" s="18"/>
      <c r="D1006" s="18"/>
    </row>
    <row r="1007">
      <c r="B1007" s="18"/>
      <c r="D1007" s="18"/>
    </row>
    <row r="1008">
      <c r="B1008" s="18"/>
      <c r="D1008" s="18"/>
    </row>
    <row r="1009">
      <c r="B1009" s="18"/>
      <c r="D1009" s="18"/>
    </row>
  </sheetData>
  <dataValidations>
    <dataValidation type="list" allowBlank="1" showErrorMessage="1" sqref="B19">
      <formula1>scenario_profile!$A$2:$A$6</formula1>
    </dataValidation>
    <dataValidation type="custom" allowBlank="1" showDropDown="1" sqref="B17">
      <formula1>OR(NOT(ISERROR(DATEVALUE(B17))), AND(ISNUMBER(B17), LEFT(CELL("format", B17))="D"))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22.63"/>
    <col customWidth="1" min="3" max="3" width="13.88"/>
    <col customWidth="1" min="4" max="6" width="10.13"/>
    <col customWidth="1" min="7" max="8" width="11.38"/>
  </cols>
  <sheetData>
    <row r="1">
      <c r="A1" s="19" t="s">
        <v>71</v>
      </c>
      <c r="B1" s="19" t="s">
        <v>72</v>
      </c>
      <c r="C1" s="19" t="s">
        <v>73</v>
      </c>
      <c r="D1" s="19" t="s">
        <v>74</v>
      </c>
      <c r="E1" s="19" t="s">
        <v>75</v>
      </c>
      <c r="F1" s="19" t="s">
        <v>76</v>
      </c>
      <c r="G1" s="19" t="s">
        <v>77</v>
      </c>
      <c r="H1" s="19" t="s">
        <v>78</v>
      </c>
    </row>
    <row r="2">
      <c r="A2" s="20">
        <v>1.0</v>
      </c>
      <c r="B2" s="14" t="s">
        <v>79</v>
      </c>
      <c r="C2" s="20">
        <v>3.90129531E8</v>
      </c>
      <c r="D2" s="20">
        <v>33.0</v>
      </c>
      <c r="E2" s="20">
        <v>33.0</v>
      </c>
      <c r="F2" s="20">
        <v>5.0</v>
      </c>
      <c r="G2" s="20">
        <v>1014.0</v>
      </c>
      <c r="H2" s="20">
        <v>26.0</v>
      </c>
    </row>
    <row r="3">
      <c r="A3" s="20">
        <v>2.0</v>
      </c>
      <c r="B3" s="14" t="s">
        <v>80</v>
      </c>
      <c r="C3" s="20">
        <v>2.111876559E9</v>
      </c>
      <c r="D3" s="20">
        <v>0.0</v>
      </c>
      <c r="E3" s="20">
        <v>0.0</v>
      </c>
      <c r="F3" s="20">
        <v>0.0</v>
      </c>
      <c r="G3" s="20">
        <v>1000.0</v>
      </c>
      <c r="H3" s="20">
        <v>26.0</v>
      </c>
    </row>
    <row r="4">
      <c r="A4" s="20">
        <v>3.0</v>
      </c>
      <c r="B4" s="14" t="s">
        <v>81</v>
      </c>
      <c r="C4" s="20">
        <v>6.79667442E8</v>
      </c>
      <c r="D4" s="20">
        <v>6.0</v>
      </c>
      <c r="E4" s="20">
        <v>6.0</v>
      </c>
      <c r="F4" s="20">
        <v>7.0</v>
      </c>
      <c r="G4" s="20">
        <v>1000.0</v>
      </c>
      <c r="H4" s="20">
        <v>26.0</v>
      </c>
    </row>
    <row r="5">
      <c r="A5" s="20">
        <v>4.0</v>
      </c>
      <c r="B5" s="14" t="s">
        <v>82</v>
      </c>
      <c r="C5" s="20">
        <v>1.971378519E9</v>
      </c>
      <c r="D5" s="20">
        <v>92.0</v>
      </c>
      <c r="E5" s="20">
        <v>98.0</v>
      </c>
      <c r="F5" s="20">
        <v>28.0</v>
      </c>
      <c r="G5" s="20">
        <v>947.0</v>
      </c>
      <c r="H5" s="20">
        <v>28.0</v>
      </c>
    </row>
    <row r="6">
      <c r="A6" s="20">
        <v>5.0</v>
      </c>
      <c r="B6" s="14" t="s">
        <v>83</v>
      </c>
      <c r="C6" s="20">
        <v>8.05591089E8</v>
      </c>
      <c r="D6" s="20">
        <v>13.0</v>
      </c>
      <c r="E6" s="20">
        <v>13.0</v>
      </c>
      <c r="F6" s="20">
        <v>4.0</v>
      </c>
      <c r="G6" s="20">
        <v>999.0</v>
      </c>
      <c r="H6" s="20">
        <v>25.0</v>
      </c>
    </row>
    <row r="7">
      <c r="A7" s="20">
        <v>6.0</v>
      </c>
      <c r="B7" s="14" t="s">
        <v>84</v>
      </c>
      <c r="C7" s="20">
        <v>5.16702436E8</v>
      </c>
      <c r="D7" s="20">
        <v>8.0</v>
      </c>
      <c r="E7" s="20">
        <v>8.0</v>
      </c>
      <c r="F7" s="20">
        <v>17.0</v>
      </c>
      <c r="G7" s="20">
        <v>8.0</v>
      </c>
      <c r="H7" s="20">
        <v>17.0</v>
      </c>
    </row>
    <row r="8">
      <c r="A8" s="20">
        <v>7.0</v>
      </c>
      <c r="B8" s="14" t="s">
        <v>85</v>
      </c>
      <c r="C8" s="20">
        <v>1.156350584E9</v>
      </c>
      <c r="D8" s="20">
        <v>54.0</v>
      </c>
      <c r="E8" s="20">
        <v>54.0</v>
      </c>
      <c r="F8" s="20">
        <v>18.0</v>
      </c>
      <c r="G8" s="20">
        <v>54.0</v>
      </c>
      <c r="H8" s="20">
        <v>23.0</v>
      </c>
    </row>
    <row r="9">
      <c r="A9" s="20">
        <v>8.0</v>
      </c>
      <c r="B9" s="14" t="s">
        <v>86</v>
      </c>
      <c r="C9" s="20">
        <v>6.39234856E8</v>
      </c>
      <c r="D9" s="20">
        <v>8.0</v>
      </c>
      <c r="E9" s="20">
        <v>8.0</v>
      </c>
      <c r="F9" s="20">
        <v>8.0</v>
      </c>
      <c r="G9" s="20">
        <v>9.0</v>
      </c>
      <c r="H9" s="20">
        <v>10.0</v>
      </c>
    </row>
    <row r="10">
      <c r="A10" s="20">
        <v>9.0</v>
      </c>
      <c r="B10" s="14" t="s">
        <v>87</v>
      </c>
      <c r="C10" s="20">
        <v>1.734650643E9</v>
      </c>
      <c r="D10" s="20">
        <v>38.0</v>
      </c>
      <c r="E10" s="20">
        <v>38.0</v>
      </c>
      <c r="F10" s="20">
        <v>14.0</v>
      </c>
      <c r="G10" s="20">
        <v>1000.0</v>
      </c>
      <c r="H10" s="20">
        <v>32.0</v>
      </c>
    </row>
    <row r="11">
      <c r="A11" s="20">
        <v>10.0</v>
      </c>
      <c r="B11" s="14" t="s">
        <v>88</v>
      </c>
      <c r="C11" s="20">
        <v>1.62060258E8</v>
      </c>
      <c r="D11" s="20">
        <v>21.0</v>
      </c>
      <c r="E11" s="20">
        <v>21.0</v>
      </c>
      <c r="F11" s="20">
        <v>7.0</v>
      </c>
      <c r="G11" s="20">
        <v>1000.0</v>
      </c>
      <c r="H11" s="20">
        <v>27.0</v>
      </c>
    </row>
    <row r="12">
      <c r="A12" s="20">
        <v>11.0</v>
      </c>
      <c r="B12" s="14" t="s">
        <v>89</v>
      </c>
      <c r="C12" s="20">
        <v>3.05033042E8</v>
      </c>
      <c r="D12" s="20">
        <v>13.0</v>
      </c>
      <c r="E12" s="20">
        <v>13.0</v>
      </c>
      <c r="F12" s="20">
        <v>19.0</v>
      </c>
      <c r="G12" s="20">
        <v>1000.0</v>
      </c>
      <c r="H12" s="20">
        <v>26.0</v>
      </c>
    </row>
    <row r="13">
      <c r="A13" s="20">
        <v>12.0</v>
      </c>
      <c r="B13" s="14" t="s">
        <v>90</v>
      </c>
      <c r="C13" s="20">
        <v>9.1455602E8</v>
      </c>
      <c r="D13" s="20">
        <v>33.0</v>
      </c>
      <c r="E13" s="20">
        <v>33.0</v>
      </c>
      <c r="F13" s="20">
        <v>19.0</v>
      </c>
      <c r="G13" s="20">
        <v>1001.0</v>
      </c>
      <c r="H13" s="20">
        <v>28.0</v>
      </c>
    </row>
    <row r="14">
      <c r="A14" s="20">
        <v>13.0</v>
      </c>
      <c r="B14" s="14" t="s">
        <v>91</v>
      </c>
      <c r="C14" s="20">
        <v>1.066123676E9</v>
      </c>
      <c r="D14" s="20">
        <v>25.0</v>
      </c>
      <c r="E14" s="20">
        <v>25.0</v>
      </c>
      <c r="F14" s="20">
        <v>11.0</v>
      </c>
      <c r="G14" s="20">
        <v>1000.0</v>
      </c>
      <c r="H14" s="20">
        <v>27.0</v>
      </c>
    </row>
    <row r="15">
      <c r="A15" s="20">
        <v>14.0</v>
      </c>
      <c r="B15" s="14" t="s">
        <v>92</v>
      </c>
      <c r="C15" s="20">
        <v>1.447168012E9</v>
      </c>
      <c r="D15" s="20">
        <v>11.0</v>
      </c>
      <c r="E15" s="20">
        <v>11.0</v>
      </c>
      <c r="F15" s="20">
        <v>13.0</v>
      </c>
      <c r="G15" s="20">
        <v>996.0</v>
      </c>
      <c r="H15" s="20">
        <v>27.0</v>
      </c>
    </row>
    <row r="16">
      <c r="A16" s="20">
        <v>15.0</v>
      </c>
      <c r="B16" s="14" t="s">
        <v>93</v>
      </c>
      <c r="C16" s="20">
        <v>1.472338098E9</v>
      </c>
      <c r="D16" s="20">
        <v>12.0</v>
      </c>
      <c r="E16" s="20">
        <v>12.0</v>
      </c>
      <c r="F16" s="20">
        <v>12.0</v>
      </c>
      <c r="G16" s="20">
        <v>1000.0</v>
      </c>
      <c r="H16" s="20">
        <v>27.0</v>
      </c>
    </row>
    <row r="17">
      <c r="A17" s="20">
        <v>16.0</v>
      </c>
      <c r="B17" s="14" t="s">
        <v>94</v>
      </c>
      <c r="C17" s="20">
        <v>1.610355353E9</v>
      </c>
      <c r="D17" s="20">
        <v>16.0</v>
      </c>
      <c r="E17" s="20">
        <v>16.0</v>
      </c>
      <c r="F17" s="20">
        <v>12.0</v>
      </c>
      <c r="G17" s="20">
        <v>1001.0</v>
      </c>
      <c r="H17" s="20">
        <v>27.0</v>
      </c>
    </row>
    <row r="18">
      <c r="A18" s="20">
        <v>17.0</v>
      </c>
      <c r="B18" s="14" t="s">
        <v>95</v>
      </c>
      <c r="C18" s="20">
        <v>1.875946653E9</v>
      </c>
      <c r="D18" s="20">
        <v>36.0</v>
      </c>
      <c r="E18" s="20">
        <v>100.0</v>
      </c>
      <c r="F18" s="20">
        <v>5.0</v>
      </c>
      <c r="G18" s="20">
        <v>100.0</v>
      </c>
      <c r="H18" s="20">
        <v>29.0</v>
      </c>
    </row>
    <row r="19">
      <c r="A19" s="20">
        <v>18.0</v>
      </c>
      <c r="B19" s="14" t="s">
        <v>96</v>
      </c>
      <c r="C19" s="20">
        <v>2.24119311E8</v>
      </c>
      <c r="D19" s="20">
        <v>6.0</v>
      </c>
      <c r="E19" s="20">
        <v>6.0</v>
      </c>
      <c r="F19" s="20">
        <v>6.0</v>
      </c>
      <c r="G19" s="20">
        <v>1000.0</v>
      </c>
      <c r="H19" s="20">
        <v>26.0</v>
      </c>
    </row>
    <row r="20">
      <c r="A20" s="20">
        <v>19.0</v>
      </c>
      <c r="B20" s="14" t="s">
        <v>97</v>
      </c>
      <c r="C20" s="20">
        <v>1.27559852E8</v>
      </c>
      <c r="D20" s="20">
        <v>16.0</v>
      </c>
      <c r="E20" s="20">
        <v>16.0</v>
      </c>
      <c r="F20" s="20">
        <v>12.0</v>
      </c>
      <c r="G20" s="20">
        <v>1001.0</v>
      </c>
      <c r="H20" s="20">
        <v>27.0</v>
      </c>
    </row>
    <row r="21">
      <c r="A21" s="20">
        <v>20.0</v>
      </c>
      <c r="B21" s="14" t="s">
        <v>98</v>
      </c>
      <c r="C21" s="20">
        <v>1.447876334E9</v>
      </c>
      <c r="D21" s="20">
        <v>12.0</v>
      </c>
      <c r="E21" s="20">
        <v>12.0</v>
      </c>
      <c r="F21" s="20">
        <v>12.0</v>
      </c>
      <c r="G21" s="20">
        <v>1000.0</v>
      </c>
      <c r="H21" s="20">
        <v>27.0</v>
      </c>
    </row>
    <row r="22">
      <c r="A22" s="20">
        <v>21.0</v>
      </c>
      <c r="B22" s="14" t="s">
        <v>99</v>
      </c>
      <c r="C22" s="20">
        <v>7.92793433E8</v>
      </c>
      <c r="D22" s="20">
        <v>14.0</v>
      </c>
      <c r="E22" s="20">
        <v>14.0</v>
      </c>
      <c r="F22" s="20">
        <v>5.0</v>
      </c>
      <c r="G22" s="20">
        <v>1000.0</v>
      </c>
      <c r="H22" s="20">
        <v>25.0</v>
      </c>
    </row>
    <row r="23">
      <c r="B23" s="21"/>
    </row>
    <row r="24">
      <c r="B24" s="21"/>
    </row>
    <row r="25">
      <c r="B25" s="21"/>
    </row>
    <row r="26">
      <c r="B26" s="21"/>
    </row>
    <row r="27">
      <c r="B27"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14" t="s">
        <v>100</v>
      </c>
      <c r="B1" s="14" t="s">
        <v>101</v>
      </c>
      <c r="C1" s="14" t="s">
        <v>102</v>
      </c>
      <c r="D1" s="14" t="s">
        <v>103</v>
      </c>
      <c r="E1" s="14" t="s">
        <v>104</v>
      </c>
      <c r="F1" s="14" t="s">
        <v>105</v>
      </c>
      <c r="G1" s="14" t="s">
        <v>106</v>
      </c>
    </row>
    <row r="2" ht="29.25" customHeight="1">
      <c r="A2" s="22">
        <v>46195.508144224535</v>
      </c>
      <c r="B2" s="14" t="s">
        <v>50</v>
      </c>
      <c r="C2" s="20">
        <v>6.0</v>
      </c>
      <c r="D2" s="14" t="s">
        <v>107</v>
      </c>
      <c r="E2" s="14" t="s">
        <v>108</v>
      </c>
      <c r="F2" s="14" t="s">
        <v>109</v>
      </c>
      <c r="G2" s="14" t="s">
        <v>110</v>
      </c>
    </row>
    <row r="3" ht="61.5" customHeight="1">
      <c r="A3" s="22">
        <v>46197.467065833334</v>
      </c>
      <c r="B3" s="14" t="s">
        <v>111</v>
      </c>
      <c r="C3" s="20">
        <v>6.0</v>
      </c>
      <c r="D3" s="14" t="s">
        <v>107</v>
      </c>
      <c r="E3" s="14" t="s">
        <v>112</v>
      </c>
      <c r="F3" s="14" t="s">
        <v>113</v>
      </c>
      <c r="G3" s="14" t="s">
        <v>110</v>
      </c>
    </row>
    <row r="4">
      <c r="A4" s="22">
        <v>46197.542219675925</v>
      </c>
      <c r="B4" s="14" t="s">
        <v>111</v>
      </c>
      <c r="C4" s="20">
        <v>6.0</v>
      </c>
      <c r="D4" s="14" t="s">
        <v>107</v>
      </c>
      <c r="E4" s="14" t="s">
        <v>114</v>
      </c>
      <c r="F4" s="14" t="s">
        <v>115</v>
      </c>
      <c r="G4" s="14" t="s">
        <v>110</v>
      </c>
    </row>
    <row r="5">
      <c r="A5" s="22">
        <v>46208.61123709491</v>
      </c>
      <c r="B5" s="14" t="s">
        <v>116</v>
      </c>
      <c r="C5" s="20">
        <v>6.0</v>
      </c>
      <c r="D5" s="14" t="s">
        <v>107</v>
      </c>
      <c r="E5" s="14" t="s">
        <v>117</v>
      </c>
      <c r="F5" s="14" t="s">
        <v>115</v>
      </c>
      <c r="G5" s="14" t="s">
        <v>110</v>
      </c>
    </row>
    <row r="6">
      <c r="A6" s="22">
        <v>46208.83306261574</v>
      </c>
      <c r="B6" s="14" t="s">
        <v>50</v>
      </c>
      <c r="C6" s="20">
        <v>6.0</v>
      </c>
      <c r="D6" s="14" t="s">
        <v>107</v>
      </c>
      <c r="E6" s="14" t="s">
        <v>118</v>
      </c>
      <c r="F6" s="14" t="s">
        <v>115</v>
      </c>
      <c r="G6" s="14" t="s">
        <v>110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4.0"/>
    <col customWidth="1" min="2" max="2" width="3.88"/>
    <col customWidth="1" min="3" max="3" width="7.5"/>
    <col customWidth="1" min="4" max="4" width="11.13"/>
    <col customWidth="1" min="5" max="5" width="9.0"/>
    <col customWidth="1" min="6" max="6" width="8.25"/>
    <col customWidth="1" min="7" max="7" width="8.75"/>
    <col customWidth="1" min="8" max="8" width="8.13"/>
    <col customWidth="1" min="9" max="9" width="8.88"/>
    <col customWidth="1" min="10" max="10" width="7.0"/>
    <col customWidth="1" min="11" max="11" width="4.5"/>
    <col customWidth="1" min="12" max="12" width="6.0"/>
    <col customWidth="1" min="13" max="13" width="10.25"/>
    <col customWidth="1" min="14" max="14" width="8.25"/>
    <col customWidth="1" min="15" max="15" width="5.63"/>
    <col customWidth="1" min="16" max="16" width="4.75"/>
    <col customWidth="1" min="17" max="17" width="6.5"/>
    <col customWidth="1" min="18" max="18" width="6.38"/>
    <col customWidth="1" min="19" max="19" width="8.0"/>
    <col customWidth="1" min="20" max="20" width="4.75"/>
    <col customWidth="1" min="21" max="21" width="3.63"/>
    <col customWidth="1" min="22" max="22" width="7.5"/>
    <col customWidth="1" min="23" max="23" width="6.88"/>
    <col customWidth="1" min="24" max="24" width="7.5"/>
    <col customWidth="1" min="25" max="25" width="5.13"/>
    <col customWidth="1" min="26" max="26" width="4.25"/>
    <col customWidth="1" min="27" max="28" width="10.38"/>
  </cols>
  <sheetData>
    <row r="1">
      <c r="A1" s="23" t="s">
        <v>119</v>
      </c>
      <c r="B1" s="23" t="s">
        <v>102</v>
      </c>
      <c r="C1" s="23" t="s">
        <v>120</v>
      </c>
      <c r="D1" s="23" t="s">
        <v>121</v>
      </c>
      <c r="E1" s="23" t="s">
        <v>122</v>
      </c>
      <c r="F1" s="23" t="s">
        <v>123</v>
      </c>
      <c r="G1" s="23" t="s">
        <v>124</v>
      </c>
      <c r="H1" s="23" t="s">
        <v>125</v>
      </c>
      <c r="I1" s="23" t="s">
        <v>126</v>
      </c>
      <c r="J1" s="23" t="s">
        <v>127</v>
      </c>
      <c r="K1" s="23" t="s">
        <v>128</v>
      </c>
      <c r="L1" s="23" t="s">
        <v>129</v>
      </c>
      <c r="M1" s="23" t="s">
        <v>130</v>
      </c>
      <c r="N1" s="23" t="s">
        <v>131</v>
      </c>
      <c r="O1" s="23" t="s">
        <v>132</v>
      </c>
      <c r="P1" s="23" t="s">
        <v>133</v>
      </c>
      <c r="Q1" s="23" t="s">
        <v>134</v>
      </c>
      <c r="R1" s="23" t="s">
        <v>135</v>
      </c>
      <c r="S1" s="23" t="s">
        <v>136</v>
      </c>
      <c r="T1" s="23" t="s">
        <v>137</v>
      </c>
      <c r="U1" s="23" t="s">
        <v>138</v>
      </c>
      <c r="V1" s="23" t="s">
        <v>139</v>
      </c>
      <c r="W1" s="23" t="s">
        <v>140</v>
      </c>
      <c r="X1" s="23" t="s">
        <v>141</v>
      </c>
      <c r="Y1" s="23" t="s">
        <v>142</v>
      </c>
      <c r="Z1" s="23" t="s">
        <v>143</v>
      </c>
      <c r="AA1" s="5" t="s">
        <v>144</v>
      </c>
      <c r="AB1" s="24" t="s">
        <v>145</v>
      </c>
    </row>
    <row r="2">
      <c r="A2" s="14" t="s">
        <v>146</v>
      </c>
      <c r="B2" s="25">
        <v>0.0</v>
      </c>
      <c r="C2" s="14" t="s">
        <v>147</v>
      </c>
      <c r="D2" s="14" t="s">
        <v>148</v>
      </c>
      <c r="F2" s="14" t="s">
        <v>149</v>
      </c>
      <c r="G2" s="25" t="str">
        <f>IFERROR(__xludf.DUMMYFUNCTION("IF($F2=""market"","""",IFERROR(FILTER(member_log!$B$10:$B947,member_log!$C$10:$C947=$C2,member_log!$D$10:$D947=$E2,member_log!$G$10:$G947=""active""),""""))"),"")</f>
        <v/>
      </c>
      <c r="H2" s="25" t="str">
        <f>IFERROR(__xludf.DUMMYFUNCTION("IF($F2=""market"","""",IFERROR(FILTER(member_log!$E$10:$E947,member_log!$C$10:$C947=$C2,member_log!$D$10:$D947=$E2,member_log!$G$10:$G947=""active""),""""))"),"")</f>
        <v/>
      </c>
      <c r="I2" s="25" t="str">
        <f>IFERROR(__xludf.DUMMYFUNCTION("IF($F2&lt;&gt;""player"","""",IFERROR(INDEX(FILTER(group_setup!$D$2:$D947,group_setup!$B$2:$B947=$C2,group_setup!$G$2:$G947=TRUE,group_setup!$H$2:$H947=""completed""),1),""""))"),"")</f>
        <v/>
      </c>
      <c r="J2" s="25" t="str">
        <f>IFERROR(__xludf.DUMMYFUNCTION("IFERROR(FILTER(market_event_log!$D$2:$D947,market_event_log!$C$2:$C947=$B2,market_event_log!$N$2:$N947=""active""),"""")"),"")</f>
        <v/>
      </c>
      <c r="K2" s="25" t="str">
        <f>IFERROR(__xludf.DUMMYFUNCTION("IFERROR(FILTER(market_event_log!$G$2:$G947,market_event_log!$C$2:$C947=$B2,market_event_log!$N$2:$N947=""active""),"""")"),"")</f>
        <v/>
      </c>
      <c r="L2" s="25" t="str">
        <f>IFERROR(__xludf.DUMMYFUNCTION("IF($F2&lt;&gt;""player"","""",IFERROR(INDEX(FILTER(group_setup!$E$2:$E947,group_setup!$B$2:$B947=$C2,group_setup!$G$2:$G947=TRUE,group_setup!$H$2:$H947=""completed""),1),""""))"),"")</f>
        <v/>
      </c>
      <c r="M2" s="25" t="str">
        <f>IFERROR(__xludf.DUMMYFUNCTION("IF($F2=""market"","""",IF($E2=""HUMAN"",IFERROR(FILTER(turn_log!$G$2:$G947,turn_log!$C$2:$C947=$B2,turn_log!$D$2:$D947=$C2,turn_log!$F$2:$F947=$E2),""""),IFERROR(FILTER(turn_log!$I$2:$I947,turn_log!$C$2:$C947=$B2,turn_log!$D$2:$D947=$C2,turn_log!$F$2:$F94"&amp;"7=$E2),"""")))"),"")</f>
        <v/>
      </c>
      <c r="N2" s="25" t="str">
        <f>IFERROR(__xludf.DUMMYFUNCTION("IF($F2=""market"","""",IF($E2=""HUMAN"",IFERROR(FILTER(turn_log!$H$2:$H947,turn_log!$C$2:$C947=$B2,turn_log!$D$2:$D947=$C2,turn_log!$F$2:$F947=$E2),""""),IFERROR(FILTER(turn_log!$J$2:$J947,turn_log!$C$2:$C947=$B2,turn_log!$D$2:$D947=$C2,turn_log!$F$2:$F94"&amp;"7=$E2),"""")))"),"")</f>
        <v/>
      </c>
      <c r="O2" s="25">
        <f>IFERROR(__xludf.DUMMYFUNCTION("IF($A2="""","""",
 IF($F2=""market"",
  IFERROR(XLOOKUP(REGEXEXTRACT($J2,""^[^｜]+""),tr_mst!$A:$A,tr_mst!$D:$D),0)
  +IFERROR(XLOOKUP(REGEXEXTRACT($K2,""^[^｜]+""),tc_mst!$A:$A,tc_mst!$D:$D),0),
  IF($B2=0,
   IFERROR(XLOOKUP(REGEXEXTRACT($I2,""^[^｜]+""),m"&amp;"s_mst!$A:$A,ms_mst!$D:$D),0),
   IFERROR(XLOOKUP(""T""&amp;($B2-1)&amp;""_""&amp;$D2,$A:$A,$O:$O),0)
  )
  +IFERROR(XLOOKUP(REGEXEXTRACT($J2,""^[^｜]+""),tr_mst!$A:$A,tr_mst!$D:$D),0)
  +IFERROR(XLOOKUP(REGEXEXTRACT($K2,""^[^｜]+""),tc_mst!$A:$A,tc_mst!$D:$D),0)
  +
  "&amp;"(
   IFERROR(XLOOKUP(REGEXEXTRACT($M2,""^[^｜]+""),ac_mst!$A:$A,ac_mst!$G:$G),0)
   +IFERROR(XLOOKUP(REGEXEXTRACT($N2,""^[^｜]+""),ac_mst!$A:$A,ac_mst!$G:$G),0)
   +IFERROR(
    XLOOKUP(
     IF(
      OR(
       IFERROR(REGEXEXTRACT($M2,""^[^｜]+""),"""")="&amp;""""",
       IFERROR(REGEXEXTRACT($N2,""^[^｜]+""),"""")=""""
      ),
      """",
      IF(
       IFERROR(REGEXEXTRACT($M2,""^[^｜]+""),"""")&lt;IFERROR(REGEXEXTRACT($N2,""^[^｜]+""),""""),
       IFERROR(REGEXEXTRACT($M2,""^[^｜]+""),"""")&amp;""_""&amp;IFERROR(REGEX"&amp;"EXTRACT($N2,""^[^｜]+""),""""),
       IFERROR(REGEXEXTRACT($N2,""^[^｜]+""),"""")&amp;""_""&amp;IFERROR(REGEXEXTRACT($M2,""^[^｜]+""),"""")
      )
     ),
     sy_mst!$A:$A,
     sy_mst!$D:$D
    ),
    0
   )
  )
  *
  IFERROR(XLOOKUP(REGEXEXTRACT($I2,""^[^｜]+"")"&amp;",ms_mst!$A:$A,ms_mst!$L:$L),1)
  *
  IF(
   $B2&gt;=IFERROR(XLOOKUP(REGEXEXTRACT($L2,""^[^｜]+""),sk_mst!$A:$A,sk_mst!$M:$M),999),
   IFERROR(XLOOKUP(REGEXEXTRACT($L2,""^[^｜]+""),sk_mst!$A:$A,sk_mst!$F:$F),1),
   1
  )
 )
)"),0.0)</f>
        <v>0</v>
      </c>
      <c r="P2" s="25">
        <f>IFERROR(__xludf.DUMMYFUNCTION("IF($A2="""","""",
 IF($F2=""market"",
  IFERROR(XLOOKUP(REGEXEXTRACT($J2,""^[^｜]+""),tr_mst!$A:$A,tr_mst!$E:$E),0)
  +IFERROR(XLOOKUP(REGEXEXTRACT($K2,""^[^｜]+""),tc_mst!$A:$A,tc_mst!$E:$E),0),
  IF($B2=0,
   IFERROR(XLOOKUP(REGEXEXTRACT($I2,""^[^｜]+""),m"&amp;"s_mst!$A:$A,ms_mst!$E:$E),0),
   IFERROR(XLOOKUP(""T""&amp;($B2-1)&amp;""_""&amp;$D2,$A:$A,$P:$P),0)
  )
  +IFERROR(XLOOKUP(REGEXEXTRACT($J2,""^[^｜]+""),tr_mst!$A:$A,tr_mst!$E:$E),0)
  +IFERROR(XLOOKUP(REGEXEXTRACT($K2,""^[^｜]+""),tc_mst!$A:$A,tc_mst!$E:$E),0)
  +
  "&amp;"(
   IFERROR(XLOOKUP(REGEXEXTRACT($M2,""^[^｜]+""),ac_mst!$A:$A,ac_mst!$H:$H),0)
   +IFERROR(XLOOKUP(REGEXEXTRACT($N2,""^[^｜]+""),ac_mst!$A:$A,ac_mst!$H:$H),0)
   +IFERROR(
    XLOOKUP(
     IF(
      OR(
       IFERROR(REGEXEXTRACT($M2,""^[^｜]+""),"""")="&amp;""""",
       IFERROR(REGEXEXTRACT($N2,""^[^｜]+""),"""")=""""
      ),
      """",
      IF(
       IFERROR(REGEXEXTRACT($M2,""^[^｜]+""),"""")&lt;IFERROR(REGEXEXTRACT($N2,""^[^｜]+""),""""),
       IFERROR(REGEXEXTRACT($M2,""^[^｜]+""),"""")&amp;""_""&amp;IFERROR(REGEX"&amp;"EXTRACT($N2,""^[^｜]+""),""""),
       IFERROR(REGEXEXTRACT($N2,""^[^｜]+""),"""")&amp;""_""&amp;IFERROR(REGEXEXTRACT($M2,""^[^｜]+""),"""")
      )
     ),
     sy_mst!$A:$A,
     sy_mst!$E:$E
    ),
    0
   )
  )
  *
  IFERROR(XLOOKUP(REGEXEXTRACT($I2,""^[^｜]+"")"&amp;",ms_mst!$A:$A,ms_mst!$M:$M),1)
  *
  IF(
   $B2&gt;=IFERROR(XLOOKUP(REGEXEXTRACT($L2,""^[^｜]+""),sk_mst!$A:$A,sk_mst!$M:$M),999),
   IFERROR(XLOOKUP(REGEXEXTRACT($L2,""^[^｜]+""),sk_mst!$A:$A,sk_mst!$G:$G),1),
   1
  )
 )
)"),0.0)</f>
        <v>0</v>
      </c>
      <c r="Q2" s="25">
        <f>IFERROR(__xludf.DUMMYFUNCTION("IF($A2="""","""",
 IF($F2=""market"",
  IFERROR(XLOOKUP(REGEXEXTRACT($J2,""^[^｜]+""),tr_mst!$A:$A,tr_mst!$F:$F),0)
  +IFERROR(XLOOKUP(REGEXEXTRACT($K2,""^[^｜]+""),tc_mst!$A:$A,tc_mst!$F:$F),0),
  IF($B2=0,
   IFERROR(XLOOKUP(REGEXEXTRACT($I2,""^[^｜]+""),m"&amp;"s_mst!$A:$A,ms_mst!$F:$F),0),
   IFERROR(XLOOKUP(""T""&amp;($B2-1)&amp;""_""&amp;$D2,$A:$A,$Q:$Q),0)
  )
  +IFERROR(XLOOKUP(REGEXEXTRACT($J2,""^[^｜]+""),tr_mst!$A:$A,tr_mst!$F:$F),0)
  +IFERROR(XLOOKUP(REGEXEXTRACT($K2,""^[^｜]+""),tc_mst!$A:$A,tc_mst!$F:$F),0)
  +
  "&amp;"(
   IFERROR(XLOOKUP(REGEXEXTRACT($M2,""^[^｜]+""),ac_mst!$A:$A,ac_mst!$I:$I),0)
   +IFERROR(XLOOKUP(REGEXEXTRACT($N2,""^[^｜]+""),ac_mst!$A:$A,ac_mst!$I:$I),0)
   +IFERROR(
    XLOOKUP(
     IF(
      OR(
       IFERROR(REGEXEXTRACT($M2,""^[^｜]+""),"""")="&amp;""""",
       IFERROR(REGEXEXTRACT($N2,""^[^｜]+""),"""")=""""
      ),
      """",
      IF(
       IFERROR(REGEXEXTRACT($M2,""^[^｜]+""),"""")&lt;IFERROR(REGEXEXTRACT($N2,""^[^｜]+""),""""),
       IFERROR(REGEXEXTRACT($M2,""^[^｜]+""),"""")&amp;""_""&amp;IFERROR(REGEX"&amp;"EXTRACT($N2,""^[^｜]+""),""""),
       IFERROR(REGEXEXTRACT($N2,""^[^｜]+""),"""")&amp;""_""&amp;IFERROR(REGEXEXTRACT($M2,""^[^｜]+""),"""")
      )
     ),
     sy_mst!$A:$A,
     sy_mst!$F:$F
    ),
    0
   )
  )
  *
  IFERROR(XLOOKUP(REGEXEXTRACT($I2,""^[^｜]+"")"&amp;",ms_mst!$A:$A,ms_mst!$N:$N),1)
  *
  IF(
   $B2&gt;=IFERROR(XLOOKUP(REGEXEXTRACT($L2,""^[^｜]+""),sk_mst!$A:$A,sk_mst!$M:$M),999),
   IFERROR(XLOOKUP(REGEXEXTRACT($L2,""^[^｜]+""),sk_mst!$A:$A,sk_mst!$H:$H),1),
   1
  )
 )
)"),0.0)</f>
        <v>0</v>
      </c>
      <c r="R2" s="25">
        <f>IFERROR(__xludf.DUMMYFUNCTION("IF($A2="""","""",
 IF($F2=""market"",
  IFERROR(XLOOKUP(REGEXEXTRACT($J2,""^[^｜]+""),tr_mst!$A:$A,tr_mst!$G:$G),0)
  +IFERROR(XLOOKUP(REGEXEXTRACT($K2,""^[^｜]+""),tc_mst!$A:$A,tc_mst!$G:$G),0),
  IF($B2=0,
   IFERROR(XLOOKUP(REGEXEXTRACT($I2,""^[^｜]+""),m"&amp;"s_mst!$A:$A,ms_mst!$G:$G),0),
   IFERROR(XLOOKUP(""T""&amp;($B2-1)&amp;""_""&amp;$D2,$A:$A,$R:$R),0)
  )
  +IFERROR(XLOOKUP(REGEXEXTRACT($J2,""^[^｜]+""),tr_mst!$A:$A,tr_mst!$G:$G),0)
  +IFERROR(XLOOKUP(REGEXEXTRACT($K2,""^[^｜]+""),tc_mst!$A:$A,tc_mst!$G:$G),0)
  +
  "&amp;"(
   IFERROR(XLOOKUP(REGEXEXTRACT($M2,""^[^｜]+""),ac_mst!$A:$A,ac_mst!$J:$J),0)
   +IFERROR(XLOOKUP(REGEXEXTRACT($N2,""^[^｜]+""),ac_mst!$A:$A,ac_mst!$J:$J),0)
   +IFERROR(
    XLOOKUP(
     IF(
      OR(
       IFERROR(REGEXEXTRACT($M2,""^[^｜]+""),"""")="&amp;""""",
       IFERROR(REGEXEXTRACT($N2,""^[^｜]+""),"""")=""""
      ),
      """",
      IF(
       IFERROR(REGEXEXTRACT($M2,""^[^｜]+""),"""")&lt;IFERROR(REGEXEXTRACT($N2,""^[^｜]+""),""""),
       IFERROR(REGEXEXTRACT($M2,""^[^｜]+""),"""")&amp;""_""&amp;IFERROR(REGEX"&amp;"EXTRACT($N2,""^[^｜]+""),""""),
       IFERROR(REGEXEXTRACT($N2,""^[^｜]+""),"""")&amp;""_""&amp;IFERROR(REGEXEXTRACT($M2,""^[^｜]+""),"""")
      )
     ),
     sy_mst!$A:$A,
     sy_mst!$G:$G
    ),
    0
   )
  )
  *
  IFERROR(XLOOKUP(REGEXEXTRACT($I2,""^[^｜]+"")"&amp;",ms_mst!$A:$A,ms_mst!$O:$O),1)
  *
  IF(
   $B2&gt;=IFERROR(XLOOKUP(REGEXEXTRACT($L2,""^[^｜]+""),sk_mst!$A:$A,sk_mst!$M:$M),999),
   IFERROR(XLOOKUP(REGEXEXTRACT($L2,""^[^｜]+""),sk_mst!$A:$A,sk_mst!$I:$I),1),
   1
  )
 )
)"),0.0)</f>
        <v>0</v>
      </c>
      <c r="S2" s="25">
        <f>IFERROR(__xludf.DUMMYFUNCTION("IF($A2="""","""",
 IF($F2=""market"",
  IFERROR(XLOOKUP(REGEXEXTRACT($J2,""^[^｜]+""),tr_mst!$A:$A,tr_mst!$H:$H),0)
  +IFERROR(XLOOKUP(REGEXEXTRACT($K2,""^[^｜]+""),tc_mst!$A:$A,tc_mst!$H:$H),0),
  IF($B2=0,
   IFERROR(XLOOKUP(REGEXEXTRACT($I2,""^[^｜]+""),m"&amp;"s_mst!$A:$A,ms_mst!$H:$H),0),
   IFERROR(XLOOKUP(""T""&amp;($B2-1)&amp;""_""&amp;$D2,$A:$A,$S:$S),0)
  )
  +IFERROR(XLOOKUP(REGEXEXTRACT($J2,""^[^｜]+""),tr_mst!$A:$A,tr_mst!$H:$H),0)
  +IFERROR(XLOOKUP(REGEXEXTRACT($K2,""^[^｜]+""),tc_mst!$A:$A,tc_mst!$H:$H),0)
  +
  "&amp;"(
   IFERROR(XLOOKUP(REGEXEXTRACT($M2,""^[^｜]+""),ac_mst!$A:$A,ac_mst!$K:$K),0)
   +IFERROR(XLOOKUP(REGEXEXTRACT($N2,""^[^｜]+""),ac_mst!$A:$A,ac_mst!$K:$K),0)
   +IFERROR(
    XLOOKUP(
     IF(
      OR(
       IFERROR(REGEXEXTRACT($M2,""^[^｜]+""),"""")="&amp;""""",
       IFERROR(REGEXEXTRACT($N2,""^[^｜]+""),"""")=""""
      ),
      """",
      IF(
       IFERROR(REGEXEXTRACT($M2,""^[^｜]+""),"""")&lt;IFERROR(REGEXEXTRACT($N2,""^[^｜]+""),""""),
       IFERROR(REGEXEXTRACT($M2,""^[^｜]+""),"""")&amp;""_""&amp;IFERROR(REGEX"&amp;"EXTRACT($N2,""^[^｜]+""),""""),
       IFERROR(REGEXEXTRACT($N2,""^[^｜]+""),"""")&amp;""_""&amp;IFERROR(REGEXEXTRACT($M2,""^[^｜]+""),"""")
      )
     ),
     sy_mst!$A:$A,
     sy_mst!$H:$H
    ),
    0
   )
  )
  *
  IFERROR(XLOOKUP(REGEXEXTRACT($I2,""^[^｜]+"")"&amp;",ms_mst!$A:$A,ms_mst!$P:$P),1)
  *
  IF(
   $B2&gt;=IFERROR(XLOOKUP(REGEXEXTRACT($L2,""^[^｜]+""),sk_mst!$A:$A,sk_mst!$M:$M),999),
   IFERROR(XLOOKUP(REGEXEXTRACT($L2,""^[^｜]+""),sk_mst!$A:$A,sk_mst!$J:$J),1),
   1
  )
 )
)"),0.0)</f>
        <v>0</v>
      </c>
      <c r="T2" s="25">
        <f>IFERROR(__xludf.DUMMYFUNCTION("IF($A2="""","""",
 IF($F2=""market"",
  IFERROR(XLOOKUP(REGEXEXTRACT($J2,""^[^｜]+""),tr_mst!$A:$A,tr_mst!$I:$I),0)
  +IFERROR(XLOOKUP(REGEXEXTRACT($K2,""^[^｜]+""),tc_mst!$A:$A,tc_mst!$I:$I),0),
  IF($B2=0,
   IFERROR(XLOOKUP(REGEXEXTRACT($I2,""^[^｜]+""),m"&amp;"s_mst!$A:$A,ms_mst!$I:$I),0),
   IFERROR(XLOOKUP(""T""&amp;($B2-1)&amp;""_""&amp;$D2,$A:$A,$T:$T),0)
  )
  +IFERROR(XLOOKUP(REGEXEXTRACT($J2,""^[^｜]+""),tr_mst!$A:$A,tr_mst!$I:$I),0)
  +IFERROR(XLOOKUP(REGEXEXTRACT($K2,""^[^｜]+""),tc_mst!$A:$A,tc_mst!$I:$I),0)
  +
  "&amp;"(
   IFERROR(XLOOKUP(REGEXEXTRACT($M2,""^[^｜]+""),ac_mst!$A:$A,ac_mst!$L:$L),0)
   +IFERROR(XLOOKUP(REGEXEXTRACT($N2,""^[^｜]+""),ac_mst!$A:$A,ac_mst!$L:$L),0)
   +IFERROR(
    XLOOKUP(
     IF(
      OR(
       IFERROR(REGEXEXTRACT($M2,""^[^｜]+""),"""")="&amp;""""",
       IFERROR(REGEXEXTRACT($N2,""^[^｜]+""),"""")=""""
      ),
      """",
      IF(
       IFERROR(REGEXEXTRACT($M2,""^[^｜]+""),"""")&lt;IFERROR(REGEXEXTRACT($N2,""^[^｜]+""),""""),
       IFERROR(REGEXEXTRACT($M2,""^[^｜]+""),"""")&amp;""_""&amp;IFERROR(REGEX"&amp;"EXTRACT($N2,""^[^｜]+""),""""),
       IFERROR(REGEXEXTRACT($N2,""^[^｜]+""),"""")&amp;""_""&amp;IFERROR(REGEXEXTRACT($M2,""^[^｜]+""),"""")
      )
     ),
     sy_mst!$A:$A,
     sy_mst!$I:$I
    ),
    0
   )
  )
  *
  IFERROR(XLOOKUP(REGEXEXTRACT($I2,""^[^｜]+"")"&amp;",ms_mst!$A:$A,ms_mst!$Q:$Q),1)
  *
  IF(
   $B2&gt;=IFERROR(XLOOKUP(REGEXEXTRACT($L2,""^[^｜]+""),sk_mst!$A:$A,sk_mst!$M:$M),999),
   IFERROR(XLOOKUP(REGEXEXTRACT($L2,""^[^｜]+""),sk_mst!$A:$A,sk_mst!$K:$K),1),
   1
  )
 )
)"),0.0)</f>
        <v>0</v>
      </c>
      <c r="U2" s="25">
        <f>IFERROR(__xludf.DUMMYFUNCTION("IF($A2="""","""",
 IF($F2=""market"",
  IFERROR(XLOOKUP(REGEXEXTRACT($J2,""^[^｜]+""),tr_mst!$A:$A,tr_mst!$J:$J),0)
  +IFERROR(XLOOKUP(REGEXEXTRACT($K2,""^[^｜]+""),tc_mst!$A:$A,tc_mst!$J:$J),0),
  IF($B2=0,
   IFERROR(XLOOKUP(REGEXEXTRACT($I2,""^[^｜]+""),m"&amp;"s_mst!$A:$A,ms_mst!$J:$J),0),
   IFERROR(XLOOKUP(""T""&amp;($B2-1)&amp;""_""&amp;$D2,$A:$A,$U:$U),0)
  )
  +IFERROR(XLOOKUP(REGEXEXTRACT($J2,""^[^｜]+""),tr_mst!$A:$A,tr_mst!$J:$J),0)
  +IFERROR(XLOOKUP(REGEXEXTRACT($K2,""^[^｜]+""),tc_mst!$A:$A,tc_mst!$J:$J),0)
  +
  "&amp;"(
   IFERROR(XLOOKUP(REGEXEXTRACT($M2,""^[^｜]+""),ac_mst!$A:$A,ac_mst!$M:$M),0)
   +IFERROR(XLOOKUP(REGEXEXTRACT($N2,""^[^｜]+""),ac_mst!$A:$A,ac_mst!$M:$M),0)
   +IFERROR(
    XLOOKUP(
     IF(
      OR(
       IFERROR(REGEXEXTRACT($M2,""^[^｜]+""),"""")="&amp;""""",
       IFERROR(REGEXEXTRACT($N2,""^[^｜]+""),"""")=""""
      ),
      """",
      IF(
       IFERROR(REGEXEXTRACT($M2,""^[^｜]+""),"""")&lt;IFERROR(REGEXEXTRACT($N2,""^[^｜]+""),""""),
       IFERROR(REGEXEXTRACT($M2,""^[^｜]+""),"""")&amp;""_""&amp;IFERROR(REGEX"&amp;"EXTRACT($N2,""^[^｜]+""),""""),
       IFERROR(REGEXEXTRACT($N2,""^[^｜]+""),"""")&amp;""_""&amp;IFERROR(REGEXEXTRACT($M2,""^[^｜]+""),"""")
      )
     ),
     sy_mst!$A:$A,
     sy_mst!$J:$J
    ),
    0
   )
  )
  *
  IFERROR(XLOOKUP(REGEXEXTRACT($I2,""^[^｜]+"")"&amp;",ms_mst!$A:$A,ms_mst!$R:$R),1)
  *
  IF(
   $B2&gt;=IFERROR(XLOOKUP(REGEXEXTRACT($L2,""^[^｜]+""),sk_mst!$A:$A,sk_mst!$M:$M),999),
   IFERROR(XLOOKUP(REGEXEXTRACT($L2,""^[^｜]+""),sk_mst!$A:$A,sk_mst!$L:$L),1),
   1
  )
 )
)"),0.0)</f>
        <v>0</v>
      </c>
      <c r="V2" s="25" t="str">
        <f t="shared" ref="V2:V92" si="1">IF($A2="","",
 IF($F2="market","",
  ROUND((($O2+$P2)*(1-$Q2)*$R2*$S2*$T2),0)
 )
)</f>
        <v/>
      </c>
      <c r="W2" s="25" t="str">
        <f t="shared" ref="W2:W92" si="2">IF($A2="","",
 IF($F2="market","",
  ROUND($P2*$U2,0)
 )
)</f>
        <v/>
      </c>
      <c r="X2" s="25" t="str">
        <f t="shared" ref="X2:X92" si="3">IF($A2="","",
 IF($F2="market","",
  $V2-$W2
 )
)</f>
        <v/>
      </c>
      <c r="Y2" s="25" t="str">
        <f t="shared" ref="Y2:Y92" si="4">IF($A2="","",
 IF($F2="market","",
  IFERROR(ROUND($V2/$W2,2),"")
 )
)</f>
        <v/>
      </c>
      <c r="Z2" s="25" t="str">
        <f>IFERROR(__xludf.DUMMYFUNCTION("IF($A2="""","""",
 IF($F2&lt;&gt;""player"","""",
  IFERROR(
   RANK(
    $X2,
    FILTER($X:$X,$B:$B=$B2,$F:$F=""player"",$X:$X&lt;&gt;""""),
    0
   ),
   """"
  )
 )
)"),"")</f>
        <v/>
      </c>
      <c r="AA2" s="25" t="str">
        <f t="shared" ref="AA2:AA92" si="5">IF($A2="","",
 IF($F2&lt;&gt;"player","",
  IF($Z2="","",$Z2&amp;"位")
 )
)</f>
        <v/>
      </c>
      <c r="AB2" s="26" t="str">
        <f t="shared" ref="AB2:AB92" si="6">IF($A2="","",
 IF($F2&lt;&gt;"player","",
  IF($B2=0,
   0,
   IFERROR(
    IF(
     XLOOKUP("T0_"&amp;$D2,$A:$A,$X:$X)=0,
     0,
     ($X2-XLOOKUP("T0_"&amp;$D2,$A:$A,$X:$X))
     /
     ABS(XLOOKUP("T0_"&amp;$D2,$A:$A,$X:$X))
    ),
    ""
   )
  )
 )
)</f>
        <v/>
      </c>
    </row>
    <row r="3">
      <c r="A3" s="14" t="s">
        <v>150</v>
      </c>
      <c r="B3" s="25">
        <v>0.0</v>
      </c>
      <c r="C3" s="14" t="s">
        <v>151</v>
      </c>
      <c r="D3" s="14" t="s">
        <v>152</v>
      </c>
      <c r="E3" s="25" t="s">
        <v>153</v>
      </c>
      <c r="F3" s="25" t="s">
        <v>154</v>
      </c>
      <c r="G3" s="25" t="str">
        <f>IFERROR(__xludf.DUMMYFUNCTION("IF($F3=""market"","""",IFERROR(FILTER(member_log!$B$10:$B947,member_log!$C$10:$C947=$C3,member_log!$D$10:$D947=$E3,member_log!$G$10:$G947=""active""),""""))"),"")</f>
        <v/>
      </c>
      <c r="H3" s="25" t="str">
        <f>IFERROR(__xludf.DUMMYFUNCTION("IF($F3=""market"","""",IFERROR(FILTER(member_log!$E$10:$E947,member_log!$C$10:$C947=$C3,member_log!$D$10:$D947=$E3,member_log!$G$10:$G947=""active""),""""))"),"")</f>
        <v/>
      </c>
      <c r="I3" s="25" t="str">
        <f>IFERROR(__xludf.DUMMYFUNCTION("IF($F3&lt;&gt;""player"","""",IFERROR(INDEX(FILTER(group_setup!$D$2:$D947,group_setup!$B$2:$B947=$C3,group_setup!$G$2:$G947=TRUE,group_setup!$H$2:$H947=""completed""),1),""""))"),"M03")</f>
        <v>M03</v>
      </c>
      <c r="J3" s="25" t="str">
        <f>IFERROR(__xludf.DUMMYFUNCTION("IFERROR(FILTER(market_event_log!$D$2:$D947,market_event_log!$C$2:$C947=$B3,market_event_log!$N$2:$N947=""active""),"""")"),"")</f>
        <v/>
      </c>
      <c r="K3" s="25" t="str">
        <f>IFERROR(__xludf.DUMMYFUNCTION("IFERROR(FILTER(market_event_log!$G$2:$G947,market_event_log!$C$2:$C947=$B3,market_event_log!$N$2:$N947=""active""),"""")"),"")</f>
        <v/>
      </c>
      <c r="L3" s="25" t="str">
        <f>IFERROR(__xludf.DUMMYFUNCTION("IF($F3&lt;&gt;""player"","""",IFERROR(INDEX(FILTER(group_setup!$E$2:$E947,group_setup!$B$2:$B947=$C3,group_setup!$G$2:$G947=TRUE,group_setup!$H$2:$H947=""completed""),1),""""))"),"S02")</f>
        <v>S02</v>
      </c>
      <c r="M3" s="25" t="str">
        <f>IFERROR(__xludf.DUMMYFUNCTION("IF($F3=""market"","""",IF($E3=""HUMAN"",IFERROR(FILTER(turn_log!$G$2:$G947,turn_log!$C$2:$C947=$B3,turn_log!$D$2:$D947=$C3,turn_log!$F$2:$F947=$E3),""""),IFERROR(FILTER(turn_log!$I$2:$I947,turn_log!$C$2:$C947=$B3,turn_log!$D$2:$D947=$C3,turn_log!$F$2:$F94"&amp;"7=$E3),"""")))"),"")</f>
        <v/>
      </c>
      <c r="N3" s="25" t="str">
        <f>IFERROR(__xludf.DUMMYFUNCTION("IF($F3=""market"","""",IF($E3=""HUMAN"",IFERROR(FILTER(turn_log!$H$2:$H947,turn_log!$C$2:$C947=$B3,turn_log!$D$2:$D947=$C3,turn_log!$F$2:$F947=$E3),""""),IFERROR(FILTER(turn_log!$J$2:$J947,turn_log!$C$2:$C947=$B3,turn_log!$D$2:$D947=$C3,turn_log!$F$2:$F94"&amp;"7=$E3),"""")))"),"")</f>
        <v/>
      </c>
      <c r="O3" s="25">
        <f>IFERROR(__xludf.DUMMYFUNCTION("IF($A3="""","""",
 IF($F3=""market"",
  IFERROR(XLOOKUP(REGEXEXTRACT($J3,""^[^｜]+""),tr_mst!$A:$A,tr_mst!$D:$D),0)
  +IFERROR(XLOOKUP(REGEXEXTRACT($K3,""^[^｜]+""),tc_mst!$A:$A,tc_mst!$D:$D),0),
  IF($B3=0,
   IFERROR(XLOOKUP(REGEXEXTRACT($I3,""^[^｜]+""),m"&amp;"s_mst!$A:$A,ms_mst!$D:$D),0),
   IFERROR(XLOOKUP(""T""&amp;($B3-1)&amp;""_""&amp;$D3,$A:$A,$O:$O),0)
  )
  +IFERROR(XLOOKUP(REGEXEXTRACT($J3,""^[^｜]+""),tr_mst!$A:$A,tr_mst!$D:$D),0)
  +IFERROR(XLOOKUP(REGEXEXTRACT($K3,""^[^｜]+""),tc_mst!$A:$A,tc_mst!$D:$D),0)
  +
  "&amp;"(
   IFERROR(XLOOKUP(REGEXEXTRACT($M3,""^[^｜]+""),ac_mst!$A:$A,ac_mst!$G:$G),0)
   +IFERROR(XLOOKUP(REGEXEXTRACT($N3,""^[^｜]+""),ac_mst!$A:$A,ac_mst!$G:$G),0)
   +IFERROR(
    XLOOKUP(
     IF(
      OR(
       IFERROR(REGEXEXTRACT($M3,""^[^｜]+""),"""")="&amp;""""",
       IFERROR(REGEXEXTRACT($N3,""^[^｜]+""),"""")=""""
      ),
      """",
      IF(
       IFERROR(REGEXEXTRACT($M3,""^[^｜]+""),"""")&lt;IFERROR(REGEXEXTRACT($N3,""^[^｜]+""),""""),
       IFERROR(REGEXEXTRACT($M3,""^[^｜]+""),"""")&amp;""_""&amp;IFERROR(REGEX"&amp;"EXTRACT($N3,""^[^｜]+""),""""),
       IFERROR(REGEXEXTRACT($N3,""^[^｜]+""),"""")&amp;""_""&amp;IFERROR(REGEXEXTRACT($M3,""^[^｜]+""),"""")
      )
     ),
     sy_mst!$A:$A,
     sy_mst!$D:$D
    ),
    0
   )
  )
  *
  IFERROR(XLOOKUP(REGEXEXTRACT($I3,""^[^｜]+"")"&amp;",ms_mst!$A:$A,ms_mst!$L:$L),1)
  *
  IF(
   $B3&gt;=IFERROR(XLOOKUP(REGEXEXTRACT($L3,""^[^｜]+""),sk_mst!$A:$A,sk_mst!$M:$M),999),
   IFERROR(XLOOKUP(REGEXEXTRACT($L3,""^[^｜]+""),sk_mst!$A:$A,sk_mst!$F:$F),1),
   1
  )
 )
)"),8500.0)</f>
        <v>8500</v>
      </c>
      <c r="P3" s="25">
        <f>IFERROR(__xludf.DUMMYFUNCTION("IF($A3="""","""",
 IF($F3=""market"",
  IFERROR(XLOOKUP(REGEXEXTRACT($J3,""^[^｜]+""),tr_mst!$A:$A,tr_mst!$E:$E),0)
  +IFERROR(XLOOKUP(REGEXEXTRACT($K3,""^[^｜]+""),tc_mst!$A:$A,tc_mst!$E:$E),0),
  IF($B3=0,
   IFERROR(XLOOKUP(REGEXEXTRACT($I3,""^[^｜]+""),m"&amp;"s_mst!$A:$A,ms_mst!$E:$E),0),
   IFERROR(XLOOKUP(""T""&amp;($B3-1)&amp;""_""&amp;$D3,$A:$A,$P:$P),0)
  )
  +IFERROR(XLOOKUP(REGEXEXTRACT($J3,""^[^｜]+""),tr_mst!$A:$A,tr_mst!$E:$E),0)
  +IFERROR(XLOOKUP(REGEXEXTRACT($K3,""^[^｜]+""),tc_mst!$A:$A,tc_mst!$E:$E),0)
  +
  "&amp;"(
   IFERROR(XLOOKUP(REGEXEXTRACT($M3,""^[^｜]+""),ac_mst!$A:$A,ac_mst!$H:$H),0)
   +IFERROR(XLOOKUP(REGEXEXTRACT($N3,""^[^｜]+""),ac_mst!$A:$A,ac_mst!$H:$H),0)
   +IFERROR(
    XLOOKUP(
     IF(
      OR(
       IFERROR(REGEXEXTRACT($M3,""^[^｜]+""),"""")="&amp;""""",
       IFERROR(REGEXEXTRACT($N3,""^[^｜]+""),"""")=""""
      ),
      """",
      IF(
       IFERROR(REGEXEXTRACT($M3,""^[^｜]+""),"""")&lt;IFERROR(REGEXEXTRACT($N3,""^[^｜]+""),""""),
       IFERROR(REGEXEXTRACT($M3,""^[^｜]+""),"""")&amp;""_""&amp;IFERROR(REGEX"&amp;"EXTRACT($N3,""^[^｜]+""),""""),
       IFERROR(REGEXEXTRACT($N3,""^[^｜]+""),"""")&amp;""_""&amp;IFERROR(REGEXEXTRACT($M3,""^[^｜]+""),"""")
      )
     ),
     sy_mst!$A:$A,
     sy_mst!$E:$E
    ),
    0
   )
  )
  *
  IFERROR(XLOOKUP(REGEXEXTRACT($I3,""^[^｜]+"")"&amp;",ms_mst!$A:$A,ms_mst!$M:$M),1)
  *
  IF(
   $B3&gt;=IFERROR(XLOOKUP(REGEXEXTRACT($L3,""^[^｜]+""),sk_mst!$A:$A,sk_mst!$M:$M),999),
   IFERROR(XLOOKUP(REGEXEXTRACT($L3,""^[^｜]+""),sk_mst!$A:$A,sk_mst!$G:$G),1),
   1
  )
 )
)"),1500.0)</f>
        <v>1500</v>
      </c>
      <c r="Q3" s="25">
        <f>IFERROR(__xludf.DUMMYFUNCTION("IF($A3="""","""",
 IF($F3=""market"",
  IFERROR(XLOOKUP(REGEXEXTRACT($J3,""^[^｜]+""),tr_mst!$A:$A,tr_mst!$F:$F),0)
  +IFERROR(XLOOKUP(REGEXEXTRACT($K3,""^[^｜]+""),tc_mst!$A:$A,tc_mst!$F:$F),0),
  IF($B3=0,
   IFERROR(XLOOKUP(REGEXEXTRACT($I3,""^[^｜]+""),m"&amp;"s_mst!$A:$A,ms_mst!$F:$F),0),
   IFERROR(XLOOKUP(""T""&amp;($B3-1)&amp;""_""&amp;$D3,$A:$A,$Q:$Q),0)
  )
  +IFERROR(XLOOKUP(REGEXEXTRACT($J3,""^[^｜]+""),tr_mst!$A:$A,tr_mst!$F:$F),0)
  +IFERROR(XLOOKUP(REGEXEXTRACT($K3,""^[^｜]+""),tc_mst!$A:$A,tc_mst!$F:$F),0)
  +
  "&amp;"(
   IFERROR(XLOOKUP(REGEXEXTRACT($M3,""^[^｜]+""),ac_mst!$A:$A,ac_mst!$I:$I),0)
   +IFERROR(XLOOKUP(REGEXEXTRACT($N3,""^[^｜]+""),ac_mst!$A:$A,ac_mst!$I:$I),0)
   +IFERROR(
    XLOOKUP(
     IF(
      OR(
       IFERROR(REGEXEXTRACT($M3,""^[^｜]+""),"""")="&amp;""""",
       IFERROR(REGEXEXTRACT($N3,""^[^｜]+""),"""")=""""
      ),
      """",
      IF(
       IFERROR(REGEXEXTRACT($M3,""^[^｜]+""),"""")&lt;IFERROR(REGEXEXTRACT($N3,""^[^｜]+""),""""),
       IFERROR(REGEXEXTRACT($M3,""^[^｜]+""),"""")&amp;""_""&amp;IFERROR(REGEX"&amp;"EXTRACT($N3,""^[^｜]+""),""""),
       IFERROR(REGEXEXTRACT($N3,""^[^｜]+""),"""")&amp;""_""&amp;IFERROR(REGEXEXTRACT($M3,""^[^｜]+""),"""")
      )
     ),
     sy_mst!$A:$A,
     sy_mst!$F:$F
    ),
    0
   )
  )
  *
  IFERROR(XLOOKUP(REGEXEXTRACT($I3,""^[^｜]+"")"&amp;",ms_mst!$A:$A,ms_mst!$N:$N),1)
  *
  IF(
   $B3&gt;=IFERROR(XLOOKUP(REGEXEXTRACT($L3,""^[^｜]+""),sk_mst!$A:$A,sk_mst!$M:$M),999),
   IFERROR(XLOOKUP(REGEXEXTRACT($L3,""^[^｜]+""),sk_mst!$A:$A,sk_mst!$H:$H),1),
   1
  )
 )
)"),0.54)</f>
        <v>0.54</v>
      </c>
      <c r="R3" s="25">
        <f>IFERROR(__xludf.DUMMYFUNCTION("IF($A3="""","""",
 IF($F3=""market"",
  IFERROR(XLOOKUP(REGEXEXTRACT($J3,""^[^｜]+""),tr_mst!$A:$A,tr_mst!$G:$G),0)
  +IFERROR(XLOOKUP(REGEXEXTRACT($K3,""^[^｜]+""),tc_mst!$A:$A,tc_mst!$G:$G),0),
  IF($B3=0,
   IFERROR(XLOOKUP(REGEXEXTRACT($I3,""^[^｜]+""),m"&amp;"s_mst!$A:$A,ms_mst!$G:$G),0),
   IFERROR(XLOOKUP(""T""&amp;($B3-1)&amp;""_""&amp;$D3,$A:$A,$R:$R),0)
  )
  +IFERROR(XLOOKUP(REGEXEXTRACT($J3,""^[^｜]+""),tr_mst!$A:$A,tr_mst!$G:$G),0)
  +IFERROR(XLOOKUP(REGEXEXTRACT($K3,""^[^｜]+""),tc_mst!$A:$A,tc_mst!$G:$G),0)
  +
  "&amp;"(
   IFERROR(XLOOKUP(REGEXEXTRACT($M3,""^[^｜]+""),ac_mst!$A:$A,ac_mst!$J:$J),0)
   +IFERROR(XLOOKUP(REGEXEXTRACT($N3,""^[^｜]+""),ac_mst!$A:$A,ac_mst!$J:$J),0)
   +IFERROR(
    XLOOKUP(
     IF(
      OR(
       IFERROR(REGEXEXTRACT($M3,""^[^｜]+""),"""")="&amp;""""",
       IFERROR(REGEXEXTRACT($N3,""^[^｜]+""),"""")=""""
      ),
      """",
      IF(
       IFERROR(REGEXEXTRACT($M3,""^[^｜]+""),"""")&lt;IFERROR(REGEXEXTRACT($N3,""^[^｜]+""),""""),
       IFERROR(REGEXEXTRACT($M3,""^[^｜]+""),"""")&amp;""_""&amp;IFERROR(REGEX"&amp;"EXTRACT($N3,""^[^｜]+""),""""),
       IFERROR(REGEXEXTRACT($N3,""^[^｜]+""),"""")&amp;""_""&amp;IFERROR(REGEXEXTRACT($M3,""^[^｜]+""),"""")
      )
     ),
     sy_mst!$A:$A,
     sy_mst!$G:$G
    ),
    0
   )
  )
  *
  IFERROR(XLOOKUP(REGEXEXTRACT($I3,""^[^｜]+"")"&amp;",ms_mst!$A:$A,ms_mst!$O:$O),1)
  *
  IF(
   $B3&gt;=IFERROR(XLOOKUP(REGEXEXTRACT($L3,""^[^｜]+""),sk_mst!$A:$A,sk_mst!$M:$M),999),
   IFERROR(XLOOKUP(REGEXEXTRACT($L3,""^[^｜]+""),sk_mst!$A:$A,sk_mst!$I:$I),1),
   1
  )
 )
)"),1.75)</f>
        <v>1.75</v>
      </c>
      <c r="S3" s="25">
        <f>IFERROR(__xludf.DUMMYFUNCTION("IF($A3="""","""",
 IF($F3=""market"",
  IFERROR(XLOOKUP(REGEXEXTRACT($J3,""^[^｜]+""),tr_mst!$A:$A,tr_mst!$H:$H),0)
  +IFERROR(XLOOKUP(REGEXEXTRACT($K3,""^[^｜]+""),tc_mst!$A:$A,tc_mst!$H:$H),0),
  IF($B3=0,
   IFERROR(XLOOKUP(REGEXEXTRACT($I3,""^[^｜]+""),m"&amp;"s_mst!$A:$A,ms_mst!$H:$H),0),
   IFERROR(XLOOKUP(""T""&amp;($B3-1)&amp;""_""&amp;$D3,$A:$A,$S:$S),0)
  )
  +IFERROR(XLOOKUP(REGEXEXTRACT($J3,""^[^｜]+""),tr_mst!$A:$A,tr_mst!$H:$H),0)
  +IFERROR(XLOOKUP(REGEXEXTRACT($K3,""^[^｜]+""),tc_mst!$A:$A,tc_mst!$H:$H),0)
  +
  "&amp;"(
   IFERROR(XLOOKUP(REGEXEXTRACT($M3,""^[^｜]+""),ac_mst!$A:$A,ac_mst!$K:$K),0)
   +IFERROR(XLOOKUP(REGEXEXTRACT($N3,""^[^｜]+""),ac_mst!$A:$A,ac_mst!$K:$K),0)
   +IFERROR(
    XLOOKUP(
     IF(
      OR(
       IFERROR(REGEXEXTRACT($M3,""^[^｜]+""),"""")="&amp;""""",
       IFERROR(REGEXEXTRACT($N3,""^[^｜]+""),"""")=""""
      ),
      """",
      IF(
       IFERROR(REGEXEXTRACT($M3,""^[^｜]+""),"""")&lt;IFERROR(REGEXEXTRACT($N3,""^[^｜]+""),""""),
       IFERROR(REGEXEXTRACT($M3,""^[^｜]+""),"""")&amp;""_""&amp;IFERROR(REGEX"&amp;"EXTRACT($N3,""^[^｜]+""),""""),
       IFERROR(REGEXEXTRACT($N3,""^[^｜]+""),"""")&amp;""_""&amp;IFERROR(REGEXEXTRACT($M3,""^[^｜]+""),"""")
      )
     ),
     sy_mst!$A:$A,
     sy_mst!$H:$H
    ),
    0
   )
  )
  *
  IFERROR(XLOOKUP(REGEXEXTRACT($I3,""^[^｜]+"")"&amp;",ms_mst!$A:$A,ms_mst!$P:$P),1)
  *
  IF(
   $B3&gt;=IFERROR(XLOOKUP(REGEXEXTRACT($L3,""^[^｜]+""),sk_mst!$A:$A,sk_mst!$M:$M),999),
   IFERROR(XLOOKUP(REGEXEXTRACT($L3,""^[^｜]+""),sk_mst!$A:$A,sk_mst!$J:$J),1),
   1
  )
 )
)"),0.012)</f>
        <v>0.012</v>
      </c>
      <c r="T3" s="25">
        <f>IFERROR(__xludf.DUMMYFUNCTION("IF($A3="""","""",
 IF($F3=""market"",
  IFERROR(XLOOKUP(REGEXEXTRACT($J3,""^[^｜]+""),tr_mst!$A:$A,tr_mst!$I:$I),0)
  +IFERROR(XLOOKUP(REGEXEXTRACT($K3,""^[^｜]+""),tc_mst!$A:$A,tc_mst!$I:$I),0),
  IF($B3=0,
   IFERROR(XLOOKUP(REGEXEXTRACT($I3,""^[^｜]+""),m"&amp;"s_mst!$A:$A,ms_mst!$I:$I),0),
   IFERROR(XLOOKUP(""T""&amp;($B3-1)&amp;""_""&amp;$D3,$A:$A,$T:$T),0)
  )
  +IFERROR(XLOOKUP(REGEXEXTRACT($J3,""^[^｜]+""),tr_mst!$A:$A,tr_mst!$I:$I),0)
  +IFERROR(XLOOKUP(REGEXEXTRACT($K3,""^[^｜]+""),tc_mst!$A:$A,tc_mst!$I:$I),0)
  +
  "&amp;"(
   IFERROR(XLOOKUP(REGEXEXTRACT($M3,""^[^｜]+""),ac_mst!$A:$A,ac_mst!$L:$L),0)
   +IFERROR(XLOOKUP(REGEXEXTRACT($N3,""^[^｜]+""),ac_mst!$A:$A,ac_mst!$L:$L),0)
   +IFERROR(
    XLOOKUP(
     IF(
      OR(
       IFERROR(REGEXEXTRACT($M3,""^[^｜]+""),"""")="&amp;""""",
       IFERROR(REGEXEXTRACT($N3,""^[^｜]+""),"""")=""""
      ),
      """",
      IF(
       IFERROR(REGEXEXTRACT($M3,""^[^｜]+""),"""")&lt;IFERROR(REGEXEXTRACT($N3,""^[^｜]+""),""""),
       IFERROR(REGEXEXTRACT($M3,""^[^｜]+""),"""")&amp;""_""&amp;IFERROR(REGEX"&amp;"EXTRACT($N3,""^[^｜]+""),""""),
       IFERROR(REGEXEXTRACT($N3,""^[^｜]+""),"""")&amp;""_""&amp;IFERROR(REGEXEXTRACT($M3,""^[^｜]+""),"""")
      )
     ),
     sy_mst!$A:$A,
     sy_mst!$I:$I
    ),
    0
   )
  )
  *
  IFERROR(XLOOKUP(REGEXEXTRACT($I3,""^[^｜]+"")"&amp;",ms_mst!$A:$A,ms_mst!$Q:$Q),1)
  *
  IF(
   $B3&gt;=IFERROR(XLOOKUP(REGEXEXTRACT($L3,""^[^｜]+""),sk_mst!$A:$A,sk_mst!$M:$M),999),
   IFERROR(XLOOKUP(REGEXEXTRACT($L3,""^[^｜]+""),sk_mst!$A:$A,sk_mst!$K:$K),1),
   1
  )
 )
)"),4000.0)</f>
        <v>4000</v>
      </c>
      <c r="U3" s="25">
        <f>IFERROR(__xludf.DUMMYFUNCTION("IF($A3="""","""",
 IF($F3=""market"",
  IFERROR(XLOOKUP(REGEXEXTRACT($J3,""^[^｜]+""),tr_mst!$A:$A,tr_mst!$J:$J),0)
  +IFERROR(XLOOKUP(REGEXEXTRACT($K3,""^[^｜]+""),tc_mst!$A:$A,tc_mst!$J:$J),0),
  IF($B3=0,
   IFERROR(XLOOKUP(REGEXEXTRACT($I3,""^[^｜]+""),m"&amp;"s_mst!$A:$A,ms_mst!$J:$J),0),
   IFERROR(XLOOKUP(""T""&amp;($B3-1)&amp;""_""&amp;$D3,$A:$A,$U:$U),0)
  )
  +IFERROR(XLOOKUP(REGEXEXTRACT($J3,""^[^｜]+""),tr_mst!$A:$A,tr_mst!$J:$J),0)
  +IFERROR(XLOOKUP(REGEXEXTRACT($K3,""^[^｜]+""),tc_mst!$A:$A,tc_mst!$J:$J),0)
  +
  "&amp;"(
   IFERROR(XLOOKUP(REGEXEXTRACT($M3,""^[^｜]+""),ac_mst!$A:$A,ac_mst!$M:$M),0)
   +IFERROR(XLOOKUP(REGEXEXTRACT($N3,""^[^｜]+""),ac_mst!$A:$A,ac_mst!$M:$M),0)
   +IFERROR(
    XLOOKUP(
     IF(
      OR(
       IFERROR(REGEXEXTRACT($M3,""^[^｜]+""),"""")="&amp;""""",
       IFERROR(REGEXEXTRACT($N3,""^[^｜]+""),"""")=""""
      ),
      """",
      IF(
       IFERROR(REGEXEXTRACT($M3,""^[^｜]+""),"""")&lt;IFERROR(REGEXEXTRACT($N3,""^[^｜]+""),""""),
       IFERROR(REGEXEXTRACT($M3,""^[^｜]+""),"""")&amp;""_""&amp;IFERROR(REGEX"&amp;"EXTRACT($N3,""^[^｜]+""),""""),
       IFERROR(REGEXEXTRACT($N3,""^[^｜]+""),"""")&amp;""_""&amp;IFERROR(REGEXEXTRACT($M3,""^[^｜]+""),"""")
      )
     ),
     sy_mst!$A:$A,
     sy_mst!$J:$J
    ),
    0
   )
  )
  *
  IFERROR(XLOOKUP(REGEXEXTRACT($I3,""^[^｜]+"")"&amp;",ms_mst!$A:$A,ms_mst!$R:$R),1)
  *
  IF(
   $B3&gt;=IFERROR(XLOOKUP(REGEXEXTRACT($L3,""^[^｜]+""),sk_mst!$A:$A,sk_mst!$M:$M),999),
   IFERROR(XLOOKUP(REGEXEXTRACT($L3,""^[^｜]+""),sk_mst!$A:$A,sk_mst!$L:$L),1),
   1
  )
 )
)"),40.0)</f>
        <v>40</v>
      </c>
      <c r="V3" s="25">
        <f t="shared" si="1"/>
        <v>386400</v>
      </c>
      <c r="W3" s="25">
        <f t="shared" si="2"/>
        <v>60000</v>
      </c>
      <c r="X3" s="25">
        <f t="shared" si="3"/>
        <v>326400</v>
      </c>
      <c r="Y3" s="25">
        <f t="shared" si="4"/>
        <v>6.44</v>
      </c>
      <c r="Z3" s="25">
        <f>IFERROR(__xludf.DUMMYFUNCTION("IF($A3="""","""",
 IF($F3&lt;&gt;""player"","""",
  IFERROR(
   RANK(
    $X3,
    FILTER($X:$X,$B:$B=$B3,$F:$F=""player"",$X:$X&lt;&gt;""""),
    0
   ),
   """"
  )
 )
)"),1.0)</f>
        <v>1</v>
      </c>
      <c r="AA3" s="25" t="str">
        <f t="shared" si="5"/>
        <v>1位</v>
      </c>
      <c r="AB3" s="26">
        <f t="shared" si="6"/>
        <v>0</v>
      </c>
    </row>
    <row r="4">
      <c r="A4" s="14" t="s">
        <v>155</v>
      </c>
      <c r="B4" s="25">
        <v>0.0</v>
      </c>
      <c r="C4" s="14" t="s">
        <v>156</v>
      </c>
      <c r="D4" s="14" t="s">
        <v>157</v>
      </c>
      <c r="E4" s="25" t="s">
        <v>153</v>
      </c>
      <c r="F4" s="25" t="s">
        <v>154</v>
      </c>
      <c r="G4" s="25" t="str">
        <f>IFERROR(__xludf.DUMMYFUNCTION("IF($F4=""market"","""",IFERROR(FILTER(member_log!$B$10:$B947,member_log!$C$10:$C947=$C4,member_log!$D$10:$D947=$E4,member_log!$G$10:$G947=""active""),""""))"),"")</f>
        <v/>
      </c>
      <c r="H4" s="25" t="str">
        <f>IFERROR(__xludf.DUMMYFUNCTION("IF($F4=""market"","""",IFERROR(FILTER(member_log!$E$10:$E947,member_log!$C$10:$C947=$C4,member_log!$D$10:$D947=$E4,member_log!$G$10:$G947=""active""),""""))"),"")</f>
        <v/>
      </c>
      <c r="I4" s="25" t="str">
        <f>IFERROR(__xludf.DUMMYFUNCTION("IF($F4&lt;&gt;""player"","""",IFERROR(INDEX(FILTER(group_setup!$D$2:$D947,group_setup!$B$2:$B947=$C4,group_setup!$G$2:$G947=TRUE,group_setup!$H$2:$H947=""completed""),1),""""))"),"M12")</f>
        <v>M12</v>
      </c>
      <c r="J4" s="25" t="str">
        <f>IFERROR(__xludf.DUMMYFUNCTION("IFERROR(FILTER(market_event_log!$D$2:$D947,market_event_log!$C$2:$C947=$B4,market_event_log!$N$2:$N947=""active""),"""")"),"")</f>
        <v/>
      </c>
      <c r="K4" s="25" t="str">
        <f>IFERROR(__xludf.DUMMYFUNCTION("IFERROR(FILTER(market_event_log!$G$2:$G947,market_event_log!$C$2:$C947=$B4,market_event_log!$N$2:$N947=""active""),"""")"),"")</f>
        <v/>
      </c>
      <c r="L4" s="25" t="str">
        <f>IFERROR(__xludf.DUMMYFUNCTION("IF($F4&lt;&gt;""player"","""",IFERROR(INDEX(FILTER(group_setup!$E$2:$E947,group_setup!$B$2:$B947=$C4,group_setup!$G$2:$G947=TRUE,group_setup!$H$2:$H947=""completed""),1),""""))"),"S02")</f>
        <v>S02</v>
      </c>
      <c r="M4" s="25" t="str">
        <f>IFERROR(__xludf.DUMMYFUNCTION("IF($F4=""market"","""",IF($E4=""HUMAN"",IFERROR(FILTER(turn_log!$G$2:$G947,turn_log!$C$2:$C947=$B4,turn_log!$D$2:$D947=$C4,turn_log!$F$2:$F947=$E4),""""),IFERROR(FILTER(turn_log!$I$2:$I947,turn_log!$C$2:$C947=$B4,turn_log!$D$2:$D947=$C4,turn_log!$F$2:$F94"&amp;"7=$E4),"""")))"),"")</f>
        <v/>
      </c>
      <c r="N4" s="25" t="str">
        <f>IFERROR(__xludf.DUMMYFUNCTION("IF($F4=""market"","""",IF($E4=""HUMAN"",IFERROR(FILTER(turn_log!$H$2:$H947,turn_log!$C$2:$C947=$B4,turn_log!$D$2:$D947=$C4,turn_log!$F$2:$F947=$E4),""""),IFERROR(FILTER(turn_log!$J$2:$J947,turn_log!$C$2:$C947=$B4,turn_log!$D$2:$D947=$C4,turn_log!$F$2:$F94"&amp;"7=$E4),"""")))"),"")</f>
        <v/>
      </c>
      <c r="O4" s="25">
        <f>IFERROR(__xludf.DUMMYFUNCTION("IF($A4="""","""",
 IF($F4=""market"",
  IFERROR(XLOOKUP(REGEXEXTRACT($J4,""^[^｜]+""),tr_mst!$A:$A,tr_mst!$D:$D),0)
  +IFERROR(XLOOKUP(REGEXEXTRACT($K4,""^[^｜]+""),tc_mst!$A:$A,tc_mst!$D:$D),0),
  IF($B4=0,
   IFERROR(XLOOKUP(REGEXEXTRACT($I4,""^[^｜]+""),m"&amp;"s_mst!$A:$A,ms_mst!$D:$D),0),
   IFERROR(XLOOKUP(""T""&amp;($B4-1)&amp;""_""&amp;$D4,$A:$A,$O:$O),0)
  )
  +IFERROR(XLOOKUP(REGEXEXTRACT($J4,""^[^｜]+""),tr_mst!$A:$A,tr_mst!$D:$D),0)
  +IFERROR(XLOOKUP(REGEXEXTRACT($K4,""^[^｜]+""),tc_mst!$A:$A,tc_mst!$D:$D),0)
  +
  "&amp;"(
   IFERROR(XLOOKUP(REGEXEXTRACT($M4,""^[^｜]+""),ac_mst!$A:$A,ac_mst!$G:$G),0)
   +IFERROR(XLOOKUP(REGEXEXTRACT($N4,""^[^｜]+""),ac_mst!$A:$A,ac_mst!$G:$G),0)
   +IFERROR(
    XLOOKUP(
     IF(
      OR(
       IFERROR(REGEXEXTRACT($M4,""^[^｜]+""),"""")="&amp;""""",
       IFERROR(REGEXEXTRACT($N4,""^[^｜]+""),"""")=""""
      ),
      """",
      IF(
       IFERROR(REGEXEXTRACT($M4,""^[^｜]+""),"""")&lt;IFERROR(REGEXEXTRACT($N4,""^[^｜]+""),""""),
       IFERROR(REGEXEXTRACT($M4,""^[^｜]+""),"""")&amp;""_""&amp;IFERROR(REGEX"&amp;"EXTRACT($N4,""^[^｜]+""),""""),
       IFERROR(REGEXEXTRACT($N4,""^[^｜]+""),"""")&amp;""_""&amp;IFERROR(REGEXEXTRACT($M4,""^[^｜]+""),"""")
      )
     ),
     sy_mst!$A:$A,
     sy_mst!$D:$D
    ),
    0
   )
  )
  *
  IFERROR(XLOOKUP(REGEXEXTRACT($I4,""^[^｜]+"")"&amp;",ms_mst!$A:$A,ms_mst!$L:$L),1)
  *
  IF(
   $B4&gt;=IFERROR(XLOOKUP(REGEXEXTRACT($L4,""^[^｜]+""),sk_mst!$A:$A,sk_mst!$M:$M),999),
   IFERROR(XLOOKUP(REGEXEXTRACT($L4,""^[^｜]+""),sk_mst!$A:$A,sk_mst!$F:$F),1),
   1
  )
 )
)"),8000.0)</f>
        <v>8000</v>
      </c>
      <c r="P4" s="25">
        <f>IFERROR(__xludf.DUMMYFUNCTION("IF($A4="""","""",
 IF($F4=""market"",
  IFERROR(XLOOKUP(REGEXEXTRACT($J4,""^[^｜]+""),tr_mst!$A:$A,tr_mst!$E:$E),0)
  +IFERROR(XLOOKUP(REGEXEXTRACT($K4,""^[^｜]+""),tc_mst!$A:$A,tc_mst!$E:$E),0),
  IF($B4=0,
   IFERROR(XLOOKUP(REGEXEXTRACT($I4,""^[^｜]+""),m"&amp;"s_mst!$A:$A,ms_mst!$E:$E),0),
   IFERROR(XLOOKUP(""T""&amp;($B4-1)&amp;""_""&amp;$D4,$A:$A,$P:$P),0)
  )
  +IFERROR(XLOOKUP(REGEXEXTRACT($J4,""^[^｜]+""),tr_mst!$A:$A,tr_mst!$E:$E),0)
  +IFERROR(XLOOKUP(REGEXEXTRACT($K4,""^[^｜]+""),tc_mst!$A:$A,tc_mst!$E:$E),0)
  +
  "&amp;"(
   IFERROR(XLOOKUP(REGEXEXTRACT($M4,""^[^｜]+""),ac_mst!$A:$A,ac_mst!$H:$H),0)
   +IFERROR(XLOOKUP(REGEXEXTRACT($N4,""^[^｜]+""),ac_mst!$A:$A,ac_mst!$H:$H),0)
   +IFERROR(
    XLOOKUP(
     IF(
      OR(
       IFERROR(REGEXEXTRACT($M4,""^[^｜]+""),"""")="&amp;""""",
       IFERROR(REGEXEXTRACT($N4,""^[^｜]+""),"""")=""""
      ),
      """",
      IF(
       IFERROR(REGEXEXTRACT($M4,""^[^｜]+""),"""")&lt;IFERROR(REGEXEXTRACT($N4,""^[^｜]+""),""""),
       IFERROR(REGEXEXTRACT($M4,""^[^｜]+""),"""")&amp;""_""&amp;IFERROR(REGEX"&amp;"EXTRACT($N4,""^[^｜]+""),""""),
       IFERROR(REGEXEXTRACT($N4,""^[^｜]+""),"""")&amp;""_""&amp;IFERROR(REGEXEXTRACT($M4,""^[^｜]+""),"""")
      )
     ),
     sy_mst!$A:$A,
     sy_mst!$E:$E
    ),
    0
   )
  )
  *
  IFERROR(XLOOKUP(REGEXEXTRACT($I4,""^[^｜]+"")"&amp;",ms_mst!$A:$A,ms_mst!$M:$M),1)
  *
  IF(
   $B4&gt;=IFERROR(XLOOKUP(REGEXEXTRACT($L4,""^[^｜]+""),sk_mst!$A:$A,sk_mst!$M:$M),999),
   IFERROR(XLOOKUP(REGEXEXTRACT($L4,""^[^｜]+""),sk_mst!$A:$A,sk_mst!$G:$G),1),
   1
  )
 )
)"),2500.0)</f>
        <v>2500</v>
      </c>
      <c r="Q4" s="25">
        <f>IFERROR(__xludf.DUMMYFUNCTION("IF($A4="""","""",
 IF($F4=""market"",
  IFERROR(XLOOKUP(REGEXEXTRACT($J4,""^[^｜]+""),tr_mst!$A:$A,tr_mst!$F:$F),0)
  +IFERROR(XLOOKUP(REGEXEXTRACT($K4,""^[^｜]+""),tc_mst!$A:$A,tc_mst!$F:$F),0),
  IF($B4=0,
   IFERROR(XLOOKUP(REGEXEXTRACT($I4,""^[^｜]+""),m"&amp;"s_mst!$A:$A,ms_mst!$F:$F),0),
   IFERROR(XLOOKUP(""T""&amp;($B4-1)&amp;""_""&amp;$D4,$A:$A,$Q:$Q),0)
  )
  +IFERROR(XLOOKUP(REGEXEXTRACT($J4,""^[^｜]+""),tr_mst!$A:$A,tr_mst!$F:$F),0)
  +IFERROR(XLOOKUP(REGEXEXTRACT($K4,""^[^｜]+""),tc_mst!$A:$A,tc_mst!$F:$F),0)
  +
  "&amp;"(
   IFERROR(XLOOKUP(REGEXEXTRACT($M4,""^[^｜]+""),ac_mst!$A:$A,ac_mst!$I:$I),0)
   +IFERROR(XLOOKUP(REGEXEXTRACT($N4,""^[^｜]+""),ac_mst!$A:$A,ac_mst!$I:$I),0)
   +IFERROR(
    XLOOKUP(
     IF(
      OR(
       IFERROR(REGEXEXTRACT($M4,""^[^｜]+""),"""")="&amp;""""",
       IFERROR(REGEXEXTRACT($N4,""^[^｜]+""),"""")=""""
      ),
      """",
      IF(
       IFERROR(REGEXEXTRACT($M4,""^[^｜]+""),"""")&lt;IFERROR(REGEXEXTRACT($N4,""^[^｜]+""),""""),
       IFERROR(REGEXEXTRACT($M4,""^[^｜]+""),"""")&amp;""_""&amp;IFERROR(REGEX"&amp;"EXTRACT($N4,""^[^｜]+""),""""),
       IFERROR(REGEXEXTRACT($N4,""^[^｜]+""),"""")&amp;""_""&amp;IFERROR(REGEXEXTRACT($M4,""^[^｜]+""),"""")
      )
     ),
     sy_mst!$A:$A,
     sy_mst!$F:$F
    ),
    0
   )
  )
  *
  IFERROR(XLOOKUP(REGEXEXTRACT($I4,""^[^｜]+"")"&amp;",ms_mst!$A:$A,ms_mst!$N:$N),1)
  *
  IF(
   $B4&gt;=IFERROR(XLOOKUP(REGEXEXTRACT($L4,""^[^｜]+""),sk_mst!$A:$A,sk_mst!$M:$M),999),
   IFERROR(XLOOKUP(REGEXEXTRACT($L4,""^[^｜]+""),sk_mst!$A:$A,sk_mst!$H:$H),1),
   1
  )
 )
)"),0.57)</f>
        <v>0.57</v>
      </c>
      <c r="R4" s="25">
        <f>IFERROR(__xludf.DUMMYFUNCTION("IF($A4="""","""",
 IF($F4=""market"",
  IFERROR(XLOOKUP(REGEXEXTRACT($J4,""^[^｜]+""),tr_mst!$A:$A,tr_mst!$G:$G),0)
  +IFERROR(XLOOKUP(REGEXEXTRACT($K4,""^[^｜]+""),tc_mst!$A:$A,tc_mst!$G:$G),0),
  IF($B4=0,
   IFERROR(XLOOKUP(REGEXEXTRACT($I4,""^[^｜]+""),m"&amp;"s_mst!$A:$A,ms_mst!$G:$G),0),
   IFERROR(XLOOKUP(""T""&amp;($B4-1)&amp;""_""&amp;$D4,$A:$A,$R:$R),0)
  )
  +IFERROR(XLOOKUP(REGEXEXTRACT($J4,""^[^｜]+""),tr_mst!$A:$A,tr_mst!$G:$G),0)
  +IFERROR(XLOOKUP(REGEXEXTRACT($K4,""^[^｜]+""),tc_mst!$A:$A,tc_mst!$G:$G),0)
  +
  "&amp;"(
   IFERROR(XLOOKUP(REGEXEXTRACT($M4,""^[^｜]+""),ac_mst!$A:$A,ac_mst!$J:$J),0)
   +IFERROR(XLOOKUP(REGEXEXTRACT($N4,""^[^｜]+""),ac_mst!$A:$A,ac_mst!$J:$J),0)
   +IFERROR(
    XLOOKUP(
     IF(
      OR(
       IFERROR(REGEXEXTRACT($M4,""^[^｜]+""),"""")="&amp;""""",
       IFERROR(REGEXEXTRACT($N4,""^[^｜]+""),"""")=""""
      ),
      """",
      IF(
       IFERROR(REGEXEXTRACT($M4,""^[^｜]+""),"""")&lt;IFERROR(REGEXEXTRACT($N4,""^[^｜]+""),""""),
       IFERROR(REGEXEXTRACT($M4,""^[^｜]+""),"""")&amp;""_""&amp;IFERROR(REGEX"&amp;"EXTRACT($N4,""^[^｜]+""),""""),
       IFERROR(REGEXEXTRACT($N4,""^[^｜]+""),"""")&amp;""_""&amp;IFERROR(REGEXEXTRACT($M4,""^[^｜]+""),"""")
      )
     ),
     sy_mst!$A:$A,
     sy_mst!$G:$G
    ),
    0
   )
  )
  *
  IFERROR(XLOOKUP(REGEXEXTRACT($I4,""^[^｜]+"")"&amp;",ms_mst!$A:$A,ms_mst!$O:$O),1)
  *
  IF(
   $B4&gt;=IFERROR(XLOOKUP(REGEXEXTRACT($L4,""^[^｜]+""),sk_mst!$A:$A,sk_mst!$M:$M),999),
   IFERROR(XLOOKUP(REGEXEXTRACT($L4,""^[^｜]+""),sk_mst!$A:$A,sk_mst!$I:$I),1),
   1
  )
 )
)"),1.55)</f>
        <v>1.55</v>
      </c>
      <c r="S4" s="25">
        <f>IFERROR(__xludf.DUMMYFUNCTION("IF($A4="""","""",
 IF($F4=""market"",
  IFERROR(XLOOKUP(REGEXEXTRACT($J4,""^[^｜]+""),tr_mst!$A:$A,tr_mst!$H:$H),0)
  +IFERROR(XLOOKUP(REGEXEXTRACT($K4,""^[^｜]+""),tc_mst!$A:$A,tc_mst!$H:$H),0),
  IF($B4=0,
   IFERROR(XLOOKUP(REGEXEXTRACT($I4,""^[^｜]+""),m"&amp;"s_mst!$A:$A,ms_mst!$H:$H),0),
   IFERROR(XLOOKUP(""T""&amp;($B4-1)&amp;""_""&amp;$D4,$A:$A,$S:$S),0)
  )
  +IFERROR(XLOOKUP(REGEXEXTRACT($J4,""^[^｜]+""),tr_mst!$A:$A,tr_mst!$H:$H),0)
  +IFERROR(XLOOKUP(REGEXEXTRACT($K4,""^[^｜]+""),tc_mst!$A:$A,tc_mst!$H:$H),0)
  +
  "&amp;"(
   IFERROR(XLOOKUP(REGEXEXTRACT($M4,""^[^｜]+""),ac_mst!$A:$A,ac_mst!$K:$K),0)
   +IFERROR(XLOOKUP(REGEXEXTRACT($N4,""^[^｜]+""),ac_mst!$A:$A,ac_mst!$K:$K),0)
   +IFERROR(
    XLOOKUP(
     IF(
      OR(
       IFERROR(REGEXEXTRACT($M4,""^[^｜]+""),"""")="&amp;""""",
       IFERROR(REGEXEXTRACT($N4,""^[^｜]+""),"""")=""""
      ),
      """",
      IF(
       IFERROR(REGEXEXTRACT($M4,""^[^｜]+""),"""")&lt;IFERROR(REGEXEXTRACT($N4,""^[^｜]+""),""""),
       IFERROR(REGEXEXTRACT($M4,""^[^｜]+""),"""")&amp;""_""&amp;IFERROR(REGEX"&amp;"EXTRACT($N4,""^[^｜]+""),""""),
       IFERROR(REGEXEXTRACT($N4,""^[^｜]+""),"""")&amp;""_""&amp;IFERROR(REGEXEXTRACT($M4,""^[^｜]+""),"""")
      )
     ),
     sy_mst!$A:$A,
     sy_mst!$H:$H
    ),
    0
   )
  )
  *
  IFERROR(XLOOKUP(REGEXEXTRACT($I4,""^[^｜]+"")"&amp;",ms_mst!$A:$A,ms_mst!$P:$P),1)
  *
  IF(
   $B4&gt;=IFERROR(XLOOKUP(REGEXEXTRACT($L4,""^[^｜]+""),sk_mst!$A:$A,sk_mst!$M:$M),999),
   IFERROR(XLOOKUP(REGEXEXTRACT($L4,""^[^｜]+""),sk_mst!$A:$A,sk_mst!$J:$J),1),
   1
  )
 )
)"),0.011)</f>
        <v>0.011</v>
      </c>
      <c r="T4" s="25">
        <f>IFERROR(__xludf.DUMMYFUNCTION("IF($A4="""","""",
 IF($F4=""market"",
  IFERROR(XLOOKUP(REGEXEXTRACT($J4,""^[^｜]+""),tr_mst!$A:$A,tr_mst!$I:$I),0)
  +IFERROR(XLOOKUP(REGEXEXTRACT($K4,""^[^｜]+""),tc_mst!$A:$A,tc_mst!$I:$I),0),
  IF($B4=0,
   IFERROR(XLOOKUP(REGEXEXTRACT($I4,""^[^｜]+""),m"&amp;"s_mst!$A:$A,ms_mst!$I:$I),0),
   IFERROR(XLOOKUP(""T""&amp;($B4-1)&amp;""_""&amp;$D4,$A:$A,$T:$T),0)
  )
  +IFERROR(XLOOKUP(REGEXEXTRACT($J4,""^[^｜]+""),tr_mst!$A:$A,tr_mst!$I:$I),0)
  +IFERROR(XLOOKUP(REGEXEXTRACT($K4,""^[^｜]+""),tc_mst!$A:$A,tc_mst!$I:$I),0)
  +
  "&amp;"(
   IFERROR(XLOOKUP(REGEXEXTRACT($M4,""^[^｜]+""),ac_mst!$A:$A,ac_mst!$L:$L),0)
   +IFERROR(XLOOKUP(REGEXEXTRACT($N4,""^[^｜]+""),ac_mst!$A:$A,ac_mst!$L:$L),0)
   +IFERROR(
    XLOOKUP(
     IF(
      OR(
       IFERROR(REGEXEXTRACT($M4,""^[^｜]+""),"""")="&amp;""""",
       IFERROR(REGEXEXTRACT($N4,""^[^｜]+""),"""")=""""
      ),
      """",
      IF(
       IFERROR(REGEXEXTRACT($M4,""^[^｜]+""),"""")&lt;IFERROR(REGEXEXTRACT($N4,""^[^｜]+""),""""),
       IFERROR(REGEXEXTRACT($M4,""^[^｜]+""),"""")&amp;""_""&amp;IFERROR(REGEX"&amp;"EXTRACT($N4,""^[^｜]+""),""""),
       IFERROR(REGEXEXTRACT($N4,""^[^｜]+""),"""")&amp;""_""&amp;IFERROR(REGEXEXTRACT($M4,""^[^｜]+""),"""")
      )
     ),
     sy_mst!$A:$A,
     sy_mst!$I:$I
    ),
    0
   )
  )
  *
  IFERROR(XLOOKUP(REGEXEXTRACT($I4,""^[^｜]+"")"&amp;",ms_mst!$A:$A,ms_mst!$Q:$Q),1)
  *
  IF(
   $B4&gt;=IFERROR(XLOOKUP(REGEXEXTRACT($L4,""^[^｜]+""),sk_mst!$A:$A,sk_mst!$M:$M),999),
   IFERROR(XLOOKUP(REGEXEXTRACT($L4,""^[^｜]+""),sk_mst!$A:$A,sk_mst!$K:$K),1),
   1
  )
 )
)"),4200.0)</f>
        <v>4200</v>
      </c>
      <c r="U4" s="25">
        <f>IFERROR(__xludf.DUMMYFUNCTION("IF($A4="""","""",
 IF($F4=""market"",
  IFERROR(XLOOKUP(REGEXEXTRACT($J4,""^[^｜]+""),tr_mst!$A:$A,tr_mst!$J:$J),0)
  +IFERROR(XLOOKUP(REGEXEXTRACT($K4,""^[^｜]+""),tc_mst!$A:$A,tc_mst!$J:$J),0),
  IF($B4=0,
   IFERROR(XLOOKUP(REGEXEXTRACT($I4,""^[^｜]+""),m"&amp;"s_mst!$A:$A,ms_mst!$J:$J),0),
   IFERROR(XLOOKUP(""T""&amp;($B4-1)&amp;""_""&amp;$D4,$A:$A,$U:$U),0)
  )
  +IFERROR(XLOOKUP(REGEXEXTRACT($J4,""^[^｜]+""),tr_mst!$A:$A,tr_mst!$J:$J),0)
  +IFERROR(XLOOKUP(REGEXEXTRACT($K4,""^[^｜]+""),tc_mst!$A:$A,tc_mst!$J:$J),0)
  +
  "&amp;"(
   IFERROR(XLOOKUP(REGEXEXTRACT($M4,""^[^｜]+""),ac_mst!$A:$A,ac_mst!$M:$M),0)
   +IFERROR(XLOOKUP(REGEXEXTRACT($N4,""^[^｜]+""),ac_mst!$A:$A,ac_mst!$M:$M),0)
   +IFERROR(
    XLOOKUP(
     IF(
      OR(
       IFERROR(REGEXEXTRACT($M4,""^[^｜]+""),"""")="&amp;""""",
       IFERROR(REGEXEXTRACT($N4,""^[^｜]+""),"""")=""""
      ),
      """",
      IF(
       IFERROR(REGEXEXTRACT($M4,""^[^｜]+""),"""")&lt;IFERROR(REGEXEXTRACT($N4,""^[^｜]+""),""""),
       IFERROR(REGEXEXTRACT($M4,""^[^｜]+""),"""")&amp;""_""&amp;IFERROR(REGEX"&amp;"EXTRACT($N4,""^[^｜]+""),""""),
       IFERROR(REGEXEXTRACT($N4,""^[^｜]+""),"""")&amp;""_""&amp;IFERROR(REGEXEXTRACT($M4,""^[^｜]+""),"""")
      )
     ),
     sy_mst!$A:$A,
     sy_mst!$J:$J
    ),
    0
   )
  )
  *
  IFERROR(XLOOKUP(REGEXEXTRACT($I4,""^[^｜]+"")"&amp;",ms_mst!$A:$A,ms_mst!$R:$R),1)
  *
  IF(
   $B4&gt;=IFERROR(XLOOKUP(REGEXEXTRACT($L4,""^[^｜]+""),sk_mst!$A:$A,sk_mst!$M:$M),999),
   IFERROR(XLOOKUP(REGEXEXTRACT($L4,""^[^｜]+""),sk_mst!$A:$A,sk_mst!$L:$L),1),
   1
  )
 )
)"),50.0)</f>
        <v>50</v>
      </c>
      <c r="V4" s="25">
        <f t="shared" si="1"/>
        <v>323319</v>
      </c>
      <c r="W4" s="25">
        <f t="shared" si="2"/>
        <v>125000</v>
      </c>
      <c r="X4" s="25">
        <f t="shared" si="3"/>
        <v>198319</v>
      </c>
      <c r="Y4" s="25">
        <f t="shared" si="4"/>
        <v>2.59</v>
      </c>
      <c r="Z4" s="25">
        <f>IFERROR(__xludf.DUMMYFUNCTION("IF($A4="""","""",
 IF($F4&lt;&gt;""player"","""",
  IFERROR(
   RANK(
    $X4,
    FILTER($X:$X,$B:$B=$B4,$F:$F=""player"",$X:$X&lt;&gt;""""),
    0
   ),
   """"
  )
 )
)"),4.0)</f>
        <v>4</v>
      </c>
      <c r="AA4" s="25" t="str">
        <f t="shared" si="5"/>
        <v>4位</v>
      </c>
      <c r="AB4" s="26">
        <f t="shared" si="6"/>
        <v>0</v>
      </c>
    </row>
    <row r="5">
      <c r="A5" s="14" t="s">
        <v>158</v>
      </c>
      <c r="B5" s="25">
        <v>0.0</v>
      </c>
      <c r="C5" s="14" t="s">
        <v>159</v>
      </c>
      <c r="D5" s="14" t="s">
        <v>160</v>
      </c>
      <c r="E5" s="25" t="s">
        <v>153</v>
      </c>
      <c r="F5" s="25" t="s">
        <v>154</v>
      </c>
      <c r="G5" s="25" t="str">
        <f>IFERROR(__xludf.DUMMYFUNCTION("IF($F5=""market"","""",IFERROR(FILTER(member_log!$B$10:$B947,member_log!$C$10:$C947=$C5,member_log!$D$10:$D947=$E5,member_log!$G$10:$G947=""active""),""""))"),"")</f>
        <v/>
      </c>
      <c r="H5" s="25" t="str">
        <f>IFERROR(__xludf.DUMMYFUNCTION("IF($F5=""market"","""",IFERROR(FILTER(member_log!$E$10:$E947,member_log!$C$10:$C947=$C5,member_log!$D$10:$D947=$E5,member_log!$G$10:$G947=""active""),""""))"),"")</f>
        <v/>
      </c>
      <c r="I5" s="25" t="str">
        <f>IFERROR(__xludf.DUMMYFUNCTION("IF($F5&lt;&gt;""player"","""",IFERROR(INDEX(FILTER(group_setup!$D$2:$D947,group_setup!$B$2:$B947=$C5,group_setup!$G$2:$G947=TRUE,group_setup!$H$2:$H947=""completed""),1),""""))"),"M03")</f>
        <v>M03</v>
      </c>
      <c r="J5" s="25" t="str">
        <f>IFERROR(__xludf.DUMMYFUNCTION("IFERROR(FILTER(market_event_log!$D$2:$D947,market_event_log!$C$2:$C947=$B5,market_event_log!$N$2:$N947=""active""),"""")"),"")</f>
        <v/>
      </c>
      <c r="K5" s="25" t="str">
        <f>IFERROR(__xludf.DUMMYFUNCTION("IFERROR(FILTER(market_event_log!$G$2:$G947,market_event_log!$C$2:$C947=$B5,market_event_log!$N$2:$N947=""active""),"""")"),"")</f>
        <v/>
      </c>
      <c r="L5" s="25" t="str">
        <f>IFERROR(__xludf.DUMMYFUNCTION("IF($F5&lt;&gt;""player"","""",IFERROR(INDEX(FILTER(group_setup!$E$2:$E947,group_setup!$B$2:$B947=$C5,group_setup!$G$2:$G947=TRUE,group_setup!$H$2:$H947=""completed""),1),""""))"),"S02")</f>
        <v>S02</v>
      </c>
      <c r="M5" s="25" t="str">
        <f>IFERROR(__xludf.DUMMYFUNCTION("IF($F5=""market"","""",IF($E5=""HUMAN"",IFERROR(FILTER(turn_log!$G$2:$G947,turn_log!$C$2:$C947=$B5,turn_log!$D$2:$D947=$C5,turn_log!$F$2:$F947=$E5),""""),IFERROR(FILTER(turn_log!$I$2:$I947,turn_log!$C$2:$C947=$B5,turn_log!$D$2:$D947=$C5,turn_log!$F$2:$F94"&amp;"7=$E5),"""")))"),"")</f>
        <v/>
      </c>
      <c r="N5" s="25" t="str">
        <f>IFERROR(__xludf.DUMMYFUNCTION("IF($F5=""market"","""",IF($E5=""HUMAN"",IFERROR(FILTER(turn_log!$H$2:$H947,turn_log!$C$2:$C947=$B5,turn_log!$D$2:$D947=$C5,turn_log!$F$2:$F947=$E5),""""),IFERROR(FILTER(turn_log!$J$2:$J947,turn_log!$C$2:$C947=$B5,turn_log!$D$2:$D947=$C5,turn_log!$F$2:$F94"&amp;"7=$E5),"""")))"),"")</f>
        <v/>
      </c>
      <c r="O5" s="25">
        <f>IFERROR(__xludf.DUMMYFUNCTION("IF($A5="""","""",
 IF($F5=""market"",
  IFERROR(XLOOKUP(REGEXEXTRACT($J5,""^[^｜]+""),tr_mst!$A:$A,tr_mst!$D:$D),0)
  +IFERROR(XLOOKUP(REGEXEXTRACT($K5,""^[^｜]+""),tc_mst!$A:$A,tc_mst!$D:$D),0),
  IF($B5=0,
   IFERROR(XLOOKUP(REGEXEXTRACT($I5,""^[^｜]+""),m"&amp;"s_mst!$A:$A,ms_mst!$D:$D),0),
   IFERROR(XLOOKUP(""T""&amp;($B5-1)&amp;""_""&amp;$D5,$A:$A,$O:$O),0)
  )
  +IFERROR(XLOOKUP(REGEXEXTRACT($J5,""^[^｜]+""),tr_mst!$A:$A,tr_mst!$D:$D),0)
  +IFERROR(XLOOKUP(REGEXEXTRACT($K5,""^[^｜]+""),tc_mst!$A:$A,tc_mst!$D:$D),0)
  +
  "&amp;"(
   IFERROR(XLOOKUP(REGEXEXTRACT($M5,""^[^｜]+""),ac_mst!$A:$A,ac_mst!$G:$G),0)
   +IFERROR(XLOOKUP(REGEXEXTRACT($N5,""^[^｜]+""),ac_mst!$A:$A,ac_mst!$G:$G),0)
   +IFERROR(
    XLOOKUP(
     IF(
      OR(
       IFERROR(REGEXEXTRACT($M5,""^[^｜]+""),"""")="&amp;""""",
       IFERROR(REGEXEXTRACT($N5,""^[^｜]+""),"""")=""""
      ),
      """",
      IF(
       IFERROR(REGEXEXTRACT($M5,""^[^｜]+""),"""")&lt;IFERROR(REGEXEXTRACT($N5,""^[^｜]+""),""""),
       IFERROR(REGEXEXTRACT($M5,""^[^｜]+""),"""")&amp;""_""&amp;IFERROR(REGEX"&amp;"EXTRACT($N5,""^[^｜]+""),""""),
       IFERROR(REGEXEXTRACT($N5,""^[^｜]+""),"""")&amp;""_""&amp;IFERROR(REGEXEXTRACT($M5,""^[^｜]+""),"""")
      )
     ),
     sy_mst!$A:$A,
     sy_mst!$D:$D
    ),
    0
   )
  )
  *
  IFERROR(XLOOKUP(REGEXEXTRACT($I5,""^[^｜]+"")"&amp;",ms_mst!$A:$A,ms_mst!$L:$L),1)
  *
  IF(
   $B5&gt;=IFERROR(XLOOKUP(REGEXEXTRACT($L5,""^[^｜]+""),sk_mst!$A:$A,sk_mst!$M:$M),999),
   IFERROR(XLOOKUP(REGEXEXTRACT($L5,""^[^｜]+""),sk_mst!$A:$A,sk_mst!$F:$F),1),
   1
  )
 )
)"),8500.0)</f>
        <v>8500</v>
      </c>
      <c r="P5" s="25">
        <f>IFERROR(__xludf.DUMMYFUNCTION("IF($A5="""","""",
 IF($F5=""market"",
  IFERROR(XLOOKUP(REGEXEXTRACT($J5,""^[^｜]+""),tr_mst!$A:$A,tr_mst!$E:$E),0)
  +IFERROR(XLOOKUP(REGEXEXTRACT($K5,""^[^｜]+""),tc_mst!$A:$A,tc_mst!$E:$E),0),
  IF($B5=0,
   IFERROR(XLOOKUP(REGEXEXTRACT($I5,""^[^｜]+""),m"&amp;"s_mst!$A:$A,ms_mst!$E:$E),0),
   IFERROR(XLOOKUP(""T""&amp;($B5-1)&amp;""_""&amp;$D5,$A:$A,$P:$P),0)
  )
  +IFERROR(XLOOKUP(REGEXEXTRACT($J5,""^[^｜]+""),tr_mst!$A:$A,tr_mst!$E:$E),0)
  +IFERROR(XLOOKUP(REGEXEXTRACT($K5,""^[^｜]+""),tc_mst!$A:$A,tc_mst!$E:$E),0)
  +
  "&amp;"(
   IFERROR(XLOOKUP(REGEXEXTRACT($M5,""^[^｜]+""),ac_mst!$A:$A,ac_mst!$H:$H),0)
   +IFERROR(XLOOKUP(REGEXEXTRACT($N5,""^[^｜]+""),ac_mst!$A:$A,ac_mst!$H:$H),0)
   +IFERROR(
    XLOOKUP(
     IF(
      OR(
       IFERROR(REGEXEXTRACT($M5,""^[^｜]+""),"""")="&amp;""""",
       IFERROR(REGEXEXTRACT($N5,""^[^｜]+""),"""")=""""
      ),
      """",
      IF(
       IFERROR(REGEXEXTRACT($M5,""^[^｜]+""),"""")&lt;IFERROR(REGEXEXTRACT($N5,""^[^｜]+""),""""),
       IFERROR(REGEXEXTRACT($M5,""^[^｜]+""),"""")&amp;""_""&amp;IFERROR(REGEX"&amp;"EXTRACT($N5,""^[^｜]+""),""""),
       IFERROR(REGEXEXTRACT($N5,""^[^｜]+""),"""")&amp;""_""&amp;IFERROR(REGEXEXTRACT($M5,""^[^｜]+""),"""")
      )
     ),
     sy_mst!$A:$A,
     sy_mst!$E:$E
    ),
    0
   )
  )
  *
  IFERROR(XLOOKUP(REGEXEXTRACT($I5,""^[^｜]+"")"&amp;",ms_mst!$A:$A,ms_mst!$M:$M),1)
  *
  IF(
   $B5&gt;=IFERROR(XLOOKUP(REGEXEXTRACT($L5,""^[^｜]+""),sk_mst!$A:$A,sk_mst!$M:$M),999),
   IFERROR(XLOOKUP(REGEXEXTRACT($L5,""^[^｜]+""),sk_mst!$A:$A,sk_mst!$G:$G),1),
   1
  )
 )
)"),1500.0)</f>
        <v>1500</v>
      </c>
      <c r="Q5" s="25">
        <f>IFERROR(__xludf.DUMMYFUNCTION("IF($A5="""","""",
 IF($F5=""market"",
  IFERROR(XLOOKUP(REGEXEXTRACT($J5,""^[^｜]+""),tr_mst!$A:$A,tr_mst!$F:$F),0)
  +IFERROR(XLOOKUP(REGEXEXTRACT($K5,""^[^｜]+""),tc_mst!$A:$A,tc_mst!$F:$F),0),
  IF($B5=0,
   IFERROR(XLOOKUP(REGEXEXTRACT($I5,""^[^｜]+""),m"&amp;"s_mst!$A:$A,ms_mst!$F:$F),0),
   IFERROR(XLOOKUP(""T""&amp;($B5-1)&amp;""_""&amp;$D5,$A:$A,$Q:$Q),0)
  )
  +IFERROR(XLOOKUP(REGEXEXTRACT($J5,""^[^｜]+""),tr_mst!$A:$A,tr_mst!$F:$F),0)
  +IFERROR(XLOOKUP(REGEXEXTRACT($K5,""^[^｜]+""),tc_mst!$A:$A,tc_mst!$F:$F),0)
  +
  "&amp;"(
   IFERROR(XLOOKUP(REGEXEXTRACT($M5,""^[^｜]+""),ac_mst!$A:$A,ac_mst!$I:$I),0)
   +IFERROR(XLOOKUP(REGEXEXTRACT($N5,""^[^｜]+""),ac_mst!$A:$A,ac_mst!$I:$I),0)
   +IFERROR(
    XLOOKUP(
     IF(
      OR(
       IFERROR(REGEXEXTRACT($M5,""^[^｜]+""),"""")="&amp;""""",
       IFERROR(REGEXEXTRACT($N5,""^[^｜]+""),"""")=""""
      ),
      """",
      IF(
       IFERROR(REGEXEXTRACT($M5,""^[^｜]+""),"""")&lt;IFERROR(REGEXEXTRACT($N5,""^[^｜]+""),""""),
       IFERROR(REGEXEXTRACT($M5,""^[^｜]+""),"""")&amp;""_""&amp;IFERROR(REGEX"&amp;"EXTRACT($N5,""^[^｜]+""),""""),
       IFERROR(REGEXEXTRACT($N5,""^[^｜]+""),"""")&amp;""_""&amp;IFERROR(REGEXEXTRACT($M5,""^[^｜]+""),"""")
      )
     ),
     sy_mst!$A:$A,
     sy_mst!$F:$F
    ),
    0
   )
  )
  *
  IFERROR(XLOOKUP(REGEXEXTRACT($I5,""^[^｜]+"")"&amp;",ms_mst!$A:$A,ms_mst!$N:$N),1)
  *
  IF(
   $B5&gt;=IFERROR(XLOOKUP(REGEXEXTRACT($L5,""^[^｜]+""),sk_mst!$A:$A,sk_mst!$M:$M),999),
   IFERROR(XLOOKUP(REGEXEXTRACT($L5,""^[^｜]+""),sk_mst!$A:$A,sk_mst!$H:$H),1),
   1
  )
 )
)"),0.54)</f>
        <v>0.54</v>
      </c>
      <c r="R5" s="25">
        <f>IFERROR(__xludf.DUMMYFUNCTION("IF($A5="""","""",
 IF($F5=""market"",
  IFERROR(XLOOKUP(REGEXEXTRACT($J5,""^[^｜]+""),tr_mst!$A:$A,tr_mst!$G:$G),0)
  +IFERROR(XLOOKUP(REGEXEXTRACT($K5,""^[^｜]+""),tc_mst!$A:$A,tc_mst!$G:$G),0),
  IF($B5=0,
   IFERROR(XLOOKUP(REGEXEXTRACT($I5,""^[^｜]+""),m"&amp;"s_mst!$A:$A,ms_mst!$G:$G),0),
   IFERROR(XLOOKUP(""T""&amp;($B5-1)&amp;""_""&amp;$D5,$A:$A,$R:$R),0)
  )
  +IFERROR(XLOOKUP(REGEXEXTRACT($J5,""^[^｜]+""),tr_mst!$A:$A,tr_mst!$G:$G),0)
  +IFERROR(XLOOKUP(REGEXEXTRACT($K5,""^[^｜]+""),tc_mst!$A:$A,tc_mst!$G:$G),0)
  +
  "&amp;"(
   IFERROR(XLOOKUP(REGEXEXTRACT($M5,""^[^｜]+""),ac_mst!$A:$A,ac_mst!$J:$J),0)
   +IFERROR(XLOOKUP(REGEXEXTRACT($N5,""^[^｜]+""),ac_mst!$A:$A,ac_mst!$J:$J),0)
   +IFERROR(
    XLOOKUP(
     IF(
      OR(
       IFERROR(REGEXEXTRACT($M5,""^[^｜]+""),"""")="&amp;""""",
       IFERROR(REGEXEXTRACT($N5,""^[^｜]+""),"""")=""""
      ),
      """",
      IF(
       IFERROR(REGEXEXTRACT($M5,""^[^｜]+""),"""")&lt;IFERROR(REGEXEXTRACT($N5,""^[^｜]+""),""""),
       IFERROR(REGEXEXTRACT($M5,""^[^｜]+""),"""")&amp;""_""&amp;IFERROR(REGEX"&amp;"EXTRACT($N5,""^[^｜]+""),""""),
       IFERROR(REGEXEXTRACT($N5,""^[^｜]+""),"""")&amp;""_""&amp;IFERROR(REGEXEXTRACT($M5,""^[^｜]+""),"""")
      )
     ),
     sy_mst!$A:$A,
     sy_mst!$G:$G
    ),
    0
   )
  )
  *
  IFERROR(XLOOKUP(REGEXEXTRACT($I5,""^[^｜]+"")"&amp;",ms_mst!$A:$A,ms_mst!$O:$O),1)
  *
  IF(
   $B5&gt;=IFERROR(XLOOKUP(REGEXEXTRACT($L5,""^[^｜]+""),sk_mst!$A:$A,sk_mst!$M:$M),999),
   IFERROR(XLOOKUP(REGEXEXTRACT($L5,""^[^｜]+""),sk_mst!$A:$A,sk_mst!$I:$I),1),
   1
  )
 )
)"),1.75)</f>
        <v>1.75</v>
      </c>
      <c r="S5" s="25">
        <f>IFERROR(__xludf.DUMMYFUNCTION("IF($A5="""","""",
 IF($F5=""market"",
  IFERROR(XLOOKUP(REGEXEXTRACT($J5,""^[^｜]+""),tr_mst!$A:$A,tr_mst!$H:$H),0)
  +IFERROR(XLOOKUP(REGEXEXTRACT($K5,""^[^｜]+""),tc_mst!$A:$A,tc_mst!$H:$H),0),
  IF($B5=0,
   IFERROR(XLOOKUP(REGEXEXTRACT($I5,""^[^｜]+""),m"&amp;"s_mst!$A:$A,ms_mst!$H:$H),0),
   IFERROR(XLOOKUP(""T""&amp;($B5-1)&amp;""_""&amp;$D5,$A:$A,$S:$S),0)
  )
  +IFERROR(XLOOKUP(REGEXEXTRACT($J5,""^[^｜]+""),tr_mst!$A:$A,tr_mst!$H:$H),0)
  +IFERROR(XLOOKUP(REGEXEXTRACT($K5,""^[^｜]+""),tc_mst!$A:$A,tc_mst!$H:$H),0)
  +
  "&amp;"(
   IFERROR(XLOOKUP(REGEXEXTRACT($M5,""^[^｜]+""),ac_mst!$A:$A,ac_mst!$K:$K),0)
   +IFERROR(XLOOKUP(REGEXEXTRACT($N5,""^[^｜]+""),ac_mst!$A:$A,ac_mst!$K:$K),0)
   +IFERROR(
    XLOOKUP(
     IF(
      OR(
       IFERROR(REGEXEXTRACT($M5,""^[^｜]+""),"""")="&amp;""""",
       IFERROR(REGEXEXTRACT($N5,""^[^｜]+""),"""")=""""
      ),
      """",
      IF(
       IFERROR(REGEXEXTRACT($M5,""^[^｜]+""),"""")&lt;IFERROR(REGEXEXTRACT($N5,""^[^｜]+""),""""),
       IFERROR(REGEXEXTRACT($M5,""^[^｜]+""),"""")&amp;""_""&amp;IFERROR(REGEX"&amp;"EXTRACT($N5,""^[^｜]+""),""""),
       IFERROR(REGEXEXTRACT($N5,""^[^｜]+""),"""")&amp;""_""&amp;IFERROR(REGEXEXTRACT($M5,""^[^｜]+""),"""")
      )
     ),
     sy_mst!$A:$A,
     sy_mst!$H:$H
    ),
    0
   )
  )
  *
  IFERROR(XLOOKUP(REGEXEXTRACT($I5,""^[^｜]+"")"&amp;",ms_mst!$A:$A,ms_mst!$P:$P),1)
  *
  IF(
   $B5&gt;=IFERROR(XLOOKUP(REGEXEXTRACT($L5,""^[^｜]+""),sk_mst!$A:$A,sk_mst!$M:$M),999),
   IFERROR(XLOOKUP(REGEXEXTRACT($L5,""^[^｜]+""),sk_mst!$A:$A,sk_mst!$J:$J),1),
   1
  )
 )
)"),0.012)</f>
        <v>0.012</v>
      </c>
      <c r="T5" s="25">
        <f>IFERROR(__xludf.DUMMYFUNCTION("IF($A5="""","""",
 IF($F5=""market"",
  IFERROR(XLOOKUP(REGEXEXTRACT($J5,""^[^｜]+""),tr_mst!$A:$A,tr_mst!$I:$I),0)
  +IFERROR(XLOOKUP(REGEXEXTRACT($K5,""^[^｜]+""),tc_mst!$A:$A,tc_mst!$I:$I),0),
  IF($B5=0,
   IFERROR(XLOOKUP(REGEXEXTRACT($I5,""^[^｜]+""),m"&amp;"s_mst!$A:$A,ms_mst!$I:$I),0),
   IFERROR(XLOOKUP(""T""&amp;($B5-1)&amp;""_""&amp;$D5,$A:$A,$T:$T),0)
  )
  +IFERROR(XLOOKUP(REGEXEXTRACT($J5,""^[^｜]+""),tr_mst!$A:$A,tr_mst!$I:$I),0)
  +IFERROR(XLOOKUP(REGEXEXTRACT($K5,""^[^｜]+""),tc_mst!$A:$A,tc_mst!$I:$I),0)
  +
  "&amp;"(
   IFERROR(XLOOKUP(REGEXEXTRACT($M5,""^[^｜]+""),ac_mst!$A:$A,ac_mst!$L:$L),0)
   +IFERROR(XLOOKUP(REGEXEXTRACT($N5,""^[^｜]+""),ac_mst!$A:$A,ac_mst!$L:$L),0)
   +IFERROR(
    XLOOKUP(
     IF(
      OR(
       IFERROR(REGEXEXTRACT($M5,""^[^｜]+""),"""")="&amp;""""",
       IFERROR(REGEXEXTRACT($N5,""^[^｜]+""),"""")=""""
      ),
      """",
      IF(
       IFERROR(REGEXEXTRACT($M5,""^[^｜]+""),"""")&lt;IFERROR(REGEXEXTRACT($N5,""^[^｜]+""),""""),
       IFERROR(REGEXEXTRACT($M5,""^[^｜]+""),"""")&amp;""_""&amp;IFERROR(REGEX"&amp;"EXTRACT($N5,""^[^｜]+""),""""),
       IFERROR(REGEXEXTRACT($N5,""^[^｜]+""),"""")&amp;""_""&amp;IFERROR(REGEXEXTRACT($M5,""^[^｜]+""),"""")
      )
     ),
     sy_mst!$A:$A,
     sy_mst!$I:$I
    ),
    0
   )
  )
  *
  IFERROR(XLOOKUP(REGEXEXTRACT($I5,""^[^｜]+"")"&amp;",ms_mst!$A:$A,ms_mst!$Q:$Q),1)
  *
  IF(
   $B5&gt;=IFERROR(XLOOKUP(REGEXEXTRACT($L5,""^[^｜]+""),sk_mst!$A:$A,sk_mst!$M:$M),999),
   IFERROR(XLOOKUP(REGEXEXTRACT($L5,""^[^｜]+""),sk_mst!$A:$A,sk_mst!$K:$K),1),
   1
  )
 )
)"),4000.0)</f>
        <v>4000</v>
      </c>
      <c r="U5" s="25">
        <f>IFERROR(__xludf.DUMMYFUNCTION("IF($A5="""","""",
 IF($F5=""market"",
  IFERROR(XLOOKUP(REGEXEXTRACT($J5,""^[^｜]+""),tr_mst!$A:$A,tr_mst!$J:$J),0)
  +IFERROR(XLOOKUP(REGEXEXTRACT($K5,""^[^｜]+""),tc_mst!$A:$A,tc_mst!$J:$J),0),
  IF($B5=0,
   IFERROR(XLOOKUP(REGEXEXTRACT($I5,""^[^｜]+""),m"&amp;"s_mst!$A:$A,ms_mst!$J:$J),0),
   IFERROR(XLOOKUP(""T""&amp;($B5-1)&amp;""_""&amp;$D5,$A:$A,$U:$U),0)
  )
  +IFERROR(XLOOKUP(REGEXEXTRACT($J5,""^[^｜]+""),tr_mst!$A:$A,tr_mst!$J:$J),0)
  +IFERROR(XLOOKUP(REGEXEXTRACT($K5,""^[^｜]+""),tc_mst!$A:$A,tc_mst!$J:$J),0)
  +
  "&amp;"(
   IFERROR(XLOOKUP(REGEXEXTRACT($M5,""^[^｜]+""),ac_mst!$A:$A,ac_mst!$M:$M),0)
   +IFERROR(XLOOKUP(REGEXEXTRACT($N5,""^[^｜]+""),ac_mst!$A:$A,ac_mst!$M:$M),0)
   +IFERROR(
    XLOOKUP(
     IF(
      OR(
       IFERROR(REGEXEXTRACT($M5,""^[^｜]+""),"""")="&amp;""""",
       IFERROR(REGEXEXTRACT($N5,""^[^｜]+""),"""")=""""
      ),
      """",
      IF(
       IFERROR(REGEXEXTRACT($M5,""^[^｜]+""),"""")&lt;IFERROR(REGEXEXTRACT($N5,""^[^｜]+""),""""),
       IFERROR(REGEXEXTRACT($M5,""^[^｜]+""),"""")&amp;""_""&amp;IFERROR(REGEX"&amp;"EXTRACT($N5,""^[^｜]+""),""""),
       IFERROR(REGEXEXTRACT($N5,""^[^｜]+""),"""")&amp;""_""&amp;IFERROR(REGEXEXTRACT($M5,""^[^｜]+""),"""")
      )
     ),
     sy_mst!$A:$A,
     sy_mst!$J:$J
    ),
    0
   )
  )
  *
  IFERROR(XLOOKUP(REGEXEXTRACT($I5,""^[^｜]+"")"&amp;",ms_mst!$A:$A,ms_mst!$R:$R),1)
  *
  IF(
   $B5&gt;=IFERROR(XLOOKUP(REGEXEXTRACT($L5,""^[^｜]+""),sk_mst!$A:$A,sk_mst!$M:$M),999),
   IFERROR(XLOOKUP(REGEXEXTRACT($L5,""^[^｜]+""),sk_mst!$A:$A,sk_mst!$L:$L),1),
   1
  )
 )
)"),40.0)</f>
        <v>40</v>
      </c>
      <c r="V5" s="25">
        <f t="shared" si="1"/>
        <v>386400</v>
      </c>
      <c r="W5" s="25">
        <f t="shared" si="2"/>
        <v>60000</v>
      </c>
      <c r="X5" s="25">
        <f t="shared" si="3"/>
        <v>326400</v>
      </c>
      <c r="Y5" s="25">
        <f t="shared" si="4"/>
        <v>6.44</v>
      </c>
      <c r="Z5" s="25">
        <f>IFERROR(__xludf.DUMMYFUNCTION("IF($A5="""","""",
 IF($F5&lt;&gt;""player"","""",
  IFERROR(
   RANK(
    $X5,
    FILTER($X:$X,$B:$B=$B5,$F:$F=""player"",$X:$X&lt;&gt;""""),
    0
   ),
   """"
  )
 )
)"),1.0)</f>
        <v>1</v>
      </c>
      <c r="AA5" s="25" t="str">
        <f t="shared" si="5"/>
        <v>1位</v>
      </c>
      <c r="AB5" s="26">
        <f t="shared" si="6"/>
        <v>0</v>
      </c>
    </row>
    <row r="6">
      <c r="A6" s="14" t="s">
        <v>161</v>
      </c>
      <c r="B6" s="25">
        <v>0.0</v>
      </c>
      <c r="C6" s="14" t="s">
        <v>162</v>
      </c>
      <c r="D6" s="14" t="s">
        <v>163</v>
      </c>
      <c r="E6" s="25" t="s">
        <v>153</v>
      </c>
      <c r="F6" s="25" t="s">
        <v>154</v>
      </c>
      <c r="G6" s="25" t="str">
        <f>IFERROR(__xludf.DUMMYFUNCTION("IF($F6=""market"","""",IFERROR(FILTER(member_log!$B$10:$B947,member_log!$C$10:$C947=$C6,member_log!$D$10:$D947=$E6,member_log!$G$10:$G947=""active""),""""))"),"")</f>
        <v/>
      </c>
      <c r="H6" s="25" t="str">
        <f>IFERROR(__xludf.DUMMYFUNCTION("IF($F6=""market"","""",IFERROR(FILTER(member_log!$E$10:$E947,member_log!$C$10:$C947=$C6,member_log!$D$10:$D947=$E6,member_log!$G$10:$G947=""active""),""""))"),"")</f>
        <v/>
      </c>
      <c r="I6" s="25" t="str">
        <f>IFERROR(__xludf.DUMMYFUNCTION("IF($F6&lt;&gt;""player"","""",IFERROR(INDEX(FILTER(group_setup!$D$2:$D947,group_setup!$B$2:$B947=$C6,group_setup!$G$2:$G947=TRUE,group_setup!$H$2:$H947=""completed""),1),""""))"),"M01")</f>
        <v>M01</v>
      </c>
      <c r="J6" s="25" t="str">
        <f>IFERROR(__xludf.DUMMYFUNCTION("IFERROR(FILTER(market_event_log!$D$2:$D947,market_event_log!$C$2:$C947=$B6,market_event_log!$N$2:$N947=""active""),"""")"),"")</f>
        <v/>
      </c>
      <c r="K6" s="25" t="str">
        <f>IFERROR(__xludf.DUMMYFUNCTION("IFERROR(FILTER(market_event_log!$G$2:$G947,market_event_log!$C$2:$C947=$B6,market_event_log!$N$2:$N947=""active""),"""")"),"")</f>
        <v/>
      </c>
      <c r="L6" s="25" t="str">
        <f>IFERROR(__xludf.DUMMYFUNCTION("IF($F6&lt;&gt;""player"","""",IFERROR(INDEX(FILTER(group_setup!$E$2:$E947,group_setup!$B$2:$B947=$C6,group_setup!$G$2:$G947=TRUE,group_setup!$H$2:$H947=""completed""),1),""""))"),"S01")</f>
        <v>S01</v>
      </c>
      <c r="M6" s="25" t="str">
        <f>IFERROR(__xludf.DUMMYFUNCTION("IF($F6=""market"","""",IF($E6=""HUMAN"",IFERROR(FILTER(turn_log!$G$2:$G947,turn_log!$C$2:$C947=$B6,turn_log!$D$2:$D947=$C6,turn_log!$F$2:$F947=$E6),""""),IFERROR(FILTER(turn_log!$I$2:$I947,turn_log!$C$2:$C947=$B6,turn_log!$D$2:$D947=$C6,turn_log!$F$2:$F94"&amp;"7=$E6),"""")))"),"")</f>
        <v/>
      </c>
      <c r="N6" s="25" t="str">
        <f>IFERROR(__xludf.DUMMYFUNCTION("IF($F6=""market"","""",IF($E6=""HUMAN"",IFERROR(FILTER(turn_log!$H$2:$H947,turn_log!$C$2:$C947=$B6,turn_log!$D$2:$D947=$C6,turn_log!$F$2:$F947=$E6),""""),IFERROR(FILTER(turn_log!$J$2:$J947,turn_log!$C$2:$C947=$B6,turn_log!$D$2:$D947=$C6,turn_log!$F$2:$F94"&amp;"7=$E6),"""")))"),"")</f>
        <v/>
      </c>
      <c r="O6" s="25">
        <f>IFERROR(__xludf.DUMMYFUNCTION("IF($A6="""","""",
 IF($F6=""market"",
  IFERROR(XLOOKUP(REGEXEXTRACT($J6,""^[^｜]+""),tr_mst!$A:$A,tr_mst!$D:$D),0)
  +IFERROR(XLOOKUP(REGEXEXTRACT($K6,""^[^｜]+""),tc_mst!$A:$A,tc_mst!$D:$D),0),
  IF($B6=0,
   IFERROR(XLOOKUP(REGEXEXTRACT($I6,""^[^｜]+""),m"&amp;"s_mst!$A:$A,ms_mst!$D:$D),0),
   IFERROR(XLOOKUP(""T""&amp;($B6-1)&amp;""_""&amp;$D6,$A:$A,$O:$O),0)
  )
  +IFERROR(XLOOKUP(REGEXEXTRACT($J6,""^[^｜]+""),tr_mst!$A:$A,tr_mst!$D:$D),0)
  +IFERROR(XLOOKUP(REGEXEXTRACT($K6,""^[^｜]+""),tc_mst!$A:$A,tc_mst!$D:$D),0)
  +
  "&amp;"(
   IFERROR(XLOOKUP(REGEXEXTRACT($M6,""^[^｜]+""),ac_mst!$A:$A,ac_mst!$G:$G),0)
   +IFERROR(XLOOKUP(REGEXEXTRACT($N6,""^[^｜]+""),ac_mst!$A:$A,ac_mst!$G:$G),0)
   +IFERROR(
    XLOOKUP(
     IF(
      OR(
       IFERROR(REGEXEXTRACT($M6,""^[^｜]+""),"""")="&amp;""""",
       IFERROR(REGEXEXTRACT($N6,""^[^｜]+""),"""")=""""
      ),
      """",
      IF(
       IFERROR(REGEXEXTRACT($M6,""^[^｜]+""),"""")&lt;IFERROR(REGEXEXTRACT($N6,""^[^｜]+""),""""),
       IFERROR(REGEXEXTRACT($M6,""^[^｜]+""),"""")&amp;""_""&amp;IFERROR(REGEX"&amp;"EXTRACT($N6,""^[^｜]+""),""""),
       IFERROR(REGEXEXTRACT($N6,""^[^｜]+""),"""")&amp;""_""&amp;IFERROR(REGEXEXTRACT($M6,""^[^｜]+""),"""")
      )
     ),
     sy_mst!$A:$A,
     sy_mst!$D:$D
    ),
    0
   )
  )
  *
  IFERROR(XLOOKUP(REGEXEXTRACT($I6,""^[^｜]+"")"&amp;",ms_mst!$A:$A,ms_mst!$L:$L),1)
  *
  IF(
   $B6&gt;=IFERROR(XLOOKUP(REGEXEXTRACT($L6,""^[^｜]+""),sk_mst!$A:$A,sk_mst!$M:$M),999),
   IFERROR(XLOOKUP(REGEXEXTRACT($L6,""^[^｜]+""),sk_mst!$A:$A,sk_mst!$F:$F),1),
   1
  )
 )
)"),6500.0)</f>
        <v>6500</v>
      </c>
      <c r="P6" s="25">
        <f>IFERROR(__xludf.DUMMYFUNCTION("IF($A6="""","""",
 IF($F6=""market"",
  IFERROR(XLOOKUP(REGEXEXTRACT($J6,""^[^｜]+""),tr_mst!$A:$A,tr_mst!$E:$E),0)
  +IFERROR(XLOOKUP(REGEXEXTRACT($K6,""^[^｜]+""),tc_mst!$A:$A,tc_mst!$E:$E),0),
  IF($B6=0,
   IFERROR(XLOOKUP(REGEXEXTRACT($I6,""^[^｜]+""),m"&amp;"s_mst!$A:$A,ms_mst!$E:$E),0),
   IFERROR(XLOOKUP(""T""&amp;($B6-1)&amp;""_""&amp;$D6,$A:$A,$P:$P),0)
  )
  +IFERROR(XLOOKUP(REGEXEXTRACT($J6,""^[^｜]+""),tr_mst!$A:$A,tr_mst!$E:$E),0)
  +IFERROR(XLOOKUP(REGEXEXTRACT($K6,""^[^｜]+""),tc_mst!$A:$A,tc_mst!$E:$E),0)
  +
  "&amp;"(
   IFERROR(XLOOKUP(REGEXEXTRACT($M6,""^[^｜]+""),ac_mst!$A:$A,ac_mst!$H:$H),0)
   +IFERROR(XLOOKUP(REGEXEXTRACT($N6,""^[^｜]+""),ac_mst!$A:$A,ac_mst!$H:$H),0)
   +IFERROR(
    XLOOKUP(
     IF(
      OR(
       IFERROR(REGEXEXTRACT($M6,""^[^｜]+""),"""")="&amp;""""",
       IFERROR(REGEXEXTRACT($N6,""^[^｜]+""),"""")=""""
      ),
      """",
      IF(
       IFERROR(REGEXEXTRACT($M6,""^[^｜]+""),"""")&lt;IFERROR(REGEXEXTRACT($N6,""^[^｜]+""),""""),
       IFERROR(REGEXEXTRACT($M6,""^[^｜]+""),"""")&amp;""_""&amp;IFERROR(REGEX"&amp;"EXTRACT($N6,""^[^｜]+""),""""),
       IFERROR(REGEXEXTRACT($N6,""^[^｜]+""),"""")&amp;""_""&amp;IFERROR(REGEXEXTRACT($M6,""^[^｜]+""),"""")
      )
     ),
     sy_mst!$A:$A,
     sy_mst!$E:$E
    ),
    0
   )
  )
  *
  IFERROR(XLOOKUP(REGEXEXTRACT($I6,""^[^｜]+"")"&amp;",ms_mst!$A:$A,ms_mst!$M:$M),1)
  *
  IF(
   $B6&gt;=IFERROR(XLOOKUP(REGEXEXTRACT($L6,""^[^｜]+""),sk_mst!$A:$A,sk_mst!$M:$M),999),
   IFERROR(XLOOKUP(REGEXEXTRACT($L6,""^[^｜]+""),sk_mst!$A:$A,sk_mst!$G:$G),1),
   1
  )
 )
)"),2500.0)</f>
        <v>2500</v>
      </c>
      <c r="Q6" s="25">
        <f>IFERROR(__xludf.DUMMYFUNCTION("IF($A6="""","""",
 IF($F6=""market"",
  IFERROR(XLOOKUP(REGEXEXTRACT($J6,""^[^｜]+""),tr_mst!$A:$A,tr_mst!$F:$F),0)
  +IFERROR(XLOOKUP(REGEXEXTRACT($K6,""^[^｜]+""),tc_mst!$A:$A,tc_mst!$F:$F),0),
  IF($B6=0,
   IFERROR(XLOOKUP(REGEXEXTRACT($I6,""^[^｜]+""),m"&amp;"s_mst!$A:$A,ms_mst!$F:$F),0),
   IFERROR(XLOOKUP(""T""&amp;($B6-1)&amp;""_""&amp;$D6,$A:$A,$Q:$Q),0)
  )
  +IFERROR(XLOOKUP(REGEXEXTRACT($J6,""^[^｜]+""),tr_mst!$A:$A,tr_mst!$F:$F),0)
  +IFERROR(XLOOKUP(REGEXEXTRACT($K6,""^[^｜]+""),tc_mst!$A:$A,tc_mst!$F:$F),0)
  +
  "&amp;"(
   IFERROR(XLOOKUP(REGEXEXTRACT($M6,""^[^｜]+""),ac_mst!$A:$A,ac_mst!$I:$I),0)
   +IFERROR(XLOOKUP(REGEXEXTRACT($N6,""^[^｜]+""),ac_mst!$A:$A,ac_mst!$I:$I),0)
   +IFERROR(
    XLOOKUP(
     IF(
      OR(
       IFERROR(REGEXEXTRACT($M6,""^[^｜]+""),"""")="&amp;""""",
       IFERROR(REGEXEXTRACT($N6,""^[^｜]+""),"""")=""""
      ),
      """",
      IF(
       IFERROR(REGEXEXTRACT($M6,""^[^｜]+""),"""")&lt;IFERROR(REGEXEXTRACT($N6,""^[^｜]+""),""""),
       IFERROR(REGEXEXTRACT($M6,""^[^｜]+""),"""")&amp;""_""&amp;IFERROR(REGEX"&amp;"EXTRACT($N6,""^[^｜]+""),""""),
       IFERROR(REGEXEXTRACT($N6,""^[^｜]+""),"""")&amp;""_""&amp;IFERROR(REGEXEXTRACT($M6,""^[^｜]+""),"""")
      )
     ),
     sy_mst!$A:$A,
     sy_mst!$F:$F
    ),
    0
   )
  )
  *
  IFERROR(XLOOKUP(REGEXEXTRACT($I6,""^[^｜]+"")"&amp;",ms_mst!$A:$A,ms_mst!$N:$N),1)
  *
  IF(
   $B6&gt;=IFERROR(XLOOKUP(REGEXEXTRACT($L6,""^[^｜]+""),sk_mst!$A:$A,sk_mst!$M:$M),999),
   IFERROR(XLOOKUP(REGEXEXTRACT($L6,""^[^｜]+""),sk_mst!$A:$A,sk_mst!$H:$H),1),
   1
  )
 )
)"),0.58)</f>
        <v>0.58</v>
      </c>
      <c r="R6" s="25">
        <f>IFERROR(__xludf.DUMMYFUNCTION("IF($A6="""","""",
 IF($F6=""market"",
  IFERROR(XLOOKUP(REGEXEXTRACT($J6,""^[^｜]+""),tr_mst!$A:$A,tr_mst!$G:$G),0)
  +IFERROR(XLOOKUP(REGEXEXTRACT($K6,""^[^｜]+""),tc_mst!$A:$A,tc_mst!$G:$G),0),
  IF($B6=0,
   IFERROR(XLOOKUP(REGEXEXTRACT($I6,""^[^｜]+""),m"&amp;"s_mst!$A:$A,ms_mst!$G:$G),0),
   IFERROR(XLOOKUP(""T""&amp;($B6-1)&amp;""_""&amp;$D6,$A:$A,$R:$R),0)
  )
  +IFERROR(XLOOKUP(REGEXEXTRACT($J6,""^[^｜]+""),tr_mst!$A:$A,tr_mst!$G:$G),0)
  +IFERROR(XLOOKUP(REGEXEXTRACT($K6,""^[^｜]+""),tc_mst!$A:$A,tc_mst!$G:$G),0)
  +
  "&amp;"(
   IFERROR(XLOOKUP(REGEXEXTRACT($M6,""^[^｜]+""),ac_mst!$A:$A,ac_mst!$J:$J),0)
   +IFERROR(XLOOKUP(REGEXEXTRACT($N6,""^[^｜]+""),ac_mst!$A:$A,ac_mst!$J:$J),0)
   +IFERROR(
    XLOOKUP(
     IF(
      OR(
       IFERROR(REGEXEXTRACT($M6,""^[^｜]+""),"""")="&amp;""""",
       IFERROR(REGEXEXTRACT($N6,""^[^｜]+""),"""")=""""
      ),
      """",
      IF(
       IFERROR(REGEXEXTRACT($M6,""^[^｜]+""),"""")&lt;IFERROR(REGEXEXTRACT($N6,""^[^｜]+""),""""),
       IFERROR(REGEXEXTRACT($M6,""^[^｜]+""),"""")&amp;""_""&amp;IFERROR(REGEX"&amp;"EXTRACT($N6,""^[^｜]+""),""""),
       IFERROR(REGEXEXTRACT($N6,""^[^｜]+""),"""")&amp;""_""&amp;IFERROR(REGEXEXTRACT($M6,""^[^｜]+""),"""")
      )
     ),
     sy_mst!$A:$A,
     sy_mst!$G:$G
    ),
    0
   )
  )
  *
  IFERROR(XLOOKUP(REGEXEXTRACT($I6,""^[^｜]+"")"&amp;",ms_mst!$A:$A,ms_mst!$O:$O),1)
  *
  IF(
   $B6&gt;=IFERROR(XLOOKUP(REGEXEXTRACT($L6,""^[^｜]+""),sk_mst!$A:$A,sk_mst!$M:$M),999),
   IFERROR(XLOOKUP(REGEXEXTRACT($L6,""^[^｜]+""),sk_mst!$A:$A,sk_mst!$I:$I),1),
   1
  )
 )
)"),1.45)</f>
        <v>1.45</v>
      </c>
      <c r="S6" s="25">
        <f>IFERROR(__xludf.DUMMYFUNCTION("IF($A6="""","""",
 IF($F6=""market"",
  IFERROR(XLOOKUP(REGEXEXTRACT($J6,""^[^｜]+""),tr_mst!$A:$A,tr_mst!$H:$H),0)
  +IFERROR(XLOOKUP(REGEXEXTRACT($K6,""^[^｜]+""),tc_mst!$A:$A,tc_mst!$H:$H),0),
  IF($B6=0,
   IFERROR(XLOOKUP(REGEXEXTRACT($I6,""^[^｜]+""),m"&amp;"s_mst!$A:$A,ms_mst!$H:$H),0),
   IFERROR(XLOOKUP(""T""&amp;($B6-1)&amp;""_""&amp;$D6,$A:$A,$S:$S),0)
  )
  +IFERROR(XLOOKUP(REGEXEXTRACT($J6,""^[^｜]+""),tr_mst!$A:$A,tr_mst!$H:$H),0)
  +IFERROR(XLOOKUP(REGEXEXTRACT($K6,""^[^｜]+""),tc_mst!$A:$A,tc_mst!$H:$H),0)
  +
  "&amp;"(
   IFERROR(XLOOKUP(REGEXEXTRACT($M6,""^[^｜]+""),ac_mst!$A:$A,ac_mst!$K:$K),0)
   +IFERROR(XLOOKUP(REGEXEXTRACT($N6,""^[^｜]+""),ac_mst!$A:$A,ac_mst!$K:$K),0)
   +IFERROR(
    XLOOKUP(
     IF(
      OR(
       IFERROR(REGEXEXTRACT($M6,""^[^｜]+""),"""")="&amp;""""",
       IFERROR(REGEXEXTRACT($N6,""^[^｜]+""),"""")=""""
      ),
      """",
      IF(
       IFERROR(REGEXEXTRACT($M6,""^[^｜]+""),"""")&lt;IFERROR(REGEXEXTRACT($N6,""^[^｜]+""),""""),
       IFERROR(REGEXEXTRACT($M6,""^[^｜]+""),"""")&amp;""_""&amp;IFERROR(REGEX"&amp;"EXTRACT($N6,""^[^｜]+""),""""),
       IFERROR(REGEXEXTRACT($N6,""^[^｜]+""),"""")&amp;""_""&amp;IFERROR(REGEXEXTRACT($M6,""^[^｜]+""),"""")
      )
     ),
     sy_mst!$A:$A,
     sy_mst!$H:$H
    ),
    0
   )
  )
  *
  IFERROR(XLOOKUP(REGEXEXTRACT($I6,""^[^｜]+"")"&amp;",ms_mst!$A:$A,ms_mst!$P:$P),1)
  *
  IF(
   $B6&gt;=IFERROR(XLOOKUP(REGEXEXTRACT($L6,""^[^｜]+""),sk_mst!$A:$A,sk_mst!$M:$M),999),
   IFERROR(XLOOKUP(REGEXEXTRACT($L6,""^[^｜]+""),sk_mst!$A:$A,sk_mst!$J:$J),1),
   1
  )
 )
)"),0.012)</f>
        <v>0.012</v>
      </c>
      <c r="T6" s="25">
        <f>IFERROR(__xludf.DUMMYFUNCTION("IF($A6="""","""",
 IF($F6=""market"",
  IFERROR(XLOOKUP(REGEXEXTRACT($J6,""^[^｜]+""),tr_mst!$A:$A,tr_mst!$I:$I),0)
  +IFERROR(XLOOKUP(REGEXEXTRACT($K6,""^[^｜]+""),tc_mst!$A:$A,tc_mst!$I:$I),0),
  IF($B6=0,
   IFERROR(XLOOKUP(REGEXEXTRACT($I6,""^[^｜]+""),m"&amp;"s_mst!$A:$A,ms_mst!$I:$I),0),
   IFERROR(XLOOKUP(""T""&amp;($B6-1)&amp;""_""&amp;$D6,$A:$A,$T:$T),0)
  )
  +IFERROR(XLOOKUP(REGEXEXTRACT($J6,""^[^｜]+""),tr_mst!$A:$A,tr_mst!$I:$I),0)
  +IFERROR(XLOOKUP(REGEXEXTRACT($K6,""^[^｜]+""),tc_mst!$A:$A,tc_mst!$I:$I),0)
  +
  "&amp;"(
   IFERROR(XLOOKUP(REGEXEXTRACT($M6,""^[^｜]+""),ac_mst!$A:$A,ac_mst!$L:$L),0)
   +IFERROR(XLOOKUP(REGEXEXTRACT($N6,""^[^｜]+""),ac_mst!$A:$A,ac_mst!$L:$L),0)
   +IFERROR(
    XLOOKUP(
     IF(
      OR(
       IFERROR(REGEXEXTRACT($M6,""^[^｜]+""),"""")="&amp;""""",
       IFERROR(REGEXEXTRACT($N6,""^[^｜]+""),"""")=""""
      ),
      """",
      IF(
       IFERROR(REGEXEXTRACT($M6,""^[^｜]+""),"""")&lt;IFERROR(REGEXEXTRACT($N6,""^[^｜]+""),""""),
       IFERROR(REGEXEXTRACT($M6,""^[^｜]+""),"""")&amp;""_""&amp;IFERROR(REGEX"&amp;"EXTRACT($N6,""^[^｜]+""),""""),
       IFERROR(REGEXEXTRACT($N6,""^[^｜]+""),"""")&amp;""_""&amp;IFERROR(REGEXEXTRACT($M6,""^[^｜]+""),"""")
      )
     ),
     sy_mst!$A:$A,
     sy_mst!$I:$I
    ),
    0
   )
  )
  *
  IFERROR(XLOOKUP(REGEXEXTRACT($I6,""^[^｜]+"")"&amp;",ms_mst!$A:$A,ms_mst!$Q:$Q),1)
  *
  IF(
   $B6&gt;=IFERROR(XLOOKUP(REGEXEXTRACT($L6,""^[^｜]+""),sk_mst!$A:$A,sk_mst!$M:$M),999),
   IFERROR(XLOOKUP(REGEXEXTRACT($L6,""^[^｜]+""),sk_mst!$A:$A,sk_mst!$K:$K),1),
   1
  )
 )
)"),3800.0)</f>
        <v>3800</v>
      </c>
      <c r="U6" s="25">
        <f>IFERROR(__xludf.DUMMYFUNCTION("IF($A6="""","""",
 IF($F6=""market"",
  IFERROR(XLOOKUP(REGEXEXTRACT($J6,""^[^｜]+""),tr_mst!$A:$A,tr_mst!$J:$J),0)
  +IFERROR(XLOOKUP(REGEXEXTRACT($K6,""^[^｜]+""),tc_mst!$A:$A,tc_mst!$J:$J),0),
  IF($B6=0,
   IFERROR(XLOOKUP(REGEXEXTRACT($I6,""^[^｜]+""),m"&amp;"s_mst!$A:$A,ms_mst!$J:$J),0),
   IFERROR(XLOOKUP(""T""&amp;($B6-1)&amp;""_""&amp;$D6,$A:$A,$U:$U),0)
  )
  +IFERROR(XLOOKUP(REGEXEXTRACT($J6,""^[^｜]+""),tr_mst!$A:$A,tr_mst!$J:$J),0)
  +IFERROR(XLOOKUP(REGEXEXTRACT($K6,""^[^｜]+""),tc_mst!$A:$A,tc_mst!$J:$J),0)
  +
  "&amp;"(
   IFERROR(XLOOKUP(REGEXEXTRACT($M6,""^[^｜]+""),ac_mst!$A:$A,ac_mst!$M:$M),0)
   +IFERROR(XLOOKUP(REGEXEXTRACT($N6,""^[^｜]+""),ac_mst!$A:$A,ac_mst!$M:$M),0)
   +IFERROR(
    XLOOKUP(
     IF(
      OR(
       IFERROR(REGEXEXTRACT($M6,""^[^｜]+""),"""")="&amp;""""",
       IFERROR(REGEXEXTRACT($N6,""^[^｜]+""),"""")=""""
      ),
      """",
      IF(
       IFERROR(REGEXEXTRACT($M6,""^[^｜]+""),"""")&lt;IFERROR(REGEXEXTRACT($N6,""^[^｜]+""),""""),
       IFERROR(REGEXEXTRACT($M6,""^[^｜]+""),"""")&amp;""_""&amp;IFERROR(REGEX"&amp;"EXTRACT($N6,""^[^｜]+""),""""),
       IFERROR(REGEXEXTRACT($N6,""^[^｜]+""),"""")&amp;""_""&amp;IFERROR(REGEXEXTRACT($M6,""^[^｜]+""),"""")
      )
     ),
     sy_mst!$A:$A,
     sy_mst!$J:$J
    ),
    0
   )
  )
  *
  IFERROR(XLOOKUP(REGEXEXTRACT($I6,""^[^｜]+"")"&amp;",ms_mst!$A:$A,ms_mst!$R:$R),1)
  *
  IF(
   $B6&gt;=IFERROR(XLOOKUP(REGEXEXTRACT($L6,""^[^｜]+""),sk_mst!$A:$A,sk_mst!$M:$M),999),
   IFERROR(XLOOKUP(REGEXEXTRACT($L6,""^[^｜]+""),sk_mst!$A:$A,sk_mst!$L:$L),1),
   1
  )
 )
)"),55.0)</f>
        <v>55</v>
      </c>
      <c r="V6" s="25">
        <f t="shared" si="1"/>
        <v>249934</v>
      </c>
      <c r="W6" s="25">
        <f t="shared" si="2"/>
        <v>137500</v>
      </c>
      <c r="X6" s="25">
        <f t="shared" si="3"/>
        <v>112434</v>
      </c>
      <c r="Y6" s="25">
        <f t="shared" si="4"/>
        <v>1.82</v>
      </c>
      <c r="Z6" s="25">
        <f>IFERROR(__xludf.DUMMYFUNCTION("IF($A6="""","""",
 IF($F6&lt;&gt;""player"","""",
  IFERROR(
   RANK(
    $X6,
    FILTER($X:$X,$B:$B=$B6,$F:$F=""player"",$X:$X&lt;&gt;""""),
    0
   ),
   """"
  )
 )
)"),5.0)</f>
        <v>5</v>
      </c>
      <c r="AA6" s="25" t="str">
        <f t="shared" si="5"/>
        <v>5位</v>
      </c>
      <c r="AB6" s="26">
        <f t="shared" si="6"/>
        <v>0</v>
      </c>
    </row>
    <row r="7">
      <c r="A7" s="14" t="s">
        <v>164</v>
      </c>
      <c r="B7" s="25">
        <v>0.0</v>
      </c>
      <c r="C7" s="14" t="s">
        <v>165</v>
      </c>
      <c r="D7" s="14" t="s">
        <v>166</v>
      </c>
      <c r="E7" s="25" t="s">
        <v>153</v>
      </c>
      <c r="F7" s="25" t="s">
        <v>154</v>
      </c>
      <c r="G7" s="25" t="str">
        <f>IFERROR(__xludf.DUMMYFUNCTION("IF($F7=""market"","""",IFERROR(FILTER(member_log!$B$10:$B947,member_log!$C$10:$C947=$C7,member_log!$D$10:$D947=$E7,member_log!$G$10:$G947=""active""),""""))"),"")</f>
        <v/>
      </c>
      <c r="H7" s="25" t="str">
        <f>IFERROR(__xludf.DUMMYFUNCTION("IF($F7=""market"","""",IFERROR(FILTER(member_log!$E$10:$E947,member_log!$C$10:$C947=$C7,member_log!$D$10:$D947=$E7,member_log!$G$10:$G947=""active""),""""))"),"")</f>
        <v/>
      </c>
      <c r="I7" s="25" t="str">
        <f>IFERROR(__xludf.DUMMYFUNCTION("IF($F7&lt;&gt;""player"","""",IFERROR(INDEX(FILTER(group_setup!$D$2:$D947,group_setup!$B$2:$B947=$C7,group_setup!$G$2:$G947=TRUE,group_setup!$H$2:$H947=""completed""),1),""""))"),"M10")</f>
        <v>M10</v>
      </c>
      <c r="J7" s="25" t="str">
        <f>IFERROR(__xludf.DUMMYFUNCTION("IFERROR(FILTER(market_event_log!$D$2:$D947,market_event_log!$C$2:$C947=$B7,market_event_log!$N$2:$N947=""active""),"""")"),"")</f>
        <v/>
      </c>
      <c r="K7" s="25" t="str">
        <f>IFERROR(__xludf.DUMMYFUNCTION("IFERROR(FILTER(market_event_log!$G$2:$G947,market_event_log!$C$2:$C947=$B7,market_event_log!$N$2:$N947=""active""),"""")"),"")</f>
        <v/>
      </c>
      <c r="L7" s="25" t="str">
        <f>IFERROR(__xludf.DUMMYFUNCTION("IF($F7&lt;&gt;""player"","""",IFERROR(INDEX(FILTER(group_setup!$E$2:$E947,group_setup!$B$2:$B947=$C7,group_setup!$G$2:$G947=TRUE,group_setup!$H$2:$H947=""completed""),1),""""))"),"S06")</f>
        <v>S06</v>
      </c>
      <c r="M7" s="25" t="str">
        <f>IFERROR(__xludf.DUMMYFUNCTION("IF($F7=""market"","""",IF($E7=""HUMAN"",IFERROR(FILTER(turn_log!$G$2:$G947,turn_log!$C$2:$C947=$B7,turn_log!$D$2:$D947=$C7,turn_log!$F$2:$F947=$E7),""""),IFERROR(FILTER(turn_log!$I$2:$I947,turn_log!$C$2:$C947=$B7,turn_log!$D$2:$D947=$C7,turn_log!$F$2:$F94"&amp;"7=$E7),"""")))"),"")</f>
        <v/>
      </c>
      <c r="N7" s="25" t="str">
        <f>IFERROR(__xludf.DUMMYFUNCTION("IF($F7=""market"","""",IF($E7=""HUMAN"",IFERROR(FILTER(turn_log!$H$2:$H947,turn_log!$C$2:$C947=$B7,turn_log!$D$2:$D947=$C7,turn_log!$F$2:$F947=$E7),""""),IFERROR(FILTER(turn_log!$J$2:$J947,turn_log!$C$2:$C947=$B7,turn_log!$D$2:$D947=$C7,turn_log!$F$2:$F94"&amp;"7=$E7),"""")))"),"")</f>
        <v/>
      </c>
      <c r="O7" s="25">
        <f>IFERROR(__xludf.DUMMYFUNCTION("IF($A7="""","""",
 IF($F7=""market"",
  IFERROR(XLOOKUP(REGEXEXTRACT($J7,""^[^｜]+""),tr_mst!$A:$A,tr_mst!$D:$D),0)
  +IFERROR(XLOOKUP(REGEXEXTRACT($K7,""^[^｜]+""),tc_mst!$A:$A,tc_mst!$D:$D),0),
  IF($B7=0,
   IFERROR(XLOOKUP(REGEXEXTRACT($I7,""^[^｜]+""),m"&amp;"s_mst!$A:$A,ms_mst!$D:$D),0),
   IFERROR(XLOOKUP(""T""&amp;($B7-1)&amp;""_""&amp;$D7,$A:$A,$O:$O),0)
  )
  +IFERROR(XLOOKUP(REGEXEXTRACT($J7,""^[^｜]+""),tr_mst!$A:$A,tr_mst!$D:$D),0)
  +IFERROR(XLOOKUP(REGEXEXTRACT($K7,""^[^｜]+""),tc_mst!$A:$A,tc_mst!$D:$D),0)
  +
  "&amp;"(
   IFERROR(XLOOKUP(REGEXEXTRACT($M7,""^[^｜]+""),ac_mst!$A:$A,ac_mst!$G:$G),0)
   +IFERROR(XLOOKUP(REGEXEXTRACT($N7,""^[^｜]+""),ac_mst!$A:$A,ac_mst!$G:$G),0)
   +IFERROR(
    XLOOKUP(
     IF(
      OR(
       IFERROR(REGEXEXTRACT($M7,""^[^｜]+""),"""")="&amp;""""",
       IFERROR(REGEXEXTRACT($N7,""^[^｜]+""),"""")=""""
      ),
      """",
      IF(
       IFERROR(REGEXEXTRACT($M7,""^[^｜]+""),"""")&lt;IFERROR(REGEXEXTRACT($N7,""^[^｜]+""),""""),
       IFERROR(REGEXEXTRACT($M7,""^[^｜]+""),"""")&amp;""_""&amp;IFERROR(REGEX"&amp;"EXTRACT($N7,""^[^｜]+""),""""),
       IFERROR(REGEXEXTRACT($N7,""^[^｜]+""),"""")&amp;""_""&amp;IFERROR(REGEXEXTRACT($M7,""^[^｜]+""),"""")
      )
     ),
     sy_mst!$A:$A,
     sy_mst!$D:$D
    ),
    0
   )
  )
  *
  IFERROR(XLOOKUP(REGEXEXTRACT($I7,""^[^｜]+"")"&amp;",ms_mst!$A:$A,ms_mst!$L:$L),1)
  *
  IF(
   $B7&gt;=IFERROR(XLOOKUP(REGEXEXTRACT($L7,""^[^｜]+""),sk_mst!$A:$A,sk_mst!$M:$M),999),
   IFERROR(XLOOKUP(REGEXEXTRACT($L7,""^[^｜]+""),sk_mst!$A:$A,sk_mst!$F:$F),1),
   1
  )
 )
)"),6500.0)</f>
        <v>6500</v>
      </c>
      <c r="P7" s="25">
        <f>IFERROR(__xludf.DUMMYFUNCTION("IF($A7="""","""",
 IF($F7=""market"",
  IFERROR(XLOOKUP(REGEXEXTRACT($J7,""^[^｜]+""),tr_mst!$A:$A,tr_mst!$E:$E),0)
  +IFERROR(XLOOKUP(REGEXEXTRACT($K7,""^[^｜]+""),tc_mst!$A:$A,tc_mst!$E:$E),0),
  IF($B7=0,
   IFERROR(XLOOKUP(REGEXEXTRACT($I7,""^[^｜]+""),m"&amp;"s_mst!$A:$A,ms_mst!$E:$E),0),
   IFERROR(XLOOKUP(""T""&amp;($B7-1)&amp;""_""&amp;$D7,$A:$A,$P:$P),0)
  )
  +IFERROR(XLOOKUP(REGEXEXTRACT($J7,""^[^｜]+""),tr_mst!$A:$A,tr_mst!$E:$E),0)
  +IFERROR(XLOOKUP(REGEXEXTRACT($K7,""^[^｜]+""),tc_mst!$A:$A,tc_mst!$E:$E),0)
  +
  "&amp;"(
   IFERROR(XLOOKUP(REGEXEXTRACT($M7,""^[^｜]+""),ac_mst!$A:$A,ac_mst!$H:$H),0)
   +IFERROR(XLOOKUP(REGEXEXTRACT($N7,""^[^｜]+""),ac_mst!$A:$A,ac_mst!$H:$H),0)
   +IFERROR(
    XLOOKUP(
     IF(
      OR(
       IFERROR(REGEXEXTRACT($M7,""^[^｜]+""),"""")="&amp;""""",
       IFERROR(REGEXEXTRACT($N7,""^[^｜]+""),"""")=""""
      ),
      """",
      IF(
       IFERROR(REGEXEXTRACT($M7,""^[^｜]+""),"""")&lt;IFERROR(REGEXEXTRACT($N7,""^[^｜]+""),""""),
       IFERROR(REGEXEXTRACT($M7,""^[^｜]+""),"""")&amp;""_""&amp;IFERROR(REGEX"&amp;"EXTRACT($N7,""^[^｜]+""),""""),
       IFERROR(REGEXEXTRACT($N7,""^[^｜]+""),"""")&amp;""_""&amp;IFERROR(REGEXEXTRACT($M7,""^[^｜]+""),"""")
      )
     ),
     sy_mst!$A:$A,
     sy_mst!$E:$E
    ),
    0
   )
  )
  *
  IFERROR(XLOOKUP(REGEXEXTRACT($I7,""^[^｜]+"")"&amp;",ms_mst!$A:$A,ms_mst!$M:$M),1)
  *
  IF(
   $B7&gt;=IFERROR(XLOOKUP(REGEXEXTRACT($L7,""^[^｜]+""),sk_mst!$A:$A,sk_mst!$M:$M),999),
   IFERROR(XLOOKUP(REGEXEXTRACT($L7,""^[^｜]+""),sk_mst!$A:$A,sk_mst!$G:$G),1),
   1
  )
 )
)"),3500.0)</f>
        <v>3500</v>
      </c>
      <c r="Q7" s="25">
        <f>IFERROR(__xludf.DUMMYFUNCTION("IF($A7="""","""",
 IF($F7=""market"",
  IFERROR(XLOOKUP(REGEXEXTRACT($J7,""^[^｜]+""),tr_mst!$A:$A,tr_mst!$F:$F),0)
  +IFERROR(XLOOKUP(REGEXEXTRACT($K7,""^[^｜]+""),tc_mst!$A:$A,tc_mst!$F:$F),0),
  IF($B7=0,
   IFERROR(XLOOKUP(REGEXEXTRACT($I7,""^[^｜]+""),m"&amp;"s_mst!$A:$A,ms_mst!$F:$F),0),
   IFERROR(XLOOKUP(""T""&amp;($B7-1)&amp;""_""&amp;$D7,$A:$A,$Q:$Q),0)
  )
  +IFERROR(XLOOKUP(REGEXEXTRACT($J7,""^[^｜]+""),tr_mst!$A:$A,tr_mst!$F:$F),0)
  +IFERROR(XLOOKUP(REGEXEXTRACT($K7,""^[^｜]+""),tc_mst!$A:$A,tc_mst!$F:$F),0)
  +
  "&amp;"(
   IFERROR(XLOOKUP(REGEXEXTRACT($M7,""^[^｜]+""),ac_mst!$A:$A,ac_mst!$I:$I),0)
   +IFERROR(XLOOKUP(REGEXEXTRACT($N7,""^[^｜]+""),ac_mst!$A:$A,ac_mst!$I:$I),0)
   +IFERROR(
    XLOOKUP(
     IF(
      OR(
       IFERROR(REGEXEXTRACT($M7,""^[^｜]+""),"""")="&amp;""""",
       IFERROR(REGEXEXTRACT($N7,""^[^｜]+""),"""")=""""
      ),
      """",
      IF(
       IFERROR(REGEXEXTRACT($M7,""^[^｜]+""),"""")&lt;IFERROR(REGEXEXTRACT($N7,""^[^｜]+""),""""),
       IFERROR(REGEXEXTRACT($M7,""^[^｜]+""),"""")&amp;""_""&amp;IFERROR(REGEX"&amp;"EXTRACT($N7,""^[^｜]+""),""""),
       IFERROR(REGEXEXTRACT($N7,""^[^｜]+""),"""")&amp;""_""&amp;IFERROR(REGEXEXTRACT($M7,""^[^｜]+""),"""")
      )
     ),
     sy_mst!$A:$A,
     sy_mst!$F:$F
    ),
    0
   )
  )
  *
  IFERROR(XLOOKUP(REGEXEXTRACT($I7,""^[^｜]+"")"&amp;",ms_mst!$A:$A,ms_mst!$N:$N),1)
  *
  IF(
   $B7&gt;=IFERROR(XLOOKUP(REGEXEXTRACT($L7,""^[^｜]+""),sk_mst!$A:$A,sk_mst!$M:$M),999),
   IFERROR(XLOOKUP(REGEXEXTRACT($L7,""^[^｜]+""),sk_mst!$A:$A,sk_mst!$H:$H),1),
   1
  )
 )
)"),0.62)</f>
        <v>0.62</v>
      </c>
      <c r="R7" s="25">
        <f>IFERROR(__xludf.DUMMYFUNCTION("IF($A7="""","""",
 IF($F7=""market"",
  IFERROR(XLOOKUP(REGEXEXTRACT($J7,""^[^｜]+""),tr_mst!$A:$A,tr_mst!$G:$G),0)
  +IFERROR(XLOOKUP(REGEXEXTRACT($K7,""^[^｜]+""),tc_mst!$A:$A,tc_mst!$G:$G),0),
  IF($B7=0,
   IFERROR(XLOOKUP(REGEXEXTRACT($I7,""^[^｜]+""),m"&amp;"s_mst!$A:$A,ms_mst!$G:$G),0),
   IFERROR(XLOOKUP(""T""&amp;($B7-1)&amp;""_""&amp;$D7,$A:$A,$R:$R),0)
  )
  +IFERROR(XLOOKUP(REGEXEXTRACT($J7,""^[^｜]+""),tr_mst!$A:$A,tr_mst!$G:$G),0)
  +IFERROR(XLOOKUP(REGEXEXTRACT($K7,""^[^｜]+""),tc_mst!$A:$A,tc_mst!$G:$G),0)
  +
  "&amp;"(
   IFERROR(XLOOKUP(REGEXEXTRACT($M7,""^[^｜]+""),ac_mst!$A:$A,ac_mst!$J:$J),0)
   +IFERROR(XLOOKUP(REGEXEXTRACT($N7,""^[^｜]+""),ac_mst!$A:$A,ac_mst!$J:$J),0)
   +IFERROR(
    XLOOKUP(
     IF(
      OR(
       IFERROR(REGEXEXTRACT($M7,""^[^｜]+""),"""")="&amp;""""",
       IFERROR(REGEXEXTRACT($N7,""^[^｜]+""),"""")=""""
      ),
      """",
      IF(
       IFERROR(REGEXEXTRACT($M7,""^[^｜]+""),"""")&lt;IFERROR(REGEXEXTRACT($N7,""^[^｜]+""),""""),
       IFERROR(REGEXEXTRACT($M7,""^[^｜]+""),"""")&amp;""_""&amp;IFERROR(REGEX"&amp;"EXTRACT($N7,""^[^｜]+""),""""),
       IFERROR(REGEXEXTRACT($N7,""^[^｜]+""),"""")&amp;""_""&amp;IFERROR(REGEXEXTRACT($M7,""^[^｜]+""),"""")
      )
     ),
     sy_mst!$A:$A,
     sy_mst!$G:$G
    ),
    0
   )
  )
  *
  IFERROR(XLOOKUP(REGEXEXTRACT($I7,""^[^｜]+"")"&amp;",ms_mst!$A:$A,ms_mst!$O:$O),1)
  *
  IF(
   $B7&gt;=IFERROR(XLOOKUP(REGEXEXTRACT($L7,""^[^｜]+""),sk_mst!$A:$A,sk_mst!$M:$M),999),
   IFERROR(XLOOKUP(REGEXEXTRACT($L7,""^[^｜]+""),sk_mst!$A:$A,sk_mst!$I:$I),1),
   1
  )
 )
)"),1.4)</f>
        <v>1.4</v>
      </c>
      <c r="S7" s="25">
        <f>IFERROR(__xludf.DUMMYFUNCTION("IF($A7="""","""",
 IF($F7=""market"",
  IFERROR(XLOOKUP(REGEXEXTRACT($J7,""^[^｜]+""),tr_mst!$A:$A,tr_mst!$H:$H),0)
  +IFERROR(XLOOKUP(REGEXEXTRACT($K7,""^[^｜]+""),tc_mst!$A:$A,tc_mst!$H:$H),0),
  IF($B7=0,
   IFERROR(XLOOKUP(REGEXEXTRACT($I7,""^[^｜]+""),m"&amp;"s_mst!$A:$A,ms_mst!$H:$H),0),
   IFERROR(XLOOKUP(""T""&amp;($B7-1)&amp;""_""&amp;$D7,$A:$A,$S:$S),0)
  )
  +IFERROR(XLOOKUP(REGEXEXTRACT($J7,""^[^｜]+""),tr_mst!$A:$A,tr_mst!$H:$H),0)
  +IFERROR(XLOOKUP(REGEXEXTRACT($K7,""^[^｜]+""),tc_mst!$A:$A,tc_mst!$H:$H),0)
  +
  "&amp;"(
   IFERROR(XLOOKUP(REGEXEXTRACT($M7,""^[^｜]+""),ac_mst!$A:$A,ac_mst!$K:$K),0)
   +IFERROR(XLOOKUP(REGEXEXTRACT($N7,""^[^｜]+""),ac_mst!$A:$A,ac_mst!$K:$K),0)
   +IFERROR(
    XLOOKUP(
     IF(
      OR(
       IFERROR(REGEXEXTRACT($M7,""^[^｜]+""),"""")="&amp;""""",
       IFERROR(REGEXEXTRACT($N7,""^[^｜]+""),"""")=""""
      ),
      """",
      IF(
       IFERROR(REGEXEXTRACT($M7,""^[^｜]+""),"""")&lt;IFERROR(REGEXEXTRACT($N7,""^[^｜]+""),""""),
       IFERROR(REGEXEXTRACT($M7,""^[^｜]+""),"""")&amp;""_""&amp;IFERROR(REGEX"&amp;"EXTRACT($N7,""^[^｜]+""),""""),
       IFERROR(REGEXEXTRACT($N7,""^[^｜]+""),"""")&amp;""_""&amp;IFERROR(REGEXEXTRACT($M7,""^[^｜]+""),"""")
      )
     ),
     sy_mst!$A:$A,
     sy_mst!$H:$H
    ),
    0
   )
  )
  *
  IFERROR(XLOOKUP(REGEXEXTRACT($I7,""^[^｜]+"")"&amp;",ms_mst!$A:$A,ms_mst!$P:$P),1)
  *
  IF(
   $B7&gt;=IFERROR(XLOOKUP(REGEXEXTRACT($L7,""^[^｜]+""),sk_mst!$A:$A,sk_mst!$M:$M),999),
   IFERROR(XLOOKUP(REGEXEXTRACT($L7,""^[^｜]+""),sk_mst!$A:$A,sk_mst!$J:$J),1),
   1
  )
 )
)"),0.01)</f>
        <v>0.01</v>
      </c>
      <c r="T7" s="25">
        <f>IFERROR(__xludf.DUMMYFUNCTION("IF($A7="""","""",
 IF($F7=""market"",
  IFERROR(XLOOKUP(REGEXEXTRACT($J7,""^[^｜]+""),tr_mst!$A:$A,tr_mst!$I:$I),0)
  +IFERROR(XLOOKUP(REGEXEXTRACT($K7,""^[^｜]+""),tc_mst!$A:$A,tc_mst!$I:$I),0),
  IF($B7=0,
   IFERROR(XLOOKUP(REGEXEXTRACT($I7,""^[^｜]+""),m"&amp;"s_mst!$A:$A,ms_mst!$I:$I),0),
   IFERROR(XLOOKUP(""T""&amp;($B7-1)&amp;""_""&amp;$D7,$A:$A,$T:$T),0)
  )
  +IFERROR(XLOOKUP(REGEXEXTRACT($J7,""^[^｜]+""),tr_mst!$A:$A,tr_mst!$I:$I),0)
  +IFERROR(XLOOKUP(REGEXEXTRACT($K7,""^[^｜]+""),tc_mst!$A:$A,tc_mst!$I:$I),0)
  +
  "&amp;"(
   IFERROR(XLOOKUP(REGEXEXTRACT($M7,""^[^｜]+""),ac_mst!$A:$A,ac_mst!$L:$L),0)
   +IFERROR(XLOOKUP(REGEXEXTRACT($N7,""^[^｜]+""),ac_mst!$A:$A,ac_mst!$L:$L),0)
   +IFERROR(
    XLOOKUP(
     IF(
      OR(
       IFERROR(REGEXEXTRACT($M7,""^[^｜]+""),"""")="&amp;""""",
       IFERROR(REGEXEXTRACT($N7,""^[^｜]+""),"""")=""""
      ),
      """",
      IF(
       IFERROR(REGEXEXTRACT($M7,""^[^｜]+""),"""")&lt;IFERROR(REGEXEXTRACT($N7,""^[^｜]+""),""""),
       IFERROR(REGEXEXTRACT($M7,""^[^｜]+""),"""")&amp;""_""&amp;IFERROR(REGEX"&amp;"EXTRACT($N7,""^[^｜]+""),""""),
       IFERROR(REGEXEXTRACT($N7,""^[^｜]+""),"""")&amp;""_""&amp;IFERROR(REGEXEXTRACT($M7,""^[^｜]+""),"""")
      )
     ),
     sy_mst!$A:$A,
     sy_mst!$I:$I
    ),
    0
   )
  )
  *
  IFERROR(XLOOKUP(REGEXEXTRACT($I7,""^[^｜]+"")"&amp;",ms_mst!$A:$A,ms_mst!$Q:$Q),1)
  *
  IF(
   $B7&gt;=IFERROR(XLOOKUP(REGEXEXTRACT($L7,""^[^｜]+""),sk_mst!$A:$A,sk_mst!$M:$M),999),
   IFERROR(XLOOKUP(REGEXEXTRACT($L7,""^[^｜]+""),sk_mst!$A:$A,sk_mst!$K:$K),1),
   1
  )
 )
)"),3600.0)</f>
        <v>3600</v>
      </c>
      <c r="U7" s="25">
        <f>IFERROR(__xludf.DUMMYFUNCTION("IF($A7="""","""",
 IF($F7=""market"",
  IFERROR(XLOOKUP(REGEXEXTRACT($J7,""^[^｜]+""),tr_mst!$A:$A,tr_mst!$J:$J),0)
  +IFERROR(XLOOKUP(REGEXEXTRACT($K7,""^[^｜]+""),tc_mst!$A:$A,tc_mst!$J:$J),0),
  IF($B7=0,
   IFERROR(XLOOKUP(REGEXEXTRACT($I7,""^[^｜]+""),m"&amp;"s_mst!$A:$A,ms_mst!$J:$J),0),
   IFERROR(XLOOKUP(""T""&amp;($B7-1)&amp;""_""&amp;$D7,$A:$A,$U:$U),0)
  )
  +IFERROR(XLOOKUP(REGEXEXTRACT($J7,""^[^｜]+""),tr_mst!$A:$A,tr_mst!$J:$J),0)
  +IFERROR(XLOOKUP(REGEXEXTRACT($K7,""^[^｜]+""),tc_mst!$A:$A,tc_mst!$J:$J),0)
  +
  "&amp;"(
   IFERROR(XLOOKUP(REGEXEXTRACT($M7,""^[^｜]+""),ac_mst!$A:$A,ac_mst!$M:$M),0)
   +IFERROR(XLOOKUP(REGEXEXTRACT($N7,""^[^｜]+""),ac_mst!$A:$A,ac_mst!$M:$M),0)
   +IFERROR(
    XLOOKUP(
     IF(
      OR(
       IFERROR(REGEXEXTRACT($M7,""^[^｜]+""),"""")="&amp;""""",
       IFERROR(REGEXEXTRACT($N7,""^[^｜]+""),"""")=""""
      ),
      """",
      IF(
       IFERROR(REGEXEXTRACT($M7,""^[^｜]+""),"""")&lt;IFERROR(REGEXEXTRACT($N7,""^[^｜]+""),""""),
       IFERROR(REGEXEXTRACT($M7,""^[^｜]+""),"""")&amp;""_""&amp;IFERROR(REGEX"&amp;"EXTRACT($N7,""^[^｜]+""),""""),
       IFERROR(REGEXEXTRACT($N7,""^[^｜]+""),"""")&amp;""_""&amp;IFERROR(REGEXEXTRACT($M7,""^[^｜]+""),"""")
      )
     ),
     sy_mst!$A:$A,
     sy_mst!$J:$J
    ),
    0
   )
  )
  *
  IFERROR(XLOOKUP(REGEXEXTRACT($I7,""^[^｜]+"")"&amp;",ms_mst!$A:$A,ms_mst!$R:$R),1)
  *
  IF(
   $B7&gt;=IFERROR(XLOOKUP(REGEXEXTRACT($L7,""^[^｜]+""),sk_mst!$A:$A,sk_mst!$M:$M),999),
   IFERROR(XLOOKUP(REGEXEXTRACT($L7,""^[^｜]+""),sk_mst!$A:$A,sk_mst!$L:$L),1),
   1
  )
 )
)"),65.0)</f>
        <v>65</v>
      </c>
      <c r="V7" s="25">
        <f t="shared" si="1"/>
        <v>191520</v>
      </c>
      <c r="W7" s="25">
        <f t="shared" si="2"/>
        <v>227500</v>
      </c>
      <c r="X7" s="25">
        <f t="shared" si="3"/>
        <v>-35980</v>
      </c>
      <c r="Y7" s="25">
        <f t="shared" si="4"/>
        <v>0.84</v>
      </c>
      <c r="Z7" s="25">
        <f>IFERROR(__xludf.DUMMYFUNCTION("IF($A7="""","""",
 IF($F7&lt;&gt;""player"","""",
  IFERROR(
   RANK(
    $X7,
    FILTER($X:$X,$B:$B=$B7,$F:$F=""player"",$X:$X&lt;&gt;""""),
    0
   ),
   """"
  )
 )
)"),12.0)</f>
        <v>12</v>
      </c>
      <c r="AA7" s="25" t="str">
        <f t="shared" si="5"/>
        <v>12位</v>
      </c>
      <c r="AB7" s="26">
        <f t="shared" si="6"/>
        <v>0</v>
      </c>
    </row>
    <row r="8">
      <c r="A8" s="14" t="s">
        <v>167</v>
      </c>
      <c r="B8" s="25">
        <v>0.0</v>
      </c>
      <c r="C8" s="14" t="s">
        <v>168</v>
      </c>
      <c r="D8" s="14" t="s">
        <v>169</v>
      </c>
      <c r="E8" s="25" t="s">
        <v>153</v>
      </c>
      <c r="F8" s="25" t="s">
        <v>154</v>
      </c>
      <c r="G8" s="25" t="str">
        <f>IFERROR(__xludf.DUMMYFUNCTION("IF($F8=""market"","""",IFERROR(FILTER(member_log!$B$10:$B947,member_log!$C$10:$C947=$C8,member_log!$D$10:$D947=$E8,member_log!$G$10:$G947=""active""),""""))"),"")</f>
        <v/>
      </c>
      <c r="H8" s="25" t="str">
        <f>IFERROR(__xludf.DUMMYFUNCTION("IF($F8=""market"","""",IFERROR(FILTER(member_log!$E$10:$E947,member_log!$C$10:$C947=$C8,member_log!$D$10:$D947=$E8,member_log!$G$10:$G947=""active""),""""))"),"")</f>
        <v/>
      </c>
      <c r="I8" s="25" t="str">
        <f>IFERROR(__xludf.DUMMYFUNCTION("IF($F8&lt;&gt;""player"","""",IFERROR(INDEX(FILTER(group_setup!$D$2:$D947,group_setup!$B$2:$B947=$C8,group_setup!$G$2:$G947=TRUE,group_setup!$H$2:$H947=""completed""),1),""""))"),"M02")</f>
        <v>M02</v>
      </c>
      <c r="J8" s="25" t="str">
        <f>IFERROR(__xludf.DUMMYFUNCTION("IFERROR(FILTER(market_event_log!$D$2:$D947,market_event_log!$C$2:$C947=$B8,market_event_log!$N$2:$N947=""active""),"""")"),"")</f>
        <v/>
      </c>
      <c r="K8" s="25" t="str">
        <f>IFERROR(__xludf.DUMMYFUNCTION("IFERROR(FILTER(market_event_log!$G$2:$G947,market_event_log!$C$2:$C947=$B8,market_event_log!$N$2:$N947=""active""),"""")"),"")</f>
        <v/>
      </c>
      <c r="L8" s="25" t="str">
        <f>IFERROR(__xludf.DUMMYFUNCTION("IF($F8&lt;&gt;""player"","""",IFERROR(INDEX(FILTER(group_setup!$E$2:$E947,group_setup!$B$2:$B947=$C8,group_setup!$G$2:$G947=TRUE,group_setup!$H$2:$H947=""completed""),1),""""))"),"S03")</f>
        <v>S03</v>
      </c>
      <c r="M8" s="25" t="str">
        <f>IFERROR(__xludf.DUMMYFUNCTION("IF($F8=""market"","""",IF($E8=""HUMAN"",IFERROR(FILTER(turn_log!$G$2:$G947,turn_log!$C$2:$C947=$B8,turn_log!$D$2:$D947=$C8,turn_log!$F$2:$F947=$E8),""""),IFERROR(FILTER(turn_log!$I$2:$I947,turn_log!$C$2:$C947=$B8,turn_log!$D$2:$D947=$C8,turn_log!$F$2:$F94"&amp;"7=$E8),"""")))"),"")</f>
        <v/>
      </c>
      <c r="N8" s="25" t="str">
        <f>IFERROR(__xludf.DUMMYFUNCTION("IF($F8=""market"","""",IF($E8=""HUMAN"",IFERROR(FILTER(turn_log!$H$2:$H947,turn_log!$C$2:$C947=$B8,turn_log!$D$2:$D947=$C8,turn_log!$F$2:$F947=$E8),""""),IFERROR(FILTER(turn_log!$J$2:$J947,turn_log!$C$2:$C947=$B8,turn_log!$D$2:$D947=$C8,turn_log!$F$2:$F94"&amp;"7=$E8),"""")))"),"")</f>
        <v/>
      </c>
      <c r="O8" s="25">
        <f>IFERROR(__xludf.DUMMYFUNCTION("IF($A8="""","""",
 IF($F8=""market"",
  IFERROR(XLOOKUP(REGEXEXTRACT($J8,""^[^｜]+""),tr_mst!$A:$A,tr_mst!$D:$D),0)
  +IFERROR(XLOOKUP(REGEXEXTRACT($K8,""^[^｜]+""),tc_mst!$A:$A,tc_mst!$D:$D),0),
  IF($B8=0,
   IFERROR(XLOOKUP(REGEXEXTRACT($I8,""^[^｜]+""),m"&amp;"s_mst!$A:$A,ms_mst!$D:$D),0),
   IFERROR(XLOOKUP(""T""&amp;($B8-1)&amp;""_""&amp;$D8,$A:$A,$O:$O),0)
  )
  +IFERROR(XLOOKUP(REGEXEXTRACT($J8,""^[^｜]+""),tr_mst!$A:$A,tr_mst!$D:$D),0)
  +IFERROR(XLOOKUP(REGEXEXTRACT($K8,""^[^｜]+""),tc_mst!$A:$A,tc_mst!$D:$D),0)
  +
  "&amp;"(
   IFERROR(XLOOKUP(REGEXEXTRACT($M8,""^[^｜]+""),ac_mst!$A:$A,ac_mst!$G:$G),0)
   +IFERROR(XLOOKUP(REGEXEXTRACT($N8,""^[^｜]+""),ac_mst!$A:$A,ac_mst!$G:$G),0)
   +IFERROR(
    XLOOKUP(
     IF(
      OR(
       IFERROR(REGEXEXTRACT($M8,""^[^｜]+""),"""")="&amp;""""",
       IFERROR(REGEXEXTRACT($N8,""^[^｜]+""),"""")=""""
      ),
      """",
      IF(
       IFERROR(REGEXEXTRACT($M8,""^[^｜]+""),"""")&lt;IFERROR(REGEXEXTRACT($N8,""^[^｜]+""),""""),
       IFERROR(REGEXEXTRACT($M8,""^[^｜]+""),"""")&amp;""_""&amp;IFERROR(REGEX"&amp;"EXTRACT($N8,""^[^｜]+""),""""),
       IFERROR(REGEXEXTRACT($N8,""^[^｜]+""),"""")&amp;""_""&amp;IFERROR(REGEXEXTRACT($M8,""^[^｜]+""),"""")
      )
     ),
     sy_mst!$A:$A,
     sy_mst!$D:$D
    ),
    0
   )
  )
  *
  IFERROR(XLOOKUP(REGEXEXTRACT($I8,""^[^｜]+"")"&amp;",ms_mst!$A:$A,ms_mst!$L:$L),1)
  *
  IF(
   $B8&gt;=IFERROR(XLOOKUP(REGEXEXTRACT($L8,""^[^｜]+""),sk_mst!$A:$A,sk_mst!$M:$M),999),
   IFERROR(XLOOKUP(REGEXEXTRACT($L8,""^[^｜]+""),sk_mst!$A:$A,sk_mst!$F:$F),1),
   1
  )
 )
)"),5500.0)</f>
        <v>5500</v>
      </c>
      <c r="P8" s="25">
        <f>IFERROR(__xludf.DUMMYFUNCTION("IF($A8="""","""",
 IF($F8=""market"",
  IFERROR(XLOOKUP(REGEXEXTRACT($J8,""^[^｜]+""),tr_mst!$A:$A,tr_mst!$E:$E),0)
  +IFERROR(XLOOKUP(REGEXEXTRACT($K8,""^[^｜]+""),tc_mst!$A:$A,tc_mst!$E:$E),0),
  IF($B8=0,
   IFERROR(XLOOKUP(REGEXEXTRACT($I8,""^[^｜]+""),m"&amp;"s_mst!$A:$A,ms_mst!$E:$E),0),
   IFERROR(XLOOKUP(""T""&amp;($B8-1)&amp;""_""&amp;$D8,$A:$A,$P:$P),0)
  )
  +IFERROR(XLOOKUP(REGEXEXTRACT($J8,""^[^｜]+""),tr_mst!$A:$A,tr_mst!$E:$E),0)
  +IFERROR(XLOOKUP(REGEXEXTRACT($K8,""^[^｜]+""),tc_mst!$A:$A,tc_mst!$E:$E),0)
  +
  "&amp;"(
   IFERROR(XLOOKUP(REGEXEXTRACT($M8,""^[^｜]+""),ac_mst!$A:$A,ac_mst!$H:$H),0)
   +IFERROR(XLOOKUP(REGEXEXTRACT($N8,""^[^｜]+""),ac_mst!$A:$A,ac_mst!$H:$H),0)
   +IFERROR(
    XLOOKUP(
     IF(
      OR(
       IFERROR(REGEXEXTRACT($M8,""^[^｜]+""),"""")="&amp;""""",
       IFERROR(REGEXEXTRACT($N8,""^[^｜]+""),"""")=""""
      ),
      """",
      IF(
       IFERROR(REGEXEXTRACT($M8,""^[^｜]+""),"""")&lt;IFERROR(REGEXEXTRACT($N8,""^[^｜]+""),""""),
       IFERROR(REGEXEXTRACT($M8,""^[^｜]+""),"""")&amp;""_""&amp;IFERROR(REGEX"&amp;"EXTRACT($N8,""^[^｜]+""),""""),
       IFERROR(REGEXEXTRACT($N8,""^[^｜]+""),"""")&amp;""_""&amp;IFERROR(REGEXEXTRACT($M8,""^[^｜]+""),"""")
      )
     ),
     sy_mst!$A:$A,
     sy_mst!$E:$E
    ),
    0
   )
  )
  *
  IFERROR(XLOOKUP(REGEXEXTRACT($I8,""^[^｜]+"")"&amp;",ms_mst!$A:$A,ms_mst!$M:$M),1)
  *
  IF(
   $B8&gt;=IFERROR(XLOOKUP(REGEXEXTRACT($L8,""^[^｜]+""),sk_mst!$A:$A,sk_mst!$M:$M),999),
   IFERROR(XLOOKUP(REGEXEXTRACT($L8,""^[^｜]+""),sk_mst!$A:$A,sk_mst!$G:$G),1),
   1
  )
 )
)"),3500.0)</f>
        <v>3500</v>
      </c>
      <c r="Q8" s="25">
        <f>IFERROR(__xludf.DUMMYFUNCTION("IF($A8="""","""",
 IF($F8=""market"",
  IFERROR(XLOOKUP(REGEXEXTRACT($J8,""^[^｜]+""),tr_mst!$A:$A,tr_mst!$F:$F),0)
  +IFERROR(XLOOKUP(REGEXEXTRACT($K8,""^[^｜]+""),tc_mst!$A:$A,tc_mst!$F:$F),0),
  IF($B8=0,
   IFERROR(XLOOKUP(REGEXEXTRACT($I8,""^[^｜]+""),m"&amp;"s_mst!$A:$A,ms_mst!$F:$F),0),
   IFERROR(XLOOKUP(""T""&amp;($B8-1)&amp;""_""&amp;$D8,$A:$A,$Q:$Q),0)
  )
  +IFERROR(XLOOKUP(REGEXEXTRACT($J8,""^[^｜]+""),tr_mst!$A:$A,tr_mst!$F:$F),0)
  +IFERROR(XLOOKUP(REGEXEXTRACT($K8,""^[^｜]+""),tc_mst!$A:$A,tc_mst!$F:$F),0)
  +
  "&amp;"(
   IFERROR(XLOOKUP(REGEXEXTRACT($M8,""^[^｜]+""),ac_mst!$A:$A,ac_mst!$I:$I),0)
   +IFERROR(XLOOKUP(REGEXEXTRACT($N8,""^[^｜]+""),ac_mst!$A:$A,ac_mst!$I:$I),0)
   +IFERROR(
    XLOOKUP(
     IF(
      OR(
       IFERROR(REGEXEXTRACT($M8,""^[^｜]+""),"""")="&amp;""""",
       IFERROR(REGEXEXTRACT($N8,""^[^｜]+""),"""")=""""
      ),
      """",
      IF(
       IFERROR(REGEXEXTRACT($M8,""^[^｜]+""),"""")&lt;IFERROR(REGEXEXTRACT($N8,""^[^｜]+""),""""),
       IFERROR(REGEXEXTRACT($M8,""^[^｜]+""),"""")&amp;""_""&amp;IFERROR(REGEX"&amp;"EXTRACT($N8,""^[^｜]+""),""""),
       IFERROR(REGEXEXTRACT($N8,""^[^｜]+""),"""")&amp;""_""&amp;IFERROR(REGEXEXTRACT($M8,""^[^｜]+""),"""")
      )
     ),
     sy_mst!$A:$A,
     sy_mst!$F:$F
    ),
    0
   )
  )
  *
  IFERROR(XLOOKUP(REGEXEXTRACT($I8,""^[^｜]+"")"&amp;",ms_mst!$A:$A,ms_mst!$N:$N),1)
  *
  IF(
   $B8&gt;=IFERROR(XLOOKUP(REGEXEXTRACT($L8,""^[^｜]+""),sk_mst!$A:$A,sk_mst!$M:$M),999),
   IFERROR(XLOOKUP(REGEXEXTRACT($L8,""^[^｜]+""),sk_mst!$A:$A,sk_mst!$H:$H),1),
   1
  )
 )
)"),0.6)</f>
        <v>0.6</v>
      </c>
      <c r="R8" s="25">
        <f>IFERROR(__xludf.DUMMYFUNCTION("IF($A8="""","""",
 IF($F8=""market"",
  IFERROR(XLOOKUP(REGEXEXTRACT($J8,""^[^｜]+""),tr_mst!$A:$A,tr_mst!$G:$G),0)
  +IFERROR(XLOOKUP(REGEXEXTRACT($K8,""^[^｜]+""),tc_mst!$A:$A,tc_mst!$G:$G),0),
  IF($B8=0,
   IFERROR(XLOOKUP(REGEXEXTRACT($I8,""^[^｜]+""),m"&amp;"s_mst!$A:$A,ms_mst!$G:$G),0),
   IFERROR(XLOOKUP(""T""&amp;($B8-1)&amp;""_""&amp;$D8,$A:$A,$R:$R),0)
  )
  +IFERROR(XLOOKUP(REGEXEXTRACT($J8,""^[^｜]+""),tr_mst!$A:$A,tr_mst!$G:$G),0)
  +IFERROR(XLOOKUP(REGEXEXTRACT($K8,""^[^｜]+""),tc_mst!$A:$A,tc_mst!$G:$G),0)
  +
  "&amp;"(
   IFERROR(XLOOKUP(REGEXEXTRACT($M8,""^[^｜]+""),ac_mst!$A:$A,ac_mst!$J:$J),0)
   +IFERROR(XLOOKUP(REGEXEXTRACT($N8,""^[^｜]+""),ac_mst!$A:$A,ac_mst!$J:$J),0)
   +IFERROR(
    XLOOKUP(
     IF(
      OR(
       IFERROR(REGEXEXTRACT($M8,""^[^｜]+""),"""")="&amp;""""",
       IFERROR(REGEXEXTRACT($N8,""^[^｜]+""),"""")=""""
      ),
      """",
      IF(
       IFERROR(REGEXEXTRACT($M8,""^[^｜]+""),"""")&lt;IFERROR(REGEXEXTRACT($N8,""^[^｜]+""),""""),
       IFERROR(REGEXEXTRACT($M8,""^[^｜]+""),"""")&amp;""_""&amp;IFERROR(REGEX"&amp;"EXTRACT($N8,""^[^｜]+""),""""),
       IFERROR(REGEXEXTRACT($N8,""^[^｜]+""),"""")&amp;""_""&amp;IFERROR(REGEXEXTRACT($M8,""^[^｜]+""),"""")
      )
     ),
     sy_mst!$A:$A,
     sy_mst!$G:$G
    ),
    0
   )
  )
  *
  IFERROR(XLOOKUP(REGEXEXTRACT($I8,""^[^｜]+"")"&amp;",ms_mst!$A:$A,ms_mst!$O:$O),1)
  *
  IF(
   $B8&gt;=IFERROR(XLOOKUP(REGEXEXTRACT($L8,""^[^｜]+""),sk_mst!$A:$A,sk_mst!$M:$M),999),
   IFERROR(XLOOKUP(REGEXEXTRACT($L8,""^[^｜]+""),sk_mst!$A:$A,sk_mst!$I:$I),1),
   1
  )
 )
)"),1.4)</f>
        <v>1.4</v>
      </c>
      <c r="S8" s="25">
        <f>IFERROR(__xludf.DUMMYFUNCTION("IF($A8="""","""",
 IF($F8=""market"",
  IFERROR(XLOOKUP(REGEXEXTRACT($J8,""^[^｜]+""),tr_mst!$A:$A,tr_mst!$H:$H),0)
  +IFERROR(XLOOKUP(REGEXEXTRACT($K8,""^[^｜]+""),tc_mst!$A:$A,tc_mst!$H:$H),0),
  IF($B8=0,
   IFERROR(XLOOKUP(REGEXEXTRACT($I8,""^[^｜]+""),m"&amp;"s_mst!$A:$A,ms_mst!$H:$H),0),
   IFERROR(XLOOKUP(""T""&amp;($B8-1)&amp;""_""&amp;$D8,$A:$A,$S:$S),0)
  )
  +IFERROR(XLOOKUP(REGEXEXTRACT($J8,""^[^｜]+""),tr_mst!$A:$A,tr_mst!$H:$H),0)
  +IFERROR(XLOOKUP(REGEXEXTRACT($K8,""^[^｜]+""),tc_mst!$A:$A,tc_mst!$H:$H),0)
  +
  "&amp;"(
   IFERROR(XLOOKUP(REGEXEXTRACT($M8,""^[^｜]+""),ac_mst!$A:$A,ac_mst!$K:$K),0)
   +IFERROR(XLOOKUP(REGEXEXTRACT($N8,""^[^｜]+""),ac_mst!$A:$A,ac_mst!$K:$K),0)
   +IFERROR(
    XLOOKUP(
     IF(
      OR(
       IFERROR(REGEXEXTRACT($M8,""^[^｜]+""),"""")="&amp;""""",
       IFERROR(REGEXEXTRACT($N8,""^[^｜]+""),"""")=""""
      ),
      """",
      IF(
       IFERROR(REGEXEXTRACT($M8,""^[^｜]+""),"""")&lt;IFERROR(REGEXEXTRACT($N8,""^[^｜]+""),""""),
       IFERROR(REGEXEXTRACT($M8,""^[^｜]+""),"""")&amp;""_""&amp;IFERROR(REGEX"&amp;"EXTRACT($N8,""^[^｜]+""),""""),
       IFERROR(REGEXEXTRACT($N8,""^[^｜]+""),"""")&amp;""_""&amp;IFERROR(REGEXEXTRACT($M8,""^[^｜]+""),"""")
      )
     ),
     sy_mst!$A:$A,
     sy_mst!$H:$H
    ),
    0
   )
  )
  *
  IFERROR(XLOOKUP(REGEXEXTRACT($I8,""^[^｜]+"")"&amp;",ms_mst!$A:$A,ms_mst!$P:$P),1)
  *
  IF(
   $B8&gt;=IFERROR(XLOOKUP(REGEXEXTRACT($L8,""^[^｜]+""),sk_mst!$A:$A,sk_mst!$M:$M),999),
   IFERROR(XLOOKUP(REGEXEXTRACT($L8,""^[^｜]+""),sk_mst!$A:$A,sk_mst!$J:$J),1),
   1
  )
 )
)"),0.011)</f>
        <v>0.011</v>
      </c>
      <c r="T8" s="25">
        <f>IFERROR(__xludf.DUMMYFUNCTION("IF($A8="""","""",
 IF($F8=""market"",
  IFERROR(XLOOKUP(REGEXEXTRACT($J8,""^[^｜]+""),tr_mst!$A:$A,tr_mst!$I:$I),0)
  +IFERROR(XLOOKUP(REGEXEXTRACT($K8,""^[^｜]+""),tc_mst!$A:$A,tc_mst!$I:$I),0),
  IF($B8=0,
   IFERROR(XLOOKUP(REGEXEXTRACT($I8,""^[^｜]+""),m"&amp;"s_mst!$A:$A,ms_mst!$I:$I),0),
   IFERROR(XLOOKUP(""T""&amp;($B8-1)&amp;""_""&amp;$D8,$A:$A,$T:$T),0)
  )
  +IFERROR(XLOOKUP(REGEXEXTRACT($J8,""^[^｜]+""),tr_mst!$A:$A,tr_mst!$I:$I),0)
  +IFERROR(XLOOKUP(REGEXEXTRACT($K8,""^[^｜]+""),tc_mst!$A:$A,tc_mst!$I:$I),0)
  +
  "&amp;"(
   IFERROR(XLOOKUP(REGEXEXTRACT($M8,""^[^｜]+""),ac_mst!$A:$A,ac_mst!$L:$L),0)
   +IFERROR(XLOOKUP(REGEXEXTRACT($N8,""^[^｜]+""),ac_mst!$A:$A,ac_mst!$L:$L),0)
   +IFERROR(
    XLOOKUP(
     IF(
      OR(
       IFERROR(REGEXEXTRACT($M8,""^[^｜]+""),"""")="&amp;""""",
       IFERROR(REGEXEXTRACT($N8,""^[^｜]+""),"""")=""""
      ),
      """",
      IF(
       IFERROR(REGEXEXTRACT($M8,""^[^｜]+""),"""")&lt;IFERROR(REGEXEXTRACT($N8,""^[^｜]+""),""""),
       IFERROR(REGEXEXTRACT($M8,""^[^｜]+""),"""")&amp;""_""&amp;IFERROR(REGEX"&amp;"EXTRACT($N8,""^[^｜]+""),""""),
       IFERROR(REGEXEXTRACT($N8,""^[^｜]+""),"""")&amp;""_""&amp;IFERROR(REGEXEXTRACT($M8,""^[^｜]+""),"""")
      )
     ),
     sy_mst!$A:$A,
     sy_mst!$I:$I
    ),
    0
   )
  )
  *
  IFERROR(XLOOKUP(REGEXEXTRACT($I8,""^[^｜]+"")"&amp;",ms_mst!$A:$A,ms_mst!$Q:$Q),1)
  *
  IF(
   $B8&gt;=IFERROR(XLOOKUP(REGEXEXTRACT($L8,""^[^｜]+""),sk_mst!$A:$A,sk_mst!$M:$M),999),
   IFERROR(XLOOKUP(REGEXEXTRACT($L8,""^[^｜]+""),sk_mst!$A:$A,sk_mst!$K:$K),1),
   1
  )
 )
)"),4200.0)</f>
        <v>4200</v>
      </c>
      <c r="U8" s="25">
        <f>IFERROR(__xludf.DUMMYFUNCTION("IF($A8="""","""",
 IF($F8=""market"",
  IFERROR(XLOOKUP(REGEXEXTRACT($J8,""^[^｜]+""),tr_mst!$A:$A,tr_mst!$J:$J),0)
  +IFERROR(XLOOKUP(REGEXEXTRACT($K8,""^[^｜]+""),tc_mst!$A:$A,tc_mst!$J:$J),0),
  IF($B8=0,
   IFERROR(XLOOKUP(REGEXEXTRACT($I8,""^[^｜]+""),m"&amp;"s_mst!$A:$A,ms_mst!$J:$J),0),
   IFERROR(XLOOKUP(""T""&amp;($B8-1)&amp;""_""&amp;$D8,$A:$A,$U:$U),0)
  )
  +IFERROR(XLOOKUP(REGEXEXTRACT($J8,""^[^｜]+""),tr_mst!$A:$A,tr_mst!$J:$J),0)
  +IFERROR(XLOOKUP(REGEXEXTRACT($K8,""^[^｜]+""),tc_mst!$A:$A,tc_mst!$J:$J),0)
  +
  "&amp;"(
   IFERROR(XLOOKUP(REGEXEXTRACT($M8,""^[^｜]+""),ac_mst!$A:$A,ac_mst!$M:$M),0)
   +IFERROR(XLOOKUP(REGEXEXTRACT($N8,""^[^｜]+""),ac_mst!$A:$A,ac_mst!$M:$M),0)
   +IFERROR(
    XLOOKUP(
     IF(
      OR(
       IFERROR(REGEXEXTRACT($M8,""^[^｜]+""),"""")="&amp;""""",
       IFERROR(REGEXEXTRACT($N8,""^[^｜]+""),"""")=""""
      ),
      """",
      IF(
       IFERROR(REGEXEXTRACT($M8,""^[^｜]+""),"""")&lt;IFERROR(REGEXEXTRACT($N8,""^[^｜]+""),""""),
       IFERROR(REGEXEXTRACT($M8,""^[^｜]+""),"""")&amp;""_""&amp;IFERROR(REGEX"&amp;"EXTRACT($N8,""^[^｜]+""),""""),
       IFERROR(REGEXEXTRACT($N8,""^[^｜]+""),"""")&amp;""_""&amp;IFERROR(REGEXEXTRACT($M8,""^[^｜]+""),"""")
      )
     ),
     sy_mst!$A:$A,
     sy_mst!$J:$J
    ),
    0
   )
  )
  *
  IFERROR(XLOOKUP(REGEXEXTRACT($I8,""^[^｜]+"")"&amp;",ms_mst!$A:$A,ms_mst!$R:$R),1)
  *
  IF(
   $B8&gt;=IFERROR(XLOOKUP(REGEXEXTRACT($L8,""^[^｜]+""),sk_mst!$A:$A,sk_mst!$M:$M),999),
   IFERROR(XLOOKUP(REGEXEXTRACT($L8,""^[^｜]+""),sk_mst!$A:$A,sk_mst!$L:$L),1),
   1
  )
 )
)"),55.0)</f>
        <v>55</v>
      </c>
      <c r="V8" s="25">
        <f t="shared" si="1"/>
        <v>232848</v>
      </c>
      <c r="W8" s="25">
        <f t="shared" si="2"/>
        <v>192500</v>
      </c>
      <c r="X8" s="25">
        <f t="shared" si="3"/>
        <v>40348</v>
      </c>
      <c r="Y8" s="25">
        <f t="shared" si="4"/>
        <v>1.21</v>
      </c>
      <c r="Z8" s="25">
        <f>IFERROR(__xludf.DUMMYFUNCTION("IF($A8="""","""",
 IF($F8&lt;&gt;""player"","""",
  IFERROR(
   RANK(
    $X8,
    FILTER($X:$X,$B:$B=$B8,$F:$F=""player"",$X:$X&lt;&gt;""""),
    0
   ),
   """"
  )
 )
)"),6.0)</f>
        <v>6</v>
      </c>
      <c r="AA8" s="25" t="str">
        <f t="shared" si="5"/>
        <v>6位</v>
      </c>
      <c r="AB8" s="26">
        <f t="shared" si="6"/>
        <v>0</v>
      </c>
    </row>
    <row r="9">
      <c r="A9" s="14" t="s">
        <v>170</v>
      </c>
      <c r="B9" s="25">
        <v>0.0</v>
      </c>
      <c r="C9" s="14" t="s">
        <v>171</v>
      </c>
      <c r="D9" s="14" t="s">
        <v>172</v>
      </c>
      <c r="E9" s="25" t="s">
        <v>153</v>
      </c>
      <c r="F9" s="25" t="s">
        <v>154</v>
      </c>
      <c r="I9" s="25" t="str">
        <f>IFERROR(__xludf.DUMMYFUNCTION("IF($F9&lt;&gt;""player"","""",IFERROR(INDEX(FILTER(group_setup!$D$2:$D947,group_setup!$B$2:$B947=$C9,group_setup!$G$2:$G947=TRUE,group_setup!$H$2:$H947=""completed""),1),""""))"),"M03")</f>
        <v>M03</v>
      </c>
      <c r="J9" s="25" t="str">
        <f>IFERROR(__xludf.DUMMYFUNCTION("IFERROR(FILTER(market_event_log!$D$2:$D947,market_event_log!$C$2:$C947=$B9,market_event_log!$N$2:$N947=""active""),"""")"),"")</f>
        <v/>
      </c>
      <c r="K9" s="25" t="str">
        <f>IFERROR(__xludf.DUMMYFUNCTION("IFERROR(FILTER(market_event_log!$G$2:$G947,market_event_log!$C$2:$C947=$B9,market_event_log!$N$2:$N947=""active""),"""")"),"")</f>
        <v/>
      </c>
      <c r="L9" s="25" t="str">
        <f>IFERROR(__xludf.DUMMYFUNCTION("IF($F9&lt;&gt;""player"","""",IFERROR(INDEX(FILTER(group_setup!$E$2:$E947,group_setup!$B$2:$B947=$C9,group_setup!$G$2:$G947=TRUE,group_setup!$H$2:$H947=""completed""),1),""""))"),"S03")</f>
        <v>S03</v>
      </c>
      <c r="M9" s="25" t="str">
        <f>IFERROR(__xludf.DUMMYFUNCTION("IF($F9=""market"","""",IF($E9=""HUMAN"",IFERROR(FILTER(turn_log!$G$2:$G947,turn_log!$C$2:$C947=$B9,turn_log!$D$2:$D947=$C9,turn_log!$F$2:$F947=$E9),""""),IFERROR(FILTER(turn_log!$I$2:$I947,turn_log!$C$2:$C947=$B9,turn_log!$D$2:$D947=$C9,turn_log!$F$2:$F94"&amp;"7=$E9),"""")))"),"")</f>
        <v/>
      </c>
      <c r="N9" s="25" t="str">
        <f>IFERROR(__xludf.DUMMYFUNCTION("IF($F9=""market"","""",IF($E9=""HUMAN"",IFERROR(FILTER(turn_log!$H$2:$H947,turn_log!$C$2:$C947=$B9,turn_log!$D$2:$D947=$C9,turn_log!$F$2:$F947=$E9),""""),IFERROR(FILTER(turn_log!$J$2:$J947,turn_log!$C$2:$C947=$B9,turn_log!$D$2:$D947=$C9,turn_log!$F$2:$F94"&amp;"7=$E9),"""")))"),"")</f>
        <v/>
      </c>
      <c r="O9" s="25">
        <f>IFERROR(__xludf.DUMMYFUNCTION("IF($A9="""","""",
 IF($F9=""market"",
  IFERROR(XLOOKUP(REGEXEXTRACT($J9,""^[^｜]+""),tr_mst!$A:$A,tr_mst!$D:$D),0)
  +IFERROR(XLOOKUP(REGEXEXTRACT($K9,""^[^｜]+""),tc_mst!$A:$A,tc_mst!$D:$D),0),
  IF($B9=0,
   IFERROR(XLOOKUP(REGEXEXTRACT($I9,""^[^｜]+""),m"&amp;"s_mst!$A:$A,ms_mst!$D:$D),0),
   IFERROR(XLOOKUP(""T""&amp;($B9-1)&amp;""_""&amp;$D9,$A:$A,$O:$O),0)
  )
  +IFERROR(XLOOKUP(REGEXEXTRACT($J9,""^[^｜]+""),tr_mst!$A:$A,tr_mst!$D:$D),0)
  +IFERROR(XLOOKUP(REGEXEXTRACT($K9,""^[^｜]+""),tc_mst!$A:$A,tc_mst!$D:$D),0)
  +
  "&amp;"(
   IFERROR(XLOOKUP(REGEXEXTRACT($M9,""^[^｜]+""),ac_mst!$A:$A,ac_mst!$G:$G),0)
   +IFERROR(XLOOKUP(REGEXEXTRACT($N9,""^[^｜]+""),ac_mst!$A:$A,ac_mst!$G:$G),0)
   +IFERROR(
    XLOOKUP(
     IF(
      OR(
       IFERROR(REGEXEXTRACT($M9,""^[^｜]+""),"""")="&amp;""""",
       IFERROR(REGEXEXTRACT($N9,""^[^｜]+""),"""")=""""
      ),
      """",
      IF(
       IFERROR(REGEXEXTRACT($M9,""^[^｜]+""),"""")&lt;IFERROR(REGEXEXTRACT($N9,""^[^｜]+""),""""),
       IFERROR(REGEXEXTRACT($M9,""^[^｜]+""),"""")&amp;""_""&amp;IFERROR(REGEX"&amp;"EXTRACT($N9,""^[^｜]+""),""""),
       IFERROR(REGEXEXTRACT($N9,""^[^｜]+""),"""")&amp;""_""&amp;IFERROR(REGEXEXTRACT($M9,""^[^｜]+""),"""")
      )
     ),
     sy_mst!$A:$A,
     sy_mst!$D:$D
    ),
    0
   )
  )
  *
  IFERROR(XLOOKUP(REGEXEXTRACT($I9,""^[^｜]+"")"&amp;",ms_mst!$A:$A,ms_mst!$L:$L),1)
  *
  IF(
   $B9&gt;=IFERROR(XLOOKUP(REGEXEXTRACT($L9,""^[^｜]+""),sk_mst!$A:$A,sk_mst!$M:$M),999),
   IFERROR(XLOOKUP(REGEXEXTRACT($L9,""^[^｜]+""),sk_mst!$A:$A,sk_mst!$F:$F),1),
   1
  )
 )
)"),8500.0)</f>
        <v>8500</v>
      </c>
      <c r="P9" s="25">
        <f>IFERROR(__xludf.DUMMYFUNCTION("IF($A9="""","""",
 IF($F9=""market"",
  IFERROR(XLOOKUP(REGEXEXTRACT($J9,""^[^｜]+""),tr_mst!$A:$A,tr_mst!$E:$E),0)
  +IFERROR(XLOOKUP(REGEXEXTRACT($K9,""^[^｜]+""),tc_mst!$A:$A,tc_mst!$E:$E),0),
  IF($B9=0,
   IFERROR(XLOOKUP(REGEXEXTRACT($I9,""^[^｜]+""),m"&amp;"s_mst!$A:$A,ms_mst!$E:$E),0),
   IFERROR(XLOOKUP(""T""&amp;($B9-1)&amp;""_""&amp;$D9,$A:$A,$P:$P),0)
  )
  +IFERROR(XLOOKUP(REGEXEXTRACT($J9,""^[^｜]+""),tr_mst!$A:$A,tr_mst!$E:$E),0)
  +IFERROR(XLOOKUP(REGEXEXTRACT($K9,""^[^｜]+""),tc_mst!$A:$A,tc_mst!$E:$E),0)
  +
  "&amp;"(
   IFERROR(XLOOKUP(REGEXEXTRACT($M9,""^[^｜]+""),ac_mst!$A:$A,ac_mst!$H:$H),0)
   +IFERROR(XLOOKUP(REGEXEXTRACT($N9,""^[^｜]+""),ac_mst!$A:$A,ac_mst!$H:$H),0)
   +IFERROR(
    XLOOKUP(
     IF(
      OR(
       IFERROR(REGEXEXTRACT($M9,""^[^｜]+""),"""")="&amp;""""",
       IFERROR(REGEXEXTRACT($N9,""^[^｜]+""),"""")=""""
      ),
      """",
      IF(
       IFERROR(REGEXEXTRACT($M9,""^[^｜]+""),"""")&lt;IFERROR(REGEXEXTRACT($N9,""^[^｜]+""),""""),
       IFERROR(REGEXEXTRACT($M9,""^[^｜]+""),"""")&amp;""_""&amp;IFERROR(REGEX"&amp;"EXTRACT($N9,""^[^｜]+""),""""),
       IFERROR(REGEXEXTRACT($N9,""^[^｜]+""),"""")&amp;""_""&amp;IFERROR(REGEXEXTRACT($M9,""^[^｜]+""),"""")
      )
     ),
     sy_mst!$A:$A,
     sy_mst!$E:$E
    ),
    0
   )
  )
  *
  IFERROR(XLOOKUP(REGEXEXTRACT($I9,""^[^｜]+"")"&amp;",ms_mst!$A:$A,ms_mst!$M:$M),1)
  *
  IF(
   $B9&gt;=IFERROR(XLOOKUP(REGEXEXTRACT($L9,""^[^｜]+""),sk_mst!$A:$A,sk_mst!$M:$M),999),
   IFERROR(XLOOKUP(REGEXEXTRACT($L9,""^[^｜]+""),sk_mst!$A:$A,sk_mst!$G:$G),1),
   1
  )
 )
)"),1500.0)</f>
        <v>1500</v>
      </c>
      <c r="Q9" s="25">
        <f>IFERROR(__xludf.DUMMYFUNCTION("IF($A9="""","""",
 IF($F9=""market"",
  IFERROR(XLOOKUP(REGEXEXTRACT($J9,""^[^｜]+""),tr_mst!$A:$A,tr_mst!$F:$F),0)
  +IFERROR(XLOOKUP(REGEXEXTRACT($K9,""^[^｜]+""),tc_mst!$A:$A,tc_mst!$F:$F),0),
  IF($B9=0,
   IFERROR(XLOOKUP(REGEXEXTRACT($I9,""^[^｜]+""),m"&amp;"s_mst!$A:$A,ms_mst!$F:$F),0),
   IFERROR(XLOOKUP(""T""&amp;($B9-1)&amp;""_""&amp;$D9,$A:$A,$Q:$Q),0)
  )
  +IFERROR(XLOOKUP(REGEXEXTRACT($J9,""^[^｜]+""),tr_mst!$A:$A,tr_mst!$F:$F),0)
  +IFERROR(XLOOKUP(REGEXEXTRACT($K9,""^[^｜]+""),tc_mst!$A:$A,tc_mst!$F:$F),0)
  +
  "&amp;"(
   IFERROR(XLOOKUP(REGEXEXTRACT($M9,""^[^｜]+""),ac_mst!$A:$A,ac_mst!$I:$I),0)
   +IFERROR(XLOOKUP(REGEXEXTRACT($N9,""^[^｜]+""),ac_mst!$A:$A,ac_mst!$I:$I),0)
   +IFERROR(
    XLOOKUP(
     IF(
      OR(
       IFERROR(REGEXEXTRACT($M9,""^[^｜]+""),"""")="&amp;""""",
       IFERROR(REGEXEXTRACT($N9,""^[^｜]+""),"""")=""""
      ),
      """",
      IF(
       IFERROR(REGEXEXTRACT($M9,""^[^｜]+""),"""")&lt;IFERROR(REGEXEXTRACT($N9,""^[^｜]+""),""""),
       IFERROR(REGEXEXTRACT($M9,""^[^｜]+""),"""")&amp;""_""&amp;IFERROR(REGEX"&amp;"EXTRACT($N9,""^[^｜]+""),""""),
       IFERROR(REGEXEXTRACT($N9,""^[^｜]+""),"""")&amp;""_""&amp;IFERROR(REGEXEXTRACT($M9,""^[^｜]+""),"""")
      )
     ),
     sy_mst!$A:$A,
     sy_mst!$F:$F
    ),
    0
   )
  )
  *
  IFERROR(XLOOKUP(REGEXEXTRACT($I9,""^[^｜]+"")"&amp;",ms_mst!$A:$A,ms_mst!$N:$N),1)
  *
  IF(
   $B9&gt;=IFERROR(XLOOKUP(REGEXEXTRACT($L9,""^[^｜]+""),sk_mst!$A:$A,sk_mst!$M:$M),999),
   IFERROR(XLOOKUP(REGEXEXTRACT($L9,""^[^｜]+""),sk_mst!$A:$A,sk_mst!$H:$H),1),
   1
  )
 )
)"),0.54)</f>
        <v>0.54</v>
      </c>
      <c r="R9" s="25">
        <f>IFERROR(__xludf.DUMMYFUNCTION("IF($A9="""","""",
 IF($F9=""market"",
  IFERROR(XLOOKUP(REGEXEXTRACT($J9,""^[^｜]+""),tr_mst!$A:$A,tr_mst!$G:$G),0)
  +IFERROR(XLOOKUP(REGEXEXTRACT($K9,""^[^｜]+""),tc_mst!$A:$A,tc_mst!$G:$G),0),
  IF($B9=0,
   IFERROR(XLOOKUP(REGEXEXTRACT($I9,""^[^｜]+""),m"&amp;"s_mst!$A:$A,ms_mst!$G:$G),0),
   IFERROR(XLOOKUP(""T""&amp;($B9-1)&amp;""_""&amp;$D9,$A:$A,$R:$R),0)
  )
  +IFERROR(XLOOKUP(REGEXEXTRACT($J9,""^[^｜]+""),tr_mst!$A:$A,tr_mst!$G:$G),0)
  +IFERROR(XLOOKUP(REGEXEXTRACT($K9,""^[^｜]+""),tc_mst!$A:$A,tc_mst!$G:$G),0)
  +
  "&amp;"(
   IFERROR(XLOOKUP(REGEXEXTRACT($M9,""^[^｜]+""),ac_mst!$A:$A,ac_mst!$J:$J),0)
   +IFERROR(XLOOKUP(REGEXEXTRACT($N9,""^[^｜]+""),ac_mst!$A:$A,ac_mst!$J:$J),0)
   +IFERROR(
    XLOOKUP(
     IF(
      OR(
       IFERROR(REGEXEXTRACT($M9,""^[^｜]+""),"""")="&amp;""""",
       IFERROR(REGEXEXTRACT($N9,""^[^｜]+""),"""")=""""
      ),
      """",
      IF(
       IFERROR(REGEXEXTRACT($M9,""^[^｜]+""),"""")&lt;IFERROR(REGEXEXTRACT($N9,""^[^｜]+""),""""),
       IFERROR(REGEXEXTRACT($M9,""^[^｜]+""),"""")&amp;""_""&amp;IFERROR(REGEX"&amp;"EXTRACT($N9,""^[^｜]+""),""""),
       IFERROR(REGEXEXTRACT($N9,""^[^｜]+""),"""")&amp;""_""&amp;IFERROR(REGEXEXTRACT($M9,""^[^｜]+""),"""")
      )
     ),
     sy_mst!$A:$A,
     sy_mst!$G:$G
    ),
    0
   )
  )
  *
  IFERROR(XLOOKUP(REGEXEXTRACT($I9,""^[^｜]+"")"&amp;",ms_mst!$A:$A,ms_mst!$O:$O),1)
  *
  IF(
   $B9&gt;=IFERROR(XLOOKUP(REGEXEXTRACT($L9,""^[^｜]+""),sk_mst!$A:$A,sk_mst!$M:$M),999),
   IFERROR(XLOOKUP(REGEXEXTRACT($L9,""^[^｜]+""),sk_mst!$A:$A,sk_mst!$I:$I),1),
   1
  )
 )
)"),1.75)</f>
        <v>1.75</v>
      </c>
      <c r="S9" s="25">
        <f>IFERROR(__xludf.DUMMYFUNCTION("IF($A9="""","""",
 IF($F9=""market"",
  IFERROR(XLOOKUP(REGEXEXTRACT($J9,""^[^｜]+""),tr_mst!$A:$A,tr_mst!$H:$H),0)
  +IFERROR(XLOOKUP(REGEXEXTRACT($K9,""^[^｜]+""),tc_mst!$A:$A,tc_mst!$H:$H),0),
  IF($B9=0,
   IFERROR(XLOOKUP(REGEXEXTRACT($I9,""^[^｜]+""),m"&amp;"s_mst!$A:$A,ms_mst!$H:$H),0),
   IFERROR(XLOOKUP(""T""&amp;($B9-1)&amp;""_""&amp;$D9,$A:$A,$S:$S),0)
  )
  +IFERROR(XLOOKUP(REGEXEXTRACT($J9,""^[^｜]+""),tr_mst!$A:$A,tr_mst!$H:$H),0)
  +IFERROR(XLOOKUP(REGEXEXTRACT($K9,""^[^｜]+""),tc_mst!$A:$A,tc_mst!$H:$H),0)
  +
  "&amp;"(
   IFERROR(XLOOKUP(REGEXEXTRACT($M9,""^[^｜]+""),ac_mst!$A:$A,ac_mst!$K:$K),0)
   +IFERROR(XLOOKUP(REGEXEXTRACT($N9,""^[^｜]+""),ac_mst!$A:$A,ac_mst!$K:$K),0)
   +IFERROR(
    XLOOKUP(
     IF(
      OR(
       IFERROR(REGEXEXTRACT($M9,""^[^｜]+""),"""")="&amp;""""",
       IFERROR(REGEXEXTRACT($N9,""^[^｜]+""),"""")=""""
      ),
      """",
      IF(
       IFERROR(REGEXEXTRACT($M9,""^[^｜]+""),"""")&lt;IFERROR(REGEXEXTRACT($N9,""^[^｜]+""),""""),
       IFERROR(REGEXEXTRACT($M9,""^[^｜]+""),"""")&amp;""_""&amp;IFERROR(REGEX"&amp;"EXTRACT($N9,""^[^｜]+""),""""),
       IFERROR(REGEXEXTRACT($N9,""^[^｜]+""),"""")&amp;""_""&amp;IFERROR(REGEXEXTRACT($M9,""^[^｜]+""),"""")
      )
     ),
     sy_mst!$A:$A,
     sy_mst!$H:$H
    ),
    0
   )
  )
  *
  IFERROR(XLOOKUP(REGEXEXTRACT($I9,""^[^｜]+"")"&amp;",ms_mst!$A:$A,ms_mst!$P:$P),1)
  *
  IF(
   $B9&gt;=IFERROR(XLOOKUP(REGEXEXTRACT($L9,""^[^｜]+""),sk_mst!$A:$A,sk_mst!$M:$M),999),
   IFERROR(XLOOKUP(REGEXEXTRACT($L9,""^[^｜]+""),sk_mst!$A:$A,sk_mst!$J:$J),1),
   1
  )
 )
)"),0.012)</f>
        <v>0.012</v>
      </c>
      <c r="T9" s="25">
        <f>IFERROR(__xludf.DUMMYFUNCTION("IF($A9="""","""",
 IF($F9=""market"",
  IFERROR(XLOOKUP(REGEXEXTRACT($J9,""^[^｜]+""),tr_mst!$A:$A,tr_mst!$I:$I),0)
  +IFERROR(XLOOKUP(REGEXEXTRACT($K9,""^[^｜]+""),tc_mst!$A:$A,tc_mst!$I:$I),0),
  IF($B9=0,
   IFERROR(XLOOKUP(REGEXEXTRACT($I9,""^[^｜]+""),m"&amp;"s_mst!$A:$A,ms_mst!$I:$I),0),
   IFERROR(XLOOKUP(""T""&amp;($B9-1)&amp;""_""&amp;$D9,$A:$A,$T:$T),0)
  )
  +IFERROR(XLOOKUP(REGEXEXTRACT($J9,""^[^｜]+""),tr_mst!$A:$A,tr_mst!$I:$I),0)
  +IFERROR(XLOOKUP(REGEXEXTRACT($K9,""^[^｜]+""),tc_mst!$A:$A,tc_mst!$I:$I),0)
  +
  "&amp;"(
   IFERROR(XLOOKUP(REGEXEXTRACT($M9,""^[^｜]+""),ac_mst!$A:$A,ac_mst!$L:$L),0)
   +IFERROR(XLOOKUP(REGEXEXTRACT($N9,""^[^｜]+""),ac_mst!$A:$A,ac_mst!$L:$L),0)
   +IFERROR(
    XLOOKUP(
     IF(
      OR(
       IFERROR(REGEXEXTRACT($M9,""^[^｜]+""),"""")="&amp;""""",
       IFERROR(REGEXEXTRACT($N9,""^[^｜]+""),"""")=""""
      ),
      """",
      IF(
       IFERROR(REGEXEXTRACT($M9,""^[^｜]+""),"""")&lt;IFERROR(REGEXEXTRACT($N9,""^[^｜]+""),""""),
       IFERROR(REGEXEXTRACT($M9,""^[^｜]+""),"""")&amp;""_""&amp;IFERROR(REGEX"&amp;"EXTRACT($N9,""^[^｜]+""),""""),
       IFERROR(REGEXEXTRACT($N9,""^[^｜]+""),"""")&amp;""_""&amp;IFERROR(REGEXEXTRACT($M9,""^[^｜]+""),"""")
      )
     ),
     sy_mst!$A:$A,
     sy_mst!$I:$I
    ),
    0
   )
  )
  *
  IFERROR(XLOOKUP(REGEXEXTRACT($I9,""^[^｜]+"")"&amp;",ms_mst!$A:$A,ms_mst!$Q:$Q),1)
  *
  IF(
   $B9&gt;=IFERROR(XLOOKUP(REGEXEXTRACT($L9,""^[^｜]+""),sk_mst!$A:$A,sk_mst!$M:$M),999),
   IFERROR(XLOOKUP(REGEXEXTRACT($L9,""^[^｜]+""),sk_mst!$A:$A,sk_mst!$K:$K),1),
   1
  )
 )
)"),4000.0)</f>
        <v>4000</v>
      </c>
      <c r="U9" s="25">
        <f>IFERROR(__xludf.DUMMYFUNCTION("IF($A9="""","""",
 IF($F9=""market"",
  IFERROR(XLOOKUP(REGEXEXTRACT($J9,""^[^｜]+""),tr_mst!$A:$A,tr_mst!$J:$J),0)
  +IFERROR(XLOOKUP(REGEXEXTRACT($K9,""^[^｜]+""),tc_mst!$A:$A,tc_mst!$J:$J),0),
  IF($B9=0,
   IFERROR(XLOOKUP(REGEXEXTRACT($I9,""^[^｜]+""),m"&amp;"s_mst!$A:$A,ms_mst!$J:$J),0),
   IFERROR(XLOOKUP(""T""&amp;($B9-1)&amp;""_""&amp;$D9,$A:$A,$U:$U),0)
  )
  +IFERROR(XLOOKUP(REGEXEXTRACT($J9,""^[^｜]+""),tr_mst!$A:$A,tr_mst!$J:$J),0)
  +IFERROR(XLOOKUP(REGEXEXTRACT($K9,""^[^｜]+""),tc_mst!$A:$A,tc_mst!$J:$J),0)
  +
  "&amp;"(
   IFERROR(XLOOKUP(REGEXEXTRACT($M9,""^[^｜]+""),ac_mst!$A:$A,ac_mst!$M:$M),0)
   +IFERROR(XLOOKUP(REGEXEXTRACT($N9,""^[^｜]+""),ac_mst!$A:$A,ac_mst!$M:$M),0)
   +IFERROR(
    XLOOKUP(
     IF(
      OR(
       IFERROR(REGEXEXTRACT($M9,""^[^｜]+""),"""")="&amp;""""",
       IFERROR(REGEXEXTRACT($N9,""^[^｜]+""),"""")=""""
      ),
      """",
      IF(
       IFERROR(REGEXEXTRACT($M9,""^[^｜]+""),"""")&lt;IFERROR(REGEXEXTRACT($N9,""^[^｜]+""),""""),
       IFERROR(REGEXEXTRACT($M9,""^[^｜]+""),"""")&amp;""_""&amp;IFERROR(REGEX"&amp;"EXTRACT($N9,""^[^｜]+""),""""),
       IFERROR(REGEXEXTRACT($N9,""^[^｜]+""),"""")&amp;""_""&amp;IFERROR(REGEXEXTRACT($M9,""^[^｜]+""),"""")
      )
     ),
     sy_mst!$A:$A,
     sy_mst!$J:$J
    ),
    0
   )
  )
  *
  IFERROR(XLOOKUP(REGEXEXTRACT($I9,""^[^｜]+"")"&amp;",ms_mst!$A:$A,ms_mst!$R:$R),1)
  *
  IF(
   $B9&gt;=IFERROR(XLOOKUP(REGEXEXTRACT($L9,""^[^｜]+""),sk_mst!$A:$A,sk_mst!$M:$M),999),
   IFERROR(XLOOKUP(REGEXEXTRACT($L9,""^[^｜]+""),sk_mst!$A:$A,sk_mst!$L:$L),1),
   1
  )
 )
)"),40.0)</f>
        <v>40</v>
      </c>
      <c r="V9" s="25">
        <f t="shared" si="1"/>
        <v>386400</v>
      </c>
      <c r="W9" s="25">
        <f t="shared" si="2"/>
        <v>60000</v>
      </c>
      <c r="X9" s="25">
        <f t="shared" si="3"/>
        <v>326400</v>
      </c>
      <c r="Y9" s="25">
        <f t="shared" si="4"/>
        <v>6.44</v>
      </c>
      <c r="Z9" s="25">
        <f>IFERROR(__xludf.DUMMYFUNCTION("IF($A9="""","""",
 IF($F9&lt;&gt;""player"","""",
  IFERROR(
   RANK(
    $X9,
    FILTER($X:$X,$B:$B=$B9,$F:$F=""player"",$X:$X&lt;&gt;""""),
    0
   ),
   """"
  )
 )
)"),1.0)</f>
        <v>1</v>
      </c>
      <c r="AA9" s="25" t="str">
        <f t="shared" si="5"/>
        <v>1位</v>
      </c>
      <c r="AB9" s="26">
        <f t="shared" si="6"/>
        <v>0</v>
      </c>
    </row>
    <row r="10">
      <c r="A10" s="14" t="s">
        <v>173</v>
      </c>
      <c r="B10" s="25">
        <v>0.0</v>
      </c>
      <c r="C10" s="14" t="s">
        <v>174</v>
      </c>
      <c r="D10" s="14" t="s">
        <v>175</v>
      </c>
      <c r="E10" s="25" t="s">
        <v>153</v>
      </c>
      <c r="F10" s="25" t="s">
        <v>154</v>
      </c>
      <c r="G10" s="25" t="str">
        <f>IFERROR(__xludf.DUMMYFUNCTION("IF($F10=""market"","""",IFERROR(FILTER(member_log!$B$10:$B947,member_log!$C$10:$C947=$C10,member_log!$D$10:$D947=$E10,member_log!$G$10:$G947=""active""),""""))"),"")</f>
        <v/>
      </c>
      <c r="H10" s="25" t="str">
        <f>IFERROR(__xludf.DUMMYFUNCTION("IF($F10=""market"","""",IFERROR(FILTER(member_log!$E$10:$E947,member_log!$C$10:$C947=$C10,member_log!$D$10:$D947=$E10,member_log!$G$10:$G947=""active""),""""))"),"")</f>
        <v/>
      </c>
      <c r="I10" s="25" t="str">
        <f>IFERROR(__xludf.DUMMYFUNCTION("IF($F10&lt;&gt;""player"","""",IFERROR(INDEX(FILTER(group_setup!$D$2:$D947,group_setup!$B$2:$B947=$C10,group_setup!$G$2:$G947=TRUE,group_setup!$H$2:$H947=""completed""),1),""""))"),"")</f>
        <v/>
      </c>
      <c r="J10" s="25" t="str">
        <f>IFERROR(__xludf.DUMMYFUNCTION("IFERROR(FILTER(market_event_log!$D$2:$D947,market_event_log!$C$2:$C947=$B10,market_event_log!$N$2:$N947=""active""),"""")"),"")</f>
        <v/>
      </c>
      <c r="K10" s="25" t="str">
        <f>IFERROR(__xludf.DUMMYFUNCTION("IFERROR(FILTER(market_event_log!$G$2:$G947,market_event_log!$C$2:$C947=$B10,market_event_log!$N$2:$N947=""active""),"""")"),"")</f>
        <v/>
      </c>
      <c r="L10" s="25" t="str">
        <f>IFERROR(__xludf.DUMMYFUNCTION("IF($F10&lt;&gt;""player"","""",IFERROR(INDEX(FILTER(group_setup!$E$2:$E947,group_setup!$B$2:$B947=$C10,group_setup!$G$2:$G947=TRUE,group_setup!$H$2:$H947=""completed""),1),""""))"),"")</f>
        <v/>
      </c>
      <c r="M10" s="25" t="str">
        <f>IFERROR(__xludf.DUMMYFUNCTION("IF($F10=""market"","""",IF($E10=""HUMAN"",IFERROR(FILTER(turn_log!$G$2:$G947,turn_log!$C$2:$C947=$B10,turn_log!$D$2:$D947=$C10,turn_log!$F$2:$F947=$E10),""""),IFERROR(FILTER(turn_log!$I$2:$I947,turn_log!$C$2:$C947=$B10,turn_log!$D$2:$D947=$C10,turn_log!$F"&amp;"$2:$F947=$E10),"""")))"),"")</f>
        <v/>
      </c>
      <c r="N10" s="25" t="str">
        <f>IFERROR(__xludf.DUMMYFUNCTION("IF($F10=""market"","""",IF($E10=""HUMAN"",IFERROR(FILTER(turn_log!$H$2:$H947,turn_log!$C$2:$C947=$B10,turn_log!$D$2:$D947=$C10,turn_log!$F$2:$F947=$E10),""""),IFERROR(FILTER(turn_log!$J$2:$J947,turn_log!$C$2:$C947=$B10,turn_log!$D$2:$D947=$C10,turn_log!$F"&amp;"$2:$F947=$E10),"""")))"),"")</f>
        <v/>
      </c>
      <c r="O10" s="25">
        <f>IFERROR(__xludf.DUMMYFUNCTION("IF($A10="""","""",
 IF($F10=""market"",
  IFERROR(XLOOKUP(REGEXEXTRACT($J10,""^[^｜]+""),tr_mst!$A:$A,tr_mst!$D:$D),0)
  +IFERROR(XLOOKUP(REGEXEXTRACT($K10,""^[^｜]+""),tc_mst!$A:$A,tc_mst!$D:$D),0),
  IF($B10=0,
   IFERROR(XLOOKUP(REGEXEXTRACT($I10,""^[^｜]"&amp;"+""),ms_mst!$A:$A,ms_mst!$D:$D),0),
   IFERROR(XLOOKUP(""T""&amp;($B10-1)&amp;""_""&amp;$D10,$A:$A,$O:$O),0)
  )
  +IFERROR(XLOOKUP(REGEXEXTRACT($J10,""^[^｜]+""),tr_mst!$A:$A,tr_mst!$D:$D),0)
  +IFERROR(XLOOKUP(REGEXEXTRACT($K10,""^[^｜]+""),tc_mst!$A:$A,tc_mst!$D:$D)"&amp;",0)
  +
  (
   IFERROR(XLOOKUP(REGEXEXTRACT($M10,""^[^｜]+""),ac_mst!$A:$A,ac_mst!$G:$G),0)
   +IFERROR(XLOOKUP(REGEXEXTRACT($N10,""^[^｜]+""),ac_mst!$A:$A,ac_mst!$G:$G),0)
   +IFERROR(
    XLOOKUP(
     IF(
      OR(
       IFERROR(REGEXEXTRACT($M10,""^[^｜"&amp;"]+""),"""")="""",
       IFERROR(REGEXEXTRACT($N10,""^[^｜]+""),"""")=""""
      ),
      """",
      IF(
       IFERROR(REGEXEXTRACT($M10,""^[^｜]+""),"""")&lt;IFERROR(REGEXEXTRACT($N10,""^[^｜]+""),""""),
       IFERROR(REGEXEXTRACT($M10,""^[^｜]+""),"""")&amp;""_"&amp;"""&amp;IFERROR(REGEXEXTRACT($N10,""^[^｜]+""),""""),
       IFERROR(REGEXEXTRACT($N10,""^[^｜]+""),"""")&amp;""_""&amp;IFERROR(REGEXEXTRACT($M10,""^[^｜]+""),"""")
      )
     ),
     sy_mst!$A:$A,
     sy_mst!$D:$D
    ),
    0
   )
  )
  *
  IFERROR(XLOOKUP(REGEXEXTR"&amp;"ACT($I10,""^[^｜]+""),ms_mst!$A:$A,ms_mst!$L:$L),1)
  *
  IF(
   $B10&gt;=IFERROR(XLOOKUP(REGEXEXTRACT($L10,""^[^｜]+""),sk_mst!$A:$A,sk_mst!$M:$M),999),
   IFERROR(XLOOKUP(REGEXEXTRACT($L10,""^[^｜]+""),sk_mst!$A:$A,sk_mst!$F:$F),1),
   1
  )
 )
)"),0.0)</f>
        <v>0</v>
      </c>
      <c r="P10" s="25">
        <f>IFERROR(__xludf.DUMMYFUNCTION("IF($A10="""","""",
 IF($F10=""market"",
  IFERROR(XLOOKUP(REGEXEXTRACT($J10,""^[^｜]+""),tr_mst!$A:$A,tr_mst!$E:$E),0)
  +IFERROR(XLOOKUP(REGEXEXTRACT($K10,""^[^｜]+""),tc_mst!$A:$A,tc_mst!$E:$E),0),
  IF($B10=0,
   IFERROR(XLOOKUP(REGEXEXTRACT($I10,""^[^｜]"&amp;"+""),ms_mst!$A:$A,ms_mst!$E:$E),0),
   IFERROR(XLOOKUP(""T""&amp;($B10-1)&amp;""_""&amp;$D10,$A:$A,$P:$P),0)
  )
  +IFERROR(XLOOKUP(REGEXEXTRACT($J10,""^[^｜]+""),tr_mst!$A:$A,tr_mst!$E:$E),0)
  +IFERROR(XLOOKUP(REGEXEXTRACT($K10,""^[^｜]+""),tc_mst!$A:$A,tc_mst!$E:$E)"&amp;",0)
  +
  (
   IFERROR(XLOOKUP(REGEXEXTRACT($M10,""^[^｜]+""),ac_mst!$A:$A,ac_mst!$H:$H),0)
   +IFERROR(XLOOKUP(REGEXEXTRACT($N10,""^[^｜]+""),ac_mst!$A:$A,ac_mst!$H:$H),0)
   +IFERROR(
    XLOOKUP(
     IF(
      OR(
       IFERROR(REGEXEXTRACT($M10,""^[^｜"&amp;"]+""),"""")="""",
       IFERROR(REGEXEXTRACT($N10,""^[^｜]+""),"""")=""""
      ),
      """",
      IF(
       IFERROR(REGEXEXTRACT($M10,""^[^｜]+""),"""")&lt;IFERROR(REGEXEXTRACT($N10,""^[^｜]+""),""""),
       IFERROR(REGEXEXTRACT($M10,""^[^｜]+""),"""")&amp;""_"&amp;"""&amp;IFERROR(REGEXEXTRACT($N10,""^[^｜]+""),""""),
       IFERROR(REGEXEXTRACT($N10,""^[^｜]+""),"""")&amp;""_""&amp;IFERROR(REGEXEXTRACT($M10,""^[^｜]+""),"""")
      )
     ),
     sy_mst!$A:$A,
     sy_mst!$E:$E
    ),
    0
   )
  )
  *
  IFERROR(XLOOKUP(REGEXEXTR"&amp;"ACT($I10,""^[^｜]+""),ms_mst!$A:$A,ms_mst!$M:$M),1)
  *
  IF(
   $B10&gt;=IFERROR(XLOOKUP(REGEXEXTRACT($L10,""^[^｜]+""),sk_mst!$A:$A,sk_mst!$M:$M),999),
   IFERROR(XLOOKUP(REGEXEXTRACT($L10,""^[^｜]+""),sk_mst!$A:$A,sk_mst!$G:$G),1),
   1
  )
 )
)"),0.0)</f>
        <v>0</v>
      </c>
      <c r="Q10" s="25">
        <f>IFERROR(__xludf.DUMMYFUNCTION("IF($A10="""","""",
 IF($F10=""market"",
  IFERROR(XLOOKUP(REGEXEXTRACT($J10,""^[^｜]+""),tr_mst!$A:$A,tr_mst!$F:$F),0)
  +IFERROR(XLOOKUP(REGEXEXTRACT($K10,""^[^｜]+""),tc_mst!$A:$A,tc_mst!$F:$F),0),
  IF($B10=0,
   IFERROR(XLOOKUP(REGEXEXTRACT($I10,""^[^｜]"&amp;"+""),ms_mst!$A:$A,ms_mst!$F:$F),0),
   IFERROR(XLOOKUP(""T""&amp;($B10-1)&amp;""_""&amp;$D10,$A:$A,$Q:$Q),0)
  )
  +IFERROR(XLOOKUP(REGEXEXTRACT($J10,""^[^｜]+""),tr_mst!$A:$A,tr_mst!$F:$F),0)
  +IFERROR(XLOOKUP(REGEXEXTRACT($K10,""^[^｜]+""),tc_mst!$A:$A,tc_mst!$F:$F)"&amp;",0)
  +
  (
   IFERROR(XLOOKUP(REGEXEXTRACT($M10,""^[^｜]+""),ac_mst!$A:$A,ac_mst!$I:$I),0)
   +IFERROR(XLOOKUP(REGEXEXTRACT($N10,""^[^｜]+""),ac_mst!$A:$A,ac_mst!$I:$I),0)
   +IFERROR(
    XLOOKUP(
     IF(
      OR(
       IFERROR(REGEXEXTRACT($M10,""^[^｜"&amp;"]+""),"""")="""",
       IFERROR(REGEXEXTRACT($N10,""^[^｜]+""),"""")=""""
      ),
      """",
      IF(
       IFERROR(REGEXEXTRACT($M10,""^[^｜]+""),"""")&lt;IFERROR(REGEXEXTRACT($N10,""^[^｜]+""),""""),
       IFERROR(REGEXEXTRACT($M10,""^[^｜]+""),"""")&amp;""_"&amp;"""&amp;IFERROR(REGEXEXTRACT($N10,""^[^｜]+""),""""),
       IFERROR(REGEXEXTRACT($N10,""^[^｜]+""),"""")&amp;""_""&amp;IFERROR(REGEXEXTRACT($M10,""^[^｜]+""),"""")
      )
     ),
     sy_mst!$A:$A,
     sy_mst!$F:$F
    ),
    0
   )
  )
  *
  IFERROR(XLOOKUP(REGEXEXTR"&amp;"ACT($I10,""^[^｜]+""),ms_mst!$A:$A,ms_mst!$N:$N),1)
  *
  IF(
   $B10&gt;=IFERROR(XLOOKUP(REGEXEXTRACT($L10,""^[^｜]+""),sk_mst!$A:$A,sk_mst!$M:$M),999),
   IFERROR(XLOOKUP(REGEXEXTRACT($L10,""^[^｜]+""),sk_mst!$A:$A,sk_mst!$H:$H),1),
   1
  )
 )
)"),0.0)</f>
        <v>0</v>
      </c>
      <c r="R10" s="25">
        <f>IFERROR(__xludf.DUMMYFUNCTION("IF($A10="""","""",
 IF($F10=""market"",
  IFERROR(XLOOKUP(REGEXEXTRACT($J10,""^[^｜]+""),tr_mst!$A:$A,tr_mst!$G:$G),0)
  +IFERROR(XLOOKUP(REGEXEXTRACT($K10,""^[^｜]+""),tc_mst!$A:$A,tc_mst!$G:$G),0),
  IF($B10=0,
   IFERROR(XLOOKUP(REGEXEXTRACT($I10,""^[^｜]"&amp;"+""),ms_mst!$A:$A,ms_mst!$G:$G),0),
   IFERROR(XLOOKUP(""T""&amp;($B10-1)&amp;""_""&amp;$D10,$A:$A,$R:$R),0)
  )
  +IFERROR(XLOOKUP(REGEXEXTRACT($J10,""^[^｜]+""),tr_mst!$A:$A,tr_mst!$G:$G),0)
  +IFERROR(XLOOKUP(REGEXEXTRACT($K10,""^[^｜]+""),tc_mst!$A:$A,tc_mst!$G:$G)"&amp;",0)
  +
  (
   IFERROR(XLOOKUP(REGEXEXTRACT($M10,""^[^｜]+""),ac_mst!$A:$A,ac_mst!$J:$J),0)
   +IFERROR(XLOOKUP(REGEXEXTRACT($N10,""^[^｜]+""),ac_mst!$A:$A,ac_mst!$J:$J),0)
   +IFERROR(
    XLOOKUP(
     IF(
      OR(
       IFERROR(REGEXEXTRACT($M10,""^[^｜"&amp;"]+""),"""")="""",
       IFERROR(REGEXEXTRACT($N10,""^[^｜]+""),"""")=""""
      ),
      """",
      IF(
       IFERROR(REGEXEXTRACT($M10,""^[^｜]+""),"""")&lt;IFERROR(REGEXEXTRACT($N10,""^[^｜]+""),""""),
       IFERROR(REGEXEXTRACT($M10,""^[^｜]+""),"""")&amp;""_"&amp;"""&amp;IFERROR(REGEXEXTRACT($N10,""^[^｜]+""),""""),
       IFERROR(REGEXEXTRACT($N10,""^[^｜]+""),"""")&amp;""_""&amp;IFERROR(REGEXEXTRACT($M10,""^[^｜]+""),"""")
      )
     ),
     sy_mst!$A:$A,
     sy_mst!$G:$G
    ),
    0
   )
  )
  *
  IFERROR(XLOOKUP(REGEXEXTR"&amp;"ACT($I10,""^[^｜]+""),ms_mst!$A:$A,ms_mst!$O:$O),1)
  *
  IF(
   $B10&gt;=IFERROR(XLOOKUP(REGEXEXTRACT($L10,""^[^｜]+""),sk_mst!$A:$A,sk_mst!$M:$M),999),
   IFERROR(XLOOKUP(REGEXEXTRACT($L10,""^[^｜]+""),sk_mst!$A:$A,sk_mst!$I:$I),1),
   1
  )
 )
)"),0.0)</f>
        <v>0</v>
      </c>
      <c r="S10" s="25">
        <f>IFERROR(__xludf.DUMMYFUNCTION("IF($A10="""","""",
 IF($F10=""market"",
  IFERROR(XLOOKUP(REGEXEXTRACT($J10,""^[^｜]+""),tr_mst!$A:$A,tr_mst!$H:$H),0)
  +IFERROR(XLOOKUP(REGEXEXTRACT($K10,""^[^｜]+""),tc_mst!$A:$A,tc_mst!$H:$H),0),
  IF($B10=0,
   IFERROR(XLOOKUP(REGEXEXTRACT($I10,""^[^｜]"&amp;"+""),ms_mst!$A:$A,ms_mst!$H:$H),0),
   IFERROR(XLOOKUP(""T""&amp;($B10-1)&amp;""_""&amp;$D10,$A:$A,$S:$S),0)
  )
  +IFERROR(XLOOKUP(REGEXEXTRACT($J10,""^[^｜]+""),tr_mst!$A:$A,tr_mst!$H:$H),0)
  +IFERROR(XLOOKUP(REGEXEXTRACT($K10,""^[^｜]+""),tc_mst!$A:$A,tc_mst!$H:$H)"&amp;",0)
  +
  (
   IFERROR(XLOOKUP(REGEXEXTRACT($M10,""^[^｜]+""),ac_mst!$A:$A,ac_mst!$K:$K),0)
   +IFERROR(XLOOKUP(REGEXEXTRACT($N10,""^[^｜]+""),ac_mst!$A:$A,ac_mst!$K:$K),0)
   +IFERROR(
    XLOOKUP(
     IF(
      OR(
       IFERROR(REGEXEXTRACT($M10,""^[^｜"&amp;"]+""),"""")="""",
       IFERROR(REGEXEXTRACT($N10,""^[^｜]+""),"""")=""""
      ),
      """",
      IF(
       IFERROR(REGEXEXTRACT($M10,""^[^｜]+""),"""")&lt;IFERROR(REGEXEXTRACT($N10,""^[^｜]+""),""""),
       IFERROR(REGEXEXTRACT($M10,""^[^｜]+""),"""")&amp;""_"&amp;"""&amp;IFERROR(REGEXEXTRACT($N10,""^[^｜]+""),""""),
       IFERROR(REGEXEXTRACT($N10,""^[^｜]+""),"""")&amp;""_""&amp;IFERROR(REGEXEXTRACT($M10,""^[^｜]+""),"""")
      )
     ),
     sy_mst!$A:$A,
     sy_mst!$H:$H
    ),
    0
   )
  )
  *
  IFERROR(XLOOKUP(REGEXEXTR"&amp;"ACT($I10,""^[^｜]+""),ms_mst!$A:$A,ms_mst!$P:$P),1)
  *
  IF(
   $B10&gt;=IFERROR(XLOOKUP(REGEXEXTRACT($L10,""^[^｜]+""),sk_mst!$A:$A,sk_mst!$M:$M),999),
   IFERROR(XLOOKUP(REGEXEXTRACT($L10,""^[^｜]+""),sk_mst!$A:$A,sk_mst!$J:$J),1),
   1
  )
 )
)"),0.0)</f>
        <v>0</v>
      </c>
      <c r="T10" s="25">
        <f>IFERROR(__xludf.DUMMYFUNCTION("IF($A10="""","""",
 IF($F10=""market"",
  IFERROR(XLOOKUP(REGEXEXTRACT($J10,""^[^｜]+""),tr_mst!$A:$A,tr_mst!$I:$I),0)
  +IFERROR(XLOOKUP(REGEXEXTRACT($K10,""^[^｜]+""),tc_mst!$A:$A,tc_mst!$I:$I),0),
  IF($B10=0,
   IFERROR(XLOOKUP(REGEXEXTRACT($I10,""^[^｜]"&amp;"+""),ms_mst!$A:$A,ms_mst!$I:$I),0),
   IFERROR(XLOOKUP(""T""&amp;($B10-1)&amp;""_""&amp;$D10,$A:$A,$T:$T),0)
  )
  +IFERROR(XLOOKUP(REGEXEXTRACT($J10,""^[^｜]+""),tr_mst!$A:$A,tr_mst!$I:$I),0)
  +IFERROR(XLOOKUP(REGEXEXTRACT($K10,""^[^｜]+""),tc_mst!$A:$A,tc_mst!$I:$I)"&amp;",0)
  +
  (
   IFERROR(XLOOKUP(REGEXEXTRACT($M10,""^[^｜]+""),ac_mst!$A:$A,ac_mst!$L:$L),0)
   +IFERROR(XLOOKUP(REGEXEXTRACT($N10,""^[^｜]+""),ac_mst!$A:$A,ac_mst!$L:$L),0)
   +IFERROR(
    XLOOKUP(
     IF(
      OR(
       IFERROR(REGEXEXTRACT($M10,""^[^｜"&amp;"]+""),"""")="""",
       IFERROR(REGEXEXTRACT($N10,""^[^｜]+""),"""")=""""
      ),
      """",
      IF(
       IFERROR(REGEXEXTRACT($M10,""^[^｜]+""),"""")&lt;IFERROR(REGEXEXTRACT($N10,""^[^｜]+""),""""),
       IFERROR(REGEXEXTRACT($M10,""^[^｜]+""),"""")&amp;""_"&amp;"""&amp;IFERROR(REGEXEXTRACT($N10,""^[^｜]+""),""""),
       IFERROR(REGEXEXTRACT($N10,""^[^｜]+""),"""")&amp;""_""&amp;IFERROR(REGEXEXTRACT($M10,""^[^｜]+""),"""")
      )
     ),
     sy_mst!$A:$A,
     sy_mst!$I:$I
    ),
    0
   )
  )
  *
  IFERROR(XLOOKUP(REGEXEXTR"&amp;"ACT($I10,""^[^｜]+""),ms_mst!$A:$A,ms_mst!$Q:$Q),1)
  *
  IF(
   $B10&gt;=IFERROR(XLOOKUP(REGEXEXTRACT($L10,""^[^｜]+""),sk_mst!$A:$A,sk_mst!$M:$M),999),
   IFERROR(XLOOKUP(REGEXEXTRACT($L10,""^[^｜]+""),sk_mst!$A:$A,sk_mst!$K:$K),1),
   1
  )
 )
)"),0.0)</f>
        <v>0</v>
      </c>
      <c r="U10" s="25">
        <f>IFERROR(__xludf.DUMMYFUNCTION("IF($A10="""","""",
 IF($F10=""market"",
  IFERROR(XLOOKUP(REGEXEXTRACT($J10,""^[^｜]+""),tr_mst!$A:$A,tr_mst!$J:$J),0)
  +IFERROR(XLOOKUP(REGEXEXTRACT($K10,""^[^｜]+""),tc_mst!$A:$A,tc_mst!$J:$J),0),
  IF($B10=0,
   IFERROR(XLOOKUP(REGEXEXTRACT($I10,""^[^｜]"&amp;"+""),ms_mst!$A:$A,ms_mst!$J:$J),0),
   IFERROR(XLOOKUP(""T""&amp;($B10-1)&amp;""_""&amp;$D10,$A:$A,$U:$U),0)
  )
  +IFERROR(XLOOKUP(REGEXEXTRACT($J10,""^[^｜]+""),tr_mst!$A:$A,tr_mst!$J:$J),0)
  +IFERROR(XLOOKUP(REGEXEXTRACT($K10,""^[^｜]+""),tc_mst!$A:$A,tc_mst!$J:$J)"&amp;",0)
  +
  (
   IFERROR(XLOOKUP(REGEXEXTRACT($M10,""^[^｜]+""),ac_mst!$A:$A,ac_mst!$M:$M),0)
   +IFERROR(XLOOKUP(REGEXEXTRACT($N10,""^[^｜]+""),ac_mst!$A:$A,ac_mst!$M:$M),0)
   +IFERROR(
    XLOOKUP(
     IF(
      OR(
       IFERROR(REGEXEXTRACT($M10,""^[^｜"&amp;"]+""),"""")="""",
       IFERROR(REGEXEXTRACT($N10,""^[^｜]+""),"""")=""""
      ),
      """",
      IF(
       IFERROR(REGEXEXTRACT($M10,""^[^｜]+""),"""")&lt;IFERROR(REGEXEXTRACT($N10,""^[^｜]+""),""""),
       IFERROR(REGEXEXTRACT($M10,""^[^｜]+""),"""")&amp;""_"&amp;"""&amp;IFERROR(REGEXEXTRACT($N10,""^[^｜]+""),""""),
       IFERROR(REGEXEXTRACT($N10,""^[^｜]+""),"""")&amp;""_""&amp;IFERROR(REGEXEXTRACT($M10,""^[^｜]+""),"""")
      )
     ),
     sy_mst!$A:$A,
     sy_mst!$J:$J
    ),
    0
   )
  )
  *
  IFERROR(XLOOKUP(REGEXEXTR"&amp;"ACT($I10,""^[^｜]+""),ms_mst!$A:$A,ms_mst!$R:$R),1)
  *
  IF(
   $B10&gt;=IFERROR(XLOOKUP(REGEXEXTRACT($L10,""^[^｜]+""),sk_mst!$A:$A,sk_mst!$M:$M),999),
   IFERROR(XLOOKUP(REGEXEXTRACT($L10,""^[^｜]+""),sk_mst!$A:$A,sk_mst!$L:$L),1),
   1
  )
 )
)"),0.0)</f>
        <v>0</v>
      </c>
      <c r="V10" s="25">
        <f t="shared" si="1"/>
        <v>0</v>
      </c>
      <c r="W10" s="25">
        <f t="shared" si="2"/>
        <v>0</v>
      </c>
      <c r="X10" s="25">
        <f t="shared" si="3"/>
        <v>0</v>
      </c>
      <c r="Y10" s="25" t="str">
        <f t="shared" si="4"/>
        <v/>
      </c>
      <c r="Z10" s="25">
        <f>IFERROR(__xludf.DUMMYFUNCTION("IF($A10="""","""",
 IF($F10&lt;&gt;""player"","""",
  IFERROR(
   RANK(
    $X10,
    FILTER($X:$X,$B:$B=$B10,$F:$F=""player"",$X:$X&lt;&gt;""""),
    0
   ),
   """"
  )
 )
)"),7.0)</f>
        <v>7</v>
      </c>
      <c r="AA10" s="25" t="str">
        <f t="shared" si="5"/>
        <v>7位</v>
      </c>
      <c r="AB10" s="26">
        <f t="shared" si="6"/>
        <v>0</v>
      </c>
    </row>
    <row r="11">
      <c r="A11" s="14" t="s">
        <v>176</v>
      </c>
      <c r="B11" s="25">
        <v>0.0</v>
      </c>
      <c r="C11" s="14" t="s">
        <v>177</v>
      </c>
      <c r="D11" s="14" t="s">
        <v>178</v>
      </c>
      <c r="E11" s="25" t="s">
        <v>153</v>
      </c>
      <c r="F11" s="25" t="s">
        <v>154</v>
      </c>
      <c r="G11" s="25" t="str">
        <f>IFERROR(__xludf.DUMMYFUNCTION("IF($F11=""market"","""",IFERROR(FILTER(member_log!$B$10:$B947,member_log!$C$10:$C947=$C11,member_log!$D$10:$D947=$E11,member_log!$G$10:$G947=""active""),""""))"),"")</f>
        <v/>
      </c>
      <c r="H11" s="25" t="str">
        <f>IFERROR(__xludf.DUMMYFUNCTION("IF($F11=""market"","""",IFERROR(FILTER(member_log!$E$10:$E947,member_log!$C$10:$C947=$C11,member_log!$D$10:$D947=$E11,member_log!$G$10:$G947=""active""),""""))"),"")</f>
        <v/>
      </c>
      <c r="I11" s="25" t="str">
        <f>IFERROR(__xludf.DUMMYFUNCTION("IF($F11&lt;&gt;""player"","""",IFERROR(INDEX(FILTER(group_setup!$D$2:$D947,group_setup!$B$2:$B947=$C11,group_setup!$G$2:$G947=TRUE,group_setup!$H$2:$H947=""completed""),1),""""))"),"")</f>
        <v/>
      </c>
      <c r="J11" s="25" t="str">
        <f>IFERROR(__xludf.DUMMYFUNCTION("IFERROR(FILTER(market_event_log!$D$2:$D947,market_event_log!$C$2:$C947=$B11,market_event_log!$N$2:$N947=""active""),"""")"),"")</f>
        <v/>
      </c>
      <c r="K11" s="25" t="str">
        <f>IFERROR(__xludf.DUMMYFUNCTION("IFERROR(FILTER(market_event_log!$G$2:$G947,market_event_log!$C$2:$C947=$B11,market_event_log!$N$2:$N947=""active""),"""")"),"")</f>
        <v/>
      </c>
      <c r="L11" s="25" t="str">
        <f>IFERROR(__xludf.DUMMYFUNCTION("IF($F11&lt;&gt;""player"","""",IFERROR(INDEX(FILTER(group_setup!$E$2:$E947,group_setup!$B$2:$B947=$C11,group_setup!$G$2:$G947=TRUE,group_setup!$H$2:$H947=""completed""),1),""""))"),"")</f>
        <v/>
      </c>
      <c r="M11" s="25" t="str">
        <f>IFERROR(__xludf.DUMMYFUNCTION("IF($F11=""market"","""",IF($E11=""HUMAN"",IFERROR(FILTER(turn_log!$G$2:$G947,turn_log!$C$2:$C947=$B11,turn_log!$D$2:$D947=$C11,turn_log!$F$2:$F947=$E11),""""),IFERROR(FILTER(turn_log!$I$2:$I947,turn_log!$C$2:$C947=$B11,turn_log!$D$2:$D947=$C11,turn_log!$F"&amp;"$2:$F947=$E11),"""")))"),"")</f>
        <v/>
      </c>
      <c r="N11" s="25" t="str">
        <f>IFERROR(__xludf.DUMMYFUNCTION("IF($F11=""market"","""",IF($E11=""HUMAN"",IFERROR(FILTER(turn_log!$H$2:$H947,turn_log!$C$2:$C947=$B11,turn_log!$D$2:$D947=$C11,turn_log!$F$2:$F947=$E11),""""),IFERROR(FILTER(turn_log!$J$2:$J947,turn_log!$C$2:$C947=$B11,turn_log!$D$2:$D947=$C11,turn_log!$F"&amp;"$2:$F947=$E11),"""")))"),"")</f>
        <v/>
      </c>
      <c r="O11" s="25">
        <f>IFERROR(__xludf.DUMMYFUNCTION("IF($A11="""","""",
 IF($F11=""market"",
  IFERROR(XLOOKUP(REGEXEXTRACT($J11,""^[^｜]+""),tr_mst!$A:$A,tr_mst!$D:$D),0)
  +IFERROR(XLOOKUP(REGEXEXTRACT($K11,""^[^｜]+""),tc_mst!$A:$A,tc_mst!$D:$D),0),
  IF($B11=0,
   IFERROR(XLOOKUP(REGEXEXTRACT($I11,""^[^｜]"&amp;"+""),ms_mst!$A:$A,ms_mst!$D:$D),0),
   IFERROR(XLOOKUP(""T""&amp;($B11-1)&amp;""_""&amp;$D11,$A:$A,$O:$O),0)
  )
  +IFERROR(XLOOKUP(REGEXEXTRACT($J11,""^[^｜]+""),tr_mst!$A:$A,tr_mst!$D:$D),0)
  +IFERROR(XLOOKUP(REGEXEXTRACT($K11,""^[^｜]+""),tc_mst!$A:$A,tc_mst!$D:$D)"&amp;",0)
  +
  (
   IFERROR(XLOOKUP(REGEXEXTRACT($M11,""^[^｜]+""),ac_mst!$A:$A,ac_mst!$G:$G),0)
   +IFERROR(XLOOKUP(REGEXEXTRACT($N11,""^[^｜]+""),ac_mst!$A:$A,ac_mst!$G:$G),0)
   +IFERROR(
    XLOOKUP(
     IF(
      OR(
       IFERROR(REGEXEXTRACT($M11,""^[^｜"&amp;"]+""),"""")="""",
       IFERROR(REGEXEXTRACT($N11,""^[^｜]+""),"""")=""""
      ),
      """",
      IF(
       IFERROR(REGEXEXTRACT($M11,""^[^｜]+""),"""")&lt;IFERROR(REGEXEXTRACT($N11,""^[^｜]+""),""""),
       IFERROR(REGEXEXTRACT($M11,""^[^｜]+""),"""")&amp;""_"&amp;"""&amp;IFERROR(REGEXEXTRACT($N11,""^[^｜]+""),""""),
       IFERROR(REGEXEXTRACT($N11,""^[^｜]+""),"""")&amp;""_""&amp;IFERROR(REGEXEXTRACT($M11,""^[^｜]+""),"""")
      )
     ),
     sy_mst!$A:$A,
     sy_mst!$D:$D
    ),
    0
   )
  )
  *
  IFERROR(XLOOKUP(REGEXEXTR"&amp;"ACT($I11,""^[^｜]+""),ms_mst!$A:$A,ms_mst!$L:$L),1)
  *
  IF(
   $B11&gt;=IFERROR(XLOOKUP(REGEXEXTRACT($L11,""^[^｜]+""),sk_mst!$A:$A,sk_mst!$M:$M),999),
   IFERROR(XLOOKUP(REGEXEXTRACT($L11,""^[^｜]+""),sk_mst!$A:$A,sk_mst!$F:$F),1),
   1
  )
 )
)"),0.0)</f>
        <v>0</v>
      </c>
      <c r="P11" s="25">
        <f>IFERROR(__xludf.DUMMYFUNCTION("IF($A11="""","""",
 IF($F11=""market"",
  IFERROR(XLOOKUP(REGEXEXTRACT($J11,""^[^｜]+""),tr_mst!$A:$A,tr_mst!$E:$E),0)
  +IFERROR(XLOOKUP(REGEXEXTRACT($K11,""^[^｜]+""),tc_mst!$A:$A,tc_mst!$E:$E),0),
  IF($B11=0,
   IFERROR(XLOOKUP(REGEXEXTRACT($I11,""^[^｜]"&amp;"+""),ms_mst!$A:$A,ms_mst!$E:$E),0),
   IFERROR(XLOOKUP(""T""&amp;($B11-1)&amp;""_""&amp;$D11,$A:$A,$P:$P),0)
  )
  +IFERROR(XLOOKUP(REGEXEXTRACT($J11,""^[^｜]+""),tr_mst!$A:$A,tr_mst!$E:$E),0)
  +IFERROR(XLOOKUP(REGEXEXTRACT($K11,""^[^｜]+""),tc_mst!$A:$A,tc_mst!$E:$E)"&amp;",0)
  +
  (
   IFERROR(XLOOKUP(REGEXEXTRACT($M11,""^[^｜]+""),ac_mst!$A:$A,ac_mst!$H:$H),0)
   +IFERROR(XLOOKUP(REGEXEXTRACT($N11,""^[^｜]+""),ac_mst!$A:$A,ac_mst!$H:$H),0)
   +IFERROR(
    XLOOKUP(
     IF(
      OR(
       IFERROR(REGEXEXTRACT($M11,""^[^｜"&amp;"]+""),"""")="""",
       IFERROR(REGEXEXTRACT($N11,""^[^｜]+""),"""")=""""
      ),
      """",
      IF(
       IFERROR(REGEXEXTRACT($M11,""^[^｜]+""),"""")&lt;IFERROR(REGEXEXTRACT($N11,""^[^｜]+""),""""),
       IFERROR(REGEXEXTRACT($M11,""^[^｜]+""),"""")&amp;""_"&amp;"""&amp;IFERROR(REGEXEXTRACT($N11,""^[^｜]+""),""""),
       IFERROR(REGEXEXTRACT($N11,""^[^｜]+""),"""")&amp;""_""&amp;IFERROR(REGEXEXTRACT($M11,""^[^｜]+""),"""")
      )
     ),
     sy_mst!$A:$A,
     sy_mst!$E:$E
    ),
    0
   )
  )
  *
  IFERROR(XLOOKUP(REGEXEXTR"&amp;"ACT($I11,""^[^｜]+""),ms_mst!$A:$A,ms_mst!$M:$M),1)
  *
  IF(
   $B11&gt;=IFERROR(XLOOKUP(REGEXEXTRACT($L11,""^[^｜]+""),sk_mst!$A:$A,sk_mst!$M:$M),999),
   IFERROR(XLOOKUP(REGEXEXTRACT($L11,""^[^｜]+""),sk_mst!$A:$A,sk_mst!$G:$G),1),
   1
  )
 )
)"),0.0)</f>
        <v>0</v>
      </c>
      <c r="Q11" s="25">
        <f>IFERROR(__xludf.DUMMYFUNCTION("IF($A11="""","""",
 IF($F11=""market"",
  IFERROR(XLOOKUP(REGEXEXTRACT($J11,""^[^｜]+""),tr_mst!$A:$A,tr_mst!$F:$F),0)
  +IFERROR(XLOOKUP(REGEXEXTRACT($K11,""^[^｜]+""),tc_mst!$A:$A,tc_mst!$F:$F),0),
  IF($B11=0,
   IFERROR(XLOOKUP(REGEXEXTRACT($I11,""^[^｜]"&amp;"+""),ms_mst!$A:$A,ms_mst!$F:$F),0),
   IFERROR(XLOOKUP(""T""&amp;($B11-1)&amp;""_""&amp;$D11,$A:$A,$Q:$Q),0)
  )
  +IFERROR(XLOOKUP(REGEXEXTRACT($J11,""^[^｜]+""),tr_mst!$A:$A,tr_mst!$F:$F),0)
  +IFERROR(XLOOKUP(REGEXEXTRACT($K11,""^[^｜]+""),tc_mst!$A:$A,tc_mst!$F:$F)"&amp;",0)
  +
  (
   IFERROR(XLOOKUP(REGEXEXTRACT($M11,""^[^｜]+""),ac_mst!$A:$A,ac_mst!$I:$I),0)
   +IFERROR(XLOOKUP(REGEXEXTRACT($N11,""^[^｜]+""),ac_mst!$A:$A,ac_mst!$I:$I),0)
   +IFERROR(
    XLOOKUP(
     IF(
      OR(
       IFERROR(REGEXEXTRACT($M11,""^[^｜"&amp;"]+""),"""")="""",
       IFERROR(REGEXEXTRACT($N11,""^[^｜]+""),"""")=""""
      ),
      """",
      IF(
       IFERROR(REGEXEXTRACT($M11,""^[^｜]+""),"""")&lt;IFERROR(REGEXEXTRACT($N11,""^[^｜]+""),""""),
       IFERROR(REGEXEXTRACT($M11,""^[^｜]+""),"""")&amp;""_"&amp;"""&amp;IFERROR(REGEXEXTRACT($N11,""^[^｜]+""),""""),
       IFERROR(REGEXEXTRACT($N11,""^[^｜]+""),"""")&amp;""_""&amp;IFERROR(REGEXEXTRACT($M11,""^[^｜]+""),"""")
      )
     ),
     sy_mst!$A:$A,
     sy_mst!$F:$F
    ),
    0
   )
  )
  *
  IFERROR(XLOOKUP(REGEXEXTR"&amp;"ACT($I11,""^[^｜]+""),ms_mst!$A:$A,ms_mst!$N:$N),1)
  *
  IF(
   $B11&gt;=IFERROR(XLOOKUP(REGEXEXTRACT($L11,""^[^｜]+""),sk_mst!$A:$A,sk_mst!$M:$M),999),
   IFERROR(XLOOKUP(REGEXEXTRACT($L11,""^[^｜]+""),sk_mst!$A:$A,sk_mst!$H:$H),1),
   1
  )
 )
)"),0.0)</f>
        <v>0</v>
      </c>
      <c r="R11" s="25">
        <f>IFERROR(__xludf.DUMMYFUNCTION("IF($A11="""","""",
 IF($F11=""market"",
  IFERROR(XLOOKUP(REGEXEXTRACT($J11,""^[^｜]+""),tr_mst!$A:$A,tr_mst!$G:$G),0)
  +IFERROR(XLOOKUP(REGEXEXTRACT($K11,""^[^｜]+""),tc_mst!$A:$A,tc_mst!$G:$G),0),
  IF($B11=0,
   IFERROR(XLOOKUP(REGEXEXTRACT($I11,""^[^｜]"&amp;"+""),ms_mst!$A:$A,ms_mst!$G:$G),0),
   IFERROR(XLOOKUP(""T""&amp;($B11-1)&amp;""_""&amp;$D11,$A:$A,$R:$R),0)
  )
  +IFERROR(XLOOKUP(REGEXEXTRACT($J11,""^[^｜]+""),tr_mst!$A:$A,tr_mst!$G:$G),0)
  +IFERROR(XLOOKUP(REGEXEXTRACT($K11,""^[^｜]+""),tc_mst!$A:$A,tc_mst!$G:$G)"&amp;",0)
  +
  (
   IFERROR(XLOOKUP(REGEXEXTRACT($M11,""^[^｜]+""),ac_mst!$A:$A,ac_mst!$J:$J),0)
   +IFERROR(XLOOKUP(REGEXEXTRACT($N11,""^[^｜]+""),ac_mst!$A:$A,ac_mst!$J:$J),0)
   +IFERROR(
    XLOOKUP(
     IF(
      OR(
       IFERROR(REGEXEXTRACT($M11,""^[^｜"&amp;"]+""),"""")="""",
       IFERROR(REGEXEXTRACT($N11,""^[^｜]+""),"""")=""""
      ),
      """",
      IF(
       IFERROR(REGEXEXTRACT($M11,""^[^｜]+""),"""")&lt;IFERROR(REGEXEXTRACT($N11,""^[^｜]+""),""""),
       IFERROR(REGEXEXTRACT($M11,""^[^｜]+""),"""")&amp;""_"&amp;"""&amp;IFERROR(REGEXEXTRACT($N11,""^[^｜]+""),""""),
       IFERROR(REGEXEXTRACT($N11,""^[^｜]+""),"""")&amp;""_""&amp;IFERROR(REGEXEXTRACT($M11,""^[^｜]+""),"""")
      )
     ),
     sy_mst!$A:$A,
     sy_mst!$G:$G
    ),
    0
   )
  )
  *
  IFERROR(XLOOKUP(REGEXEXTR"&amp;"ACT($I11,""^[^｜]+""),ms_mst!$A:$A,ms_mst!$O:$O),1)
  *
  IF(
   $B11&gt;=IFERROR(XLOOKUP(REGEXEXTRACT($L11,""^[^｜]+""),sk_mst!$A:$A,sk_mst!$M:$M),999),
   IFERROR(XLOOKUP(REGEXEXTRACT($L11,""^[^｜]+""),sk_mst!$A:$A,sk_mst!$I:$I),1),
   1
  )
 )
)"),0.0)</f>
        <v>0</v>
      </c>
      <c r="S11" s="25">
        <f>IFERROR(__xludf.DUMMYFUNCTION("IF($A11="""","""",
 IF($F11=""market"",
  IFERROR(XLOOKUP(REGEXEXTRACT($J11,""^[^｜]+""),tr_mst!$A:$A,tr_mst!$H:$H),0)
  +IFERROR(XLOOKUP(REGEXEXTRACT($K11,""^[^｜]+""),tc_mst!$A:$A,tc_mst!$H:$H),0),
  IF($B11=0,
   IFERROR(XLOOKUP(REGEXEXTRACT($I11,""^[^｜]"&amp;"+""),ms_mst!$A:$A,ms_mst!$H:$H),0),
   IFERROR(XLOOKUP(""T""&amp;($B11-1)&amp;""_""&amp;$D11,$A:$A,$S:$S),0)
  )
  +IFERROR(XLOOKUP(REGEXEXTRACT($J11,""^[^｜]+""),tr_mst!$A:$A,tr_mst!$H:$H),0)
  +IFERROR(XLOOKUP(REGEXEXTRACT($K11,""^[^｜]+""),tc_mst!$A:$A,tc_mst!$H:$H)"&amp;",0)
  +
  (
   IFERROR(XLOOKUP(REGEXEXTRACT($M11,""^[^｜]+""),ac_mst!$A:$A,ac_mst!$K:$K),0)
   +IFERROR(XLOOKUP(REGEXEXTRACT($N11,""^[^｜]+""),ac_mst!$A:$A,ac_mst!$K:$K),0)
   +IFERROR(
    XLOOKUP(
     IF(
      OR(
       IFERROR(REGEXEXTRACT($M11,""^[^｜"&amp;"]+""),"""")="""",
       IFERROR(REGEXEXTRACT($N11,""^[^｜]+""),"""")=""""
      ),
      """",
      IF(
       IFERROR(REGEXEXTRACT($M11,""^[^｜]+""),"""")&lt;IFERROR(REGEXEXTRACT($N11,""^[^｜]+""),""""),
       IFERROR(REGEXEXTRACT($M11,""^[^｜]+""),"""")&amp;""_"&amp;"""&amp;IFERROR(REGEXEXTRACT($N11,""^[^｜]+""),""""),
       IFERROR(REGEXEXTRACT($N11,""^[^｜]+""),"""")&amp;""_""&amp;IFERROR(REGEXEXTRACT($M11,""^[^｜]+""),"""")
      )
     ),
     sy_mst!$A:$A,
     sy_mst!$H:$H
    ),
    0
   )
  )
  *
  IFERROR(XLOOKUP(REGEXEXTR"&amp;"ACT($I11,""^[^｜]+""),ms_mst!$A:$A,ms_mst!$P:$P),1)
  *
  IF(
   $B11&gt;=IFERROR(XLOOKUP(REGEXEXTRACT($L11,""^[^｜]+""),sk_mst!$A:$A,sk_mst!$M:$M),999),
   IFERROR(XLOOKUP(REGEXEXTRACT($L11,""^[^｜]+""),sk_mst!$A:$A,sk_mst!$J:$J),1),
   1
  )
 )
)"),0.0)</f>
        <v>0</v>
      </c>
      <c r="T11" s="25">
        <f>IFERROR(__xludf.DUMMYFUNCTION("IF($A11="""","""",
 IF($F11=""market"",
  IFERROR(XLOOKUP(REGEXEXTRACT($J11,""^[^｜]+""),tr_mst!$A:$A,tr_mst!$I:$I),0)
  +IFERROR(XLOOKUP(REGEXEXTRACT($K11,""^[^｜]+""),tc_mst!$A:$A,tc_mst!$I:$I),0),
  IF($B11=0,
   IFERROR(XLOOKUP(REGEXEXTRACT($I11,""^[^｜]"&amp;"+""),ms_mst!$A:$A,ms_mst!$I:$I),0),
   IFERROR(XLOOKUP(""T""&amp;($B11-1)&amp;""_""&amp;$D11,$A:$A,$T:$T),0)
  )
  +IFERROR(XLOOKUP(REGEXEXTRACT($J11,""^[^｜]+""),tr_mst!$A:$A,tr_mst!$I:$I),0)
  +IFERROR(XLOOKUP(REGEXEXTRACT($K11,""^[^｜]+""),tc_mst!$A:$A,tc_mst!$I:$I)"&amp;",0)
  +
  (
   IFERROR(XLOOKUP(REGEXEXTRACT($M11,""^[^｜]+""),ac_mst!$A:$A,ac_mst!$L:$L),0)
   +IFERROR(XLOOKUP(REGEXEXTRACT($N11,""^[^｜]+""),ac_mst!$A:$A,ac_mst!$L:$L),0)
   +IFERROR(
    XLOOKUP(
     IF(
      OR(
       IFERROR(REGEXEXTRACT($M11,""^[^｜"&amp;"]+""),"""")="""",
       IFERROR(REGEXEXTRACT($N11,""^[^｜]+""),"""")=""""
      ),
      """",
      IF(
       IFERROR(REGEXEXTRACT($M11,""^[^｜]+""),"""")&lt;IFERROR(REGEXEXTRACT($N11,""^[^｜]+""),""""),
       IFERROR(REGEXEXTRACT($M11,""^[^｜]+""),"""")&amp;""_"&amp;"""&amp;IFERROR(REGEXEXTRACT($N11,""^[^｜]+""),""""),
       IFERROR(REGEXEXTRACT($N11,""^[^｜]+""),"""")&amp;""_""&amp;IFERROR(REGEXEXTRACT($M11,""^[^｜]+""),"""")
      )
     ),
     sy_mst!$A:$A,
     sy_mst!$I:$I
    ),
    0
   )
  )
  *
  IFERROR(XLOOKUP(REGEXEXTR"&amp;"ACT($I11,""^[^｜]+""),ms_mst!$A:$A,ms_mst!$Q:$Q),1)
  *
  IF(
   $B11&gt;=IFERROR(XLOOKUP(REGEXEXTRACT($L11,""^[^｜]+""),sk_mst!$A:$A,sk_mst!$M:$M),999),
   IFERROR(XLOOKUP(REGEXEXTRACT($L11,""^[^｜]+""),sk_mst!$A:$A,sk_mst!$K:$K),1),
   1
  )
 )
)"),0.0)</f>
        <v>0</v>
      </c>
      <c r="U11" s="25">
        <f>IFERROR(__xludf.DUMMYFUNCTION("IF($A11="""","""",
 IF($F11=""market"",
  IFERROR(XLOOKUP(REGEXEXTRACT($J11,""^[^｜]+""),tr_mst!$A:$A,tr_mst!$J:$J),0)
  +IFERROR(XLOOKUP(REGEXEXTRACT($K11,""^[^｜]+""),tc_mst!$A:$A,tc_mst!$J:$J),0),
  IF($B11=0,
   IFERROR(XLOOKUP(REGEXEXTRACT($I11,""^[^｜]"&amp;"+""),ms_mst!$A:$A,ms_mst!$J:$J),0),
   IFERROR(XLOOKUP(""T""&amp;($B11-1)&amp;""_""&amp;$D11,$A:$A,$U:$U),0)
  )
  +IFERROR(XLOOKUP(REGEXEXTRACT($J11,""^[^｜]+""),tr_mst!$A:$A,tr_mst!$J:$J),0)
  +IFERROR(XLOOKUP(REGEXEXTRACT($K11,""^[^｜]+""),tc_mst!$A:$A,tc_mst!$J:$J)"&amp;",0)
  +
  (
   IFERROR(XLOOKUP(REGEXEXTRACT($M11,""^[^｜]+""),ac_mst!$A:$A,ac_mst!$M:$M),0)
   +IFERROR(XLOOKUP(REGEXEXTRACT($N11,""^[^｜]+""),ac_mst!$A:$A,ac_mst!$M:$M),0)
   +IFERROR(
    XLOOKUP(
     IF(
      OR(
       IFERROR(REGEXEXTRACT($M11,""^[^｜"&amp;"]+""),"""")="""",
       IFERROR(REGEXEXTRACT($N11,""^[^｜]+""),"""")=""""
      ),
      """",
      IF(
       IFERROR(REGEXEXTRACT($M11,""^[^｜]+""),"""")&lt;IFERROR(REGEXEXTRACT($N11,""^[^｜]+""),""""),
       IFERROR(REGEXEXTRACT($M11,""^[^｜]+""),"""")&amp;""_"&amp;"""&amp;IFERROR(REGEXEXTRACT($N11,""^[^｜]+""),""""),
       IFERROR(REGEXEXTRACT($N11,""^[^｜]+""),"""")&amp;""_""&amp;IFERROR(REGEXEXTRACT($M11,""^[^｜]+""),"""")
      )
     ),
     sy_mst!$A:$A,
     sy_mst!$J:$J
    ),
    0
   )
  )
  *
  IFERROR(XLOOKUP(REGEXEXTR"&amp;"ACT($I11,""^[^｜]+""),ms_mst!$A:$A,ms_mst!$R:$R),1)
  *
  IF(
   $B11&gt;=IFERROR(XLOOKUP(REGEXEXTRACT($L11,""^[^｜]+""),sk_mst!$A:$A,sk_mst!$M:$M),999),
   IFERROR(XLOOKUP(REGEXEXTRACT($L11,""^[^｜]+""),sk_mst!$A:$A,sk_mst!$L:$L),1),
   1
  )
 )
)"),0.0)</f>
        <v>0</v>
      </c>
      <c r="V11" s="25">
        <f t="shared" si="1"/>
        <v>0</v>
      </c>
      <c r="W11" s="25">
        <f t="shared" si="2"/>
        <v>0</v>
      </c>
      <c r="X11" s="25">
        <f t="shared" si="3"/>
        <v>0</v>
      </c>
      <c r="Y11" s="25" t="str">
        <f t="shared" si="4"/>
        <v/>
      </c>
      <c r="Z11" s="25">
        <f>IFERROR(__xludf.DUMMYFUNCTION("IF($A11="""","""",
 IF($F11&lt;&gt;""player"","""",
  IFERROR(
   RANK(
    $X11,
    FILTER($X:$X,$B:$B=$B11,$F:$F=""player"",$X:$X&lt;&gt;""""),
    0
   ),
   """"
  )
 )
)"),7.0)</f>
        <v>7</v>
      </c>
      <c r="AA11" s="25" t="str">
        <f t="shared" si="5"/>
        <v>7位</v>
      </c>
      <c r="AB11" s="26">
        <f t="shared" si="6"/>
        <v>0</v>
      </c>
    </row>
    <row r="12">
      <c r="A12" s="14" t="s">
        <v>179</v>
      </c>
      <c r="B12" s="25">
        <v>0.0</v>
      </c>
      <c r="C12" s="14" t="s">
        <v>180</v>
      </c>
      <c r="D12" s="14" t="s">
        <v>181</v>
      </c>
      <c r="E12" s="25" t="s">
        <v>153</v>
      </c>
      <c r="F12" s="25" t="s">
        <v>154</v>
      </c>
      <c r="G12" s="25" t="str">
        <f>IFERROR(__xludf.DUMMYFUNCTION("IF($F12=""market"","""",IFERROR(FILTER(member_log!$B$10:$B947,member_log!$C$10:$C947=$C12,member_log!$D$10:$D947=$E12,member_log!$G$10:$G947=""active""),""""))"),"")</f>
        <v/>
      </c>
      <c r="H12" s="25" t="str">
        <f>IFERROR(__xludf.DUMMYFUNCTION("IF($F12=""market"","""",IFERROR(FILTER(member_log!$E$10:$E947,member_log!$C$10:$C947=$C12,member_log!$D$10:$D947=$E12,member_log!$G$10:$G947=""active""),""""))"),"")</f>
        <v/>
      </c>
      <c r="I12" s="25" t="str">
        <f>IFERROR(__xludf.DUMMYFUNCTION("IF($F12&lt;&gt;""player"","""",IFERROR(INDEX(FILTER(group_setup!$D$2:$D947,group_setup!$B$2:$B947=$C12,group_setup!$G$2:$G947=TRUE,group_setup!$H$2:$H947=""completed""),1),""""))"),"")</f>
        <v/>
      </c>
      <c r="J12" s="25" t="str">
        <f>IFERROR(__xludf.DUMMYFUNCTION("IFERROR(FILTER(market_event_log!$D$2:$D947,market_event_log!$C$2:$C947=$B12,market_event_log!$N$2:$N947=""active""),"""")"),"")</f>
        <v/>
      </c>
      <c r="K12" s="25" t="str">
        <f>IFERROR(__xludf.DUMMYFUNCTION("IFERROR(FILTER(market_event_log!$G$2:$G947,market_event_log!$C$2:$C947=$B12,market_event_log!$N$2:$N947=""active""),"""")"),"")</f>
        <v/>
      </c>
      <c r="L12" s="25" t="str">
        <f>IFERROR(__xludf.DUMMYFUNCTION("IF($F12&lt;&gt;""player"","""",IFERROR(INDEX(FILTER(group_setup!$E$2:$E947,group_setup!$B$2:$B947=$C12,group_setup!$G$2:$G947=TRUE,group_setup!$H$2:$H947=""completed""),1),""""))"),"")</f>
        <v/>
      </c>
      <c r="M12" s="25" t="str">
        <f>IFERROR(__xludf.DUMMYFUNCTION("IF($F12=""market"","""",IF($E12=""HUMAN"",IFERROR(FILTER(turn_log!$G$2:$G947,turn_log!$C$2:$C947=$B12,turn_log!$D$2:$D947=$C12,turn_log!$F$2:$F947=$E12),""""),IFERROR(FILTER(turn_log!$I$2:$I947,turn_log!$C$2:$C947=$B12,turn_log!$D$2:$D947=$C12,turn_log!$F"&amp;"$2:$F947=$E12),"""")))"),"")</f>
        <v/>
      </c>
      <c r="N12" s="25" t="str">
        <f>IFERROR(__xludf.DUMMYFUNCTION("IF($F12=""market"","""",IF($E12=""HUMAN"",IFERROR(FILTER(turn_log!$H$2:$H947,turn_log!$C$2:$C947=$B12,turn_log!$D$2:$D947=$C12,turn_log!$F$2:$F947=$E12),""""),IFERROR(FILTER(turn_log!$J$2:$J947,turn_log!$C$2:$C947=$B12,turn_log!$D$2:$D947=$C12,turn_log!$F"&amp;"$2:$F947=$E12),"""")))"),"")</f>
        <v/>
      </c>
      <c r="O12" s="25">
        <f>IFERROR(__xludf.DUMMYFUNCTION("IF($A12="""","""",
 IF($F12=""market"",
  IFERROR(XLOOKUP(REGEXEXTRACT($J12,""^[^｜]+""),tr_mst!$A:$A,tr_mst!$D:$D),0)
  +IFERROR(XLOOKUP(REGEXEXTRACT($K12,""^[^｜]+""),tc_mst!$A:$A,tc_mst!$D:$D),0),
  IF($B12=0,
   IFERROR(XLOOKUP(REGEXEXTRACT($I12,""^[^｜]"&amp;"+""),ms_mst!$A:$A,ms_mst!$D:$D),0),
   IFERROR(XLOOKUP(""T""&amp;($B12-1)&amp;""_""&amp;$D12,$A:$A,$O:$O),0)
  )
  +IFERROR(XLOOKUP(REGEXEXTRACT($J12,""^[^｜]+""),tr_mst!$A:$A,tr_mst!$D:$D),0)
  +IFERROR(XLOOKUP(REGEXEXTRACT($K12,""^[^｜]+""),tc_mst!$A:$A,tc_mst!$D:$D)"&amp;",0)
  +
  (
   IFERROR(XLOOKUP(REGEXEXTRACT($M12,""^[^｜]+""),ac_mst!$A:$A,ac_mst!$G:$G),0)
   +IFERROR(XLOOKUP(REGEXEXTRACT($N12,""^[^｜]+""),ac_mst!$A:$A,ac_mst!$G:$G),0)
   +IFERROR(
    XLOOKUP(
     IF(
      OR(
       IFERROR(REGEXEXTRACT($M12,""^[^｜"&amp;"]+""),"""")="""",
       IFERROR(REGEXEXTRACT($N12,""^[^｜]+""),"""")=""""
      ),
      """",
      IF(
       IFERROR(REGEXEXTRACT($M12,""^[^｜]+""),"""")&lt;IFERROR(REGEXEXTRACT($N12,""^[^｜]+""),""""),
       IFERROR(REGEXEXTRACT($M12,""^[^｜]+""),"""")&amp;""_"&amp;"""&amp;IFERROR(REGEXEXTRACT($N12,""^[^｜]+""),""""),
       IFERROR(REGEXEXTRACT($N12,""^[^｜]+""),"""")&amp;""_""&amp;IFERROR(REGEXEXTRACT($M12,""^[^｜]+""),"""")
      )
     ),
     sy_mst!$A:$A,
     sy_mst!$D:$D
    ),
    0
   )
  )
  *
  IFERROR(XLOOKUP(REGEXEXTR"&amp;"ACT($I12,""^[^｜]+""),ms_mst!$A:$A,ms_mst!$L:$L),1)
  *
  IF(
   $B12&gt;=IFERROR(XLOOKUP(REGEXEXTRACT($L12,""^[^｜]+""),sk_mst!$A:$A,sk_mst!$M:$M),999),
   IFERROR(XLOOKUP(REGEXEXTRACT($L12,""^[^｜]+""),sk_mst!$A:$A,sk_mst!$F:$F),1),
   1
  )
 )
)"),0.0)</f>
        <v>0</v>
      </c>
      <c r="P12" s="25">
        <f>IFERROR(__xludf.DUMMYFUNCTION("IF($A12="""","""",
 IF($F12=""market"",
  IFERROR(XLOOKUP(REGEXEXTRACT($J12,""^[^｜]+""),tr_mst!$A:$A,tr_mst!$E:$E),0)
  +IFERROR(XLOOKUP(REGEXEXTRACT($K12,""^[^｜]+""),tc_mst!$A:$A,tc_mst!$E:$E),0),
  IF($B12=0,
   IFERROR(XLOOKUP(REGEXEXTRACT($I12,""^[^｜]"&amp;"+""),ms_mst!$A:$A,ms_mst!$E:$E),0),
   IFERROR(XLOOKUP(""T""&amp;($B12-1)&amp;""_""&amp;$D12,$A:$A,$P:$P),0)
  )
  +IFERROR(XLOOKUP(REGEXEXTRACT($J12,""^[^｜]+""),tr_mst!$A:$A,tr_mst!$E:$E),0)
  +IFERROR(XLOOKUP(REGEXEXTRACT($K12,""^[^｜]+""),tc_mst!$A:$A,tc_mst!$E:$E)"&amp;",0)
  +
  (
   IFERROR(XLOOKUP(REGEXEXTRACT($M12,""^[^｜]+""),ac_mst!$A:$A,ac_mst!$H:$H),0)
   +IFERROR(XLOOKUP(REGEXEXTRACT($N12,""^[^｜]+""),ac_mst!$A:$A,ac_mst!$H:$H),0)
   +IFERROR(
    XLOOKUP(
     IF(
      OR(
       IFERROR(REGEXEXTRACT($M12,""^[^｜"&amp;"]+""),"""")="""",
       IFERROR(REGEXEXTRACT($N12,""^[^｜]+""),"""")=""""
      ),
      """",
      IF(
       IFERROR(REGEXEXTRACT($M12,""^[^｜]+""),"""")&lt;IFERROR(REGEXEXTRACT($N12,""^[^｜]+""),""""),
       IFERROR(REGEXEXTRACT($M12,""^[^｜]+""),"""")&amp;""_"&amp;"""&amp;IFERROR(REGEXEXTRACT($N12,""^[^｜]+""),""""),
       IFERROR(REGEXEXTRACT($N12,""^[^｜]+""),"""")&amp;""_""&amp;IFERROR(REGEXEXTRACT($M12,""^[^｜]+""),"""")
      )
     ),
     sy_mst!$A:$A,
     sy_mst!$E:$E
    ),
    0
   )
  )
  *
  IFERROR(XLOOKUP(REGEXEXTR"&amp;"ACT($I12,""^[^｜]+""),ms_mst!$A:$A,ms_mst!$M:$M),1)
  *
  IF(
   $B12&gt;=IFERROR(XLOOKUP(REGEXEXTRACT($L12,""^[^｜]+""),sk_mst!$A:$A,sk_mst!$M:$M),999),
   IFERROR(XLOOKUP(REGEXEXTRACT($L12,""^[^｜]+""),sk_mst!$A:$A,sk_mst!$G:$G),1),
   1
  )
 )
)"),0.0)</f>
        <v>0</v>
      </c>
      <c r="Q12" s="25">
        <f>IFERROR(__xludf.DUMMYFUNCTION("IF($A12="""","""",
 IF($F12=""market"",
  IFERROR(XLOOKUP(REGEXEXTRACT($J12,""^[^｜]+""),tr_mst!$A:$A,tr_mst!$F:$F),0)
  +IFERROR(XLOOKUP(REGEXEXTRACT($K12,""^[^｜]+""),tc_mst!$A:$A,tc_mst!$F:$F),0),
  IF($B12=0,
   IFERROR(XLOOKUP(REGEXEXTRACT($I12,""^[^｜]"&amp;"+""),ms_mst!$A:$A,ms_mst!$F:$F),0),
   IFERROR(XLOOKUP(""T""&amp;($B12-1)&amp;""_""&amp;$D12,$A:$A,$Q:$Q),0)
  )
  +IFERROR(XLOOKUP(REGEXEXTRACT($J12,""^[^｜]+""),tr_mst!$A:$A,tr_mst!$F:$F),0)
  +IFERROR(XLOOKUP(REGEXEXTRACT($K12,""^[^｜]+""),tc_mst!$A:$A,tc_mst!$F:$F)"&amp;",0)
  +
  (
   IFERROR(XLOOKUP(REGEXEXTRACT($M12,""^[^｜]+""),ac_mst!$A:$A,ac_mst!$I:$I),0)
   +IFERROR(XLOOKUP(REGEXEXTRACT($N12,""^[^｜]+""),ac_mst!$A:$A,ac_mst!$I:$I),0)
   +IFERROR(
    XLOOKUP(
     IF(
      OR(
       IFERROR(REGEXEXTRACT($M12,""^[^｜"&amp;"]+""),"""")="""",
       IFERROR(REGEXEXTRACT($N12,""^[^｜]+""),"""")=""""
      ),
      """",
      IF(
       IFERROR(REGEXEXTRACT($M12,""^[^｜]+""),"""")&lt;IFERROR(REGEXEXTRACT($N12,""^[^｜]+""),""""),
       IFERROR(REGEXEXTRACT($M12,""^[^｜]+""),"""")&amp;""_"&amp;"""&amp;IFERROR(REGEXEXTRACT($N12,""^[^｜]+""),""""),
       IFERROR(REGEXEXTRACT($N12,""^[^｜]+""),"""")&amp;""_""&amp;IFERROR(REGEXEXTRACT($M12,""^[^｜]+""),"""")
      )
     ),
     sy_mst!$A:$A,
     sy_mst!$F:$F
    ),
    0
   )
  )
  *
  IFERROR(XLOOKUP(REGEXEXTR"&amp;"ACT($I12,""^[^｜]+""),ms_mst!$A:$A,ms_mst!$N:$N),1)
  *
  IF(
   $B12&gt;=IFERROR(XLOOKUP(REGEXEXTRACT($L12,""^[^｜]+""),sk_mst!$A:$A,sk_mst!$M:$M),999),
   IFERROR(XLOOKUP(REGEXEXTRACT($L12,""^[^｜]+""),sk_mst!$A:$A,sk_mst!$H:$H),1),
   1
  )
 )
)"),0.0)</f>
        <v>0</v>
      </c>
      <c r="R12" s="25">
        <f>IFERROR(__xludf.DUMMYFUNCTION("IF($A12="""","""",
 IF($F12=""market"",
  IFERROR(XLOOKUP(REGEXEXTRACT($J12,""^[^｜]+""),tr_mst!$A:$A,tr_mst!$G:$G),0)
  +IFERROR(XLOOKUP(REGEXEXTRACT($K12,""^[^｜]+""),tc_mst!$A:$A,tc_mst!$G:$G),0),
  IF($B12=0,
   IFERROR(XLOOKUP(REGEXEXTRACT($I12,""^[^｜]"&amp;"+""),ms_mst!$A:$A,ms_mst!$G:$G),0),
   IFERROR(XLOOKUP(""T""&amp;($B12-1)&amp;""_""&amp;$D12,$A:$A,$R:$R),0)
  )
  +IFERROR(XLOOKUP(REGEXEXTRACT($J12,""^[^｜]+""),tr_mst!$A:$A,tr_mst!$G:$G),0)
  +IFERROR(XLOOKUP(REGEXEXTRACT($K12,""^[^｜]+""),tc_mst!$A:$A,tc_mst!$G:$G)"&amp;",0)
  +
  (
   IFERROR(XLOOKUP(REGEXEXTRACT($M12,""^[^｜]+""),ac_mst!$A:$A,ac_mst!$J:$J),0)
   +IFERROR(XLOOKUP(REGEXEXTRACT($N12,""^[^｜]+""),ac_mst!$A:$A,ac_mst!$J:$J),0)
   +IFERROR(
    XLOOKUP(
     IF(
      OR(
       IFERROR(REGEXEXTRACT($M12,""^[^｜"&amp;"]+""),"""")="""",
       IFERROR(REGEXEXTRACT($N12,""^[^｜]+""),"""")=""""
      ),
      """",
      IF(
       IFERROR(REGEXEXTRACT($M12,""^[^｜]+""),"""")&lt;IFERROR(REGEXEXTRACT($N12,""^[^｜]+""),""""),
       IFERROR(REGEXEXTRACT($M12,""^[^｜]+""),"""")&amp;""_"&amp;"""&amp;IFERROR(REGEXEXTRACT($N12,""^[^｜]+""),""""),
       IFERROR(REGEXEXTRACT($N12,""^[^｜]+""),"""")&amp;""_""&amp;IFERROR(REGEXEXTRACT($M12,""^[^｜]+""),"""")
      )
     ),
     sy_mst!$A:$A,
     sy_mst!$G:$G
    ),
    0
   )
  )
  *
  IFERROR(XLOOKUP(REGEXEXTR"&amp;"ACT($I12,""^[^｜]+""),ms_mst!$A:$A,ms_mst!$O:$O),1)
  *
  IF(
   $B12&gt;=IFERROR(XLOOKUP(REGEXEXTRACT($L12,""^[^｜]+""),sk_mst!$A:$A,sk_mst!$M:$M),999),
   IFERROR(XLOOKUP(REGEXEXTRACT($L12,""^[^｜]+""),sk_mst!$A:$A,sk_mst!$I:$I),1),
   1
  )
 )
)"),0.0)</f>
        <v>0</v>
      </c>
      <c r="S12" s="25">
        <f>IFERROR(__xludf.DUMMYFUNCTION("IF($A12="""","""",
 IF($F12=""market"",
  IFERROR(XLOOKUP(REGEXEXTRACT($J12,""^[^｜]+""),tr_mst!$A:$A,tr_mst!$H:$H),0)
  +IFERROR(XLOOKUP(REGEXEXTRACT($K12,""^[^｜]+""),tc_mst!$A:$A,tc_mst!$H:$H),0),
  IF($B12=0,
   IFERROR(XLOOKUP(REGEXEXTRACT($I12,""^[^｜]"&amp;"+""),ms_mst!$A:$A,ms_mst!$H:$H),0),
   IFERROR(XLOOKUP(""T""&amp;($B12-1)&amp;""_""&amp;$D12,$A:$A,$S:$S),0)
  )
  +IFERROR(XLOOKUP(REGEXEXTRACT($J12,""^[^｜]+""),tr_mst!$A:$A,tr_mst!$H:$H),0)
  +IFERROR(XLOOKUP(REGEXEXTRACT($K12,""^[^｜]+""),tc_mst!$A:$A,tc_mst!$H:$H)"&amp;",0)
  +
  (
   IFERROR(XLOOKUP(REGEXEXTRACT($M12,""^[^｜]+""),ac_mst!$A:$A,ac_mst!$K:$K),0)
   +IFERROR(XLOOKUP(REGEXEXTRACT($N12,""^[^｜]+""),ac_mst!$A:$A,ac_mst!$K:$K),0)
   +IFERROR(
    XLOOKUP(
     IF(
      OR(
       IFERROR(REGEXEXTRACT($M12,""^[^｜"&amp;"]+""),"""")="""",
       IFERROR(REGEXEXTRACT($N12,""^[^｜]+""),"""")=""""
      ),
      """",
      IF(
       IFERROR(REGEXEXTRACT($M12,""^[^｜]+""),"""")&lt;IFERROR(REGEXEXTRACT($N12,""^[^｜]+""),""""),
       IFERROR(REGEXEXTRACT($M12,""^[^｜]+""),"""")&amp;""_"&amp;"""&amp;IFERROR(REGEXEXTRACT($N12,""^[^｜]+""),""""),
       IFERROR(REGEXEXTRACT($N12,""^[^｜]+""),"""")&amp;""_""&amp;IFERROR(REGEXEXTRACT($M12,""^[^｜]+""),"""")
      )
     ),
     sy_mst!$A:$A,
     sy_mst!$H:$H
    ),
    0
   )
  )
  *
  IFERROR(XLOOKUP(REGEXEXTR"&amp;"ACT($I12,""^[^｜]+""),ms_mst!$A:$A,ms_mst!$P:$P),1)
  *
  IF(
   $B12&gt;=IFERROR(XLOOKUP(REGEXEXTRACT($L12,""^[^｜]+""),sk_mst!$A:$A,sk_mst!$M:$M),999),
   IFERROR(XLOOKUP(REGEXEXTRACT($L12,""^[^｜]+""),sk_mst!$A:$A,sk_mst!$J:$J),1),
   1
  )
 )
)"),0.0)</f>
        <v>0</v>
      </c>
      <c r="T12" s="25">
        <f>IFERROR(__xludf.DUMMYFUNCTION("IF($A12="""","""",
 IF($F12=""market"",
  IFERROR(XLOOKUP(REGEXEXTRACT($J12,""^[^｜]+""),tr_mst!$A:$A,tr_mst!$I:$I),0)
  +IFERROR(XLOOKUP(REGEXEXTRACT($K12,""^[^｜]+""),tc_mst!$A:$A,tc_mst!$I:$I),0),
  IF($B12=0,
   IFERROR(XLOOKUP(REGEXEXTRACT($I12,""^[^｜]"&amp;"+""),ms_mst!$A:$A,ms_mst!$I:$I),0),
   IFERROR(XLOOKUP(""T""&amp;($B12-1)&amp;""_""&amp;$D12,$A:$A,$T:$T),0)
  )
  +IFERROR(XLOOKUP(REGEXEXTRACT($J12,""^[^｜]+""),tr_mst!$A:$A,tr_mst!$I:$I),0)
  +IFERROR(XLOOKUP(REGEXEXTRACT($K12,""^[^｜]+""),tc_mst!$A:$A,tc_mst!$I:$I)"&amp;",0)
  +
  (
   IFERROR(XLOOKUP(REGEXEXTRACT($M12,""^[^｜]+""),ac_mst!$A:$A,ac_mst!$L:$L),0)
   +IFERROR(XLOOKUP(REGEXEXTRACT($N12,""^[^｜]+""),ac_mst!$A:$A,ac_mst!$L:$L),0)
   +IFERROR(
    XLOOKUP(
     IF(
      OR(
       IFERROR(REGEXEXTRACT($M12,""^[^｜"&amp;"]+""),"""")="""",
       IFERROR(REGEXEXTRACT($N12,""^[^｜]+""),"""")=""""
      ),
      """",
      IF(
       IFERROR(REGEXEXTRACT($M12,""^[^｜]+""),"""")&lt;IFERROR(REGEXEXTRACT($N12,""^[^｜]+""),""""),
       IFERROR(REGEXEXTRACT($M12,""^[^｜]+""),"""")&amp;""_"&amp;"""&amp;IFERROR(REGEXEXTRACT($N12,""^[^｜]+""),""""),
       IFERROR(REGEXEXTRACT($N12,""^[^｜]+""),"""")&amp;""_""&amp;IFERROR(REGEXEXTRACT($M12,""^[^｜]+""),"""")
      )
     ),
     sy_mst!$A:$A,
     sy_mst!$I:$I
    ),
    0
   )
  )
  *
  IFERROR(XLOOKUP(REGEXEXTR"&amp;"ACT($I12,""^[^｜]+""),ms_mst!$A:$A,ms_mst!$Q:$Q),1)
  *
  IF(
   $B12&gt;=IFERROR(XLOOKUP(REGEXEXTRACT($L12,""^[^｜]+""),sk_mst!$A:$A,sk_mst!$M:$M),999),
   IFERROR(XLOOKUP(REGEXEXTRACT($L12,""^[^｜]+""),sk_mst!$A:$A,sk_mst!$K:$K),1),
   1
  )
 )
)"),0.0)</f>
        <v>0</v>
      </c>
      <c r="U12" s="25">
        <f>IFERROR(__xludf.DUMMYFUNCTION("IF($A12="""","""",
 IF($F12=""market"",
  IFERROR(XLOOKUP(REGEXEXTRACT($J12,""^[^｜]+""),tr_mst!$A:$A,tr_mst!$J:$J),0)
  +IFERROR(XLOOKUP(REGEXEXTRACT($K12,""^[^｜]+""),tc_mst!$A:$A,tc_mst!$J:$J),0),
  IF($B12=0,
   IFERROR(XLOOKUP(REGEXEXTRACT($I12,""^[^｜]"&amp;"+""),ms_mst!$A:$A,ms_mst!$J:$J),0),
   IFERROR(XLOOKUP(""T""&amp;($B12-1)&amp;""_""&amp;$D12,$A:$A,$U:$U),0)
  )
  +IFERROR(XLOOKUP(REGEXEXTRACT($J12,""^[^｜]+""),tr_mst!$A:$A,tr_mst!$J:$J),0)
  +IFERROR(XLOOKUP(REGEXEXTRACT($K12,""^[^｜]+""),tc_mst!$A:$A,tc_mst!$J:$J)"&amp;",0)
  +
  (
   IFERROR(XLOOKUP(REGEXEXTRACT($M12,""^[^｜]+""),ac_mst!$A:$A,ac_mst!$M:$M),0)
   +IFERROR(XLOOKUP(REGEXEXTRACT($N12,""^[^｜]+""),ac_mst!$A:$A,ac_mst!$M:$M),0)
   +IFERROR(
    XLOOKUP(
     IF(
      OR(
       IFERROR(REGEXEXTRACT($M12,""^[^｜"&amp;"]+""),"""")="""",
       IFERROR(REGEXEXTRACT($N12,""^[^｜]+""),"""")=""""
      ),
      """",
      IF(
       IFERROR(REGEXEXTRACT($M12,""^[^｜]+""),"""")&lt;IFERROR(REGEXEXTRACT($N12,""^[^｜]+""),""""),
       IFERROR(REGEXEXTRACT($M12,""^[^｜]+""),"""")&amp;""_"&amp;"""&amp;IFERROR(REGEXEXTRACT($N12,""^[^｜]+""),""""),
       IFERROR(REGEXEXTRACT($N12,""^[^｜]+""),"""")&amp;""_""&amp;IFERROR(REGEXEXTRACT($M12,""^[^｜]+""),"""")
      )
     ),
     sy_mst!$A:$A,
     sy_mst!$J:$J
    ),
    0
   )
  )
  *
  IFERROR(XLOOKUP(REGEXEXTR"&amp;"ACT($I12,""^[^｜]+""),ms_mst!$A:$A,ms_mst!$R:$R),1)
  *
  IF(
   $B12&gt;=IFERROR(XLOOKUP(REGEXEXTRACT($L12,""^[^｜]+""),sk_mst!$A:$A,sk_mst!$M:$M),999),
   IFERROR(XLOOKUP(REGEXEXTRACT($L12,""^[^｜]+""),sk_mst!$A:$A,sk_mst!$L:$L),1),
   1
  )
 )
)"),0.0)</f>
        <v>0</v>
      </c>
      <c r="V12" s="25">
        <f t="shared" si="1"/>
        <v>0</v>
      </c>
      <c r="W12" s="25">
        <f t="shared" si="2"/>
        <v>0</v>
      </c>
      <c r="X12" s="25">
        <f t="shared" si="3"/>
        <v>0</v>
      </c>
      <c r="Y12" s="25" t="str">
        <f t="shared" si="4"/>
        <v/>
      </c>
      <c r="Z12" s="25">
        <f>IFERROR(__xludf.DUMMYFUNCTION("IF($A12="""","""",
 IF($F12&lt;&gt;""player"","""",
  IFERROR(
   RANK(
    $X12,
    FILTER($X:$X,$B:$B=$B12,$F:$F=""player"",$X:$X&lt;&gt;""""),
    0
   ),
   """"
  )
 )
)"),7.0)</f>
        <v>7</v>
      </c>
      <c r="AA12" s="25" t="str">
        <f t="shared" si="5"/>
        <v>7位</v>
      </c>
      <c r="AB12" s="26">
        <f t="shared" si="6"/>
        <v>0</v>
      </c>
    </row>
    <row r="13">
      <c r="A13" s="14" t="s">
        <v>182</v>
      </c>
      <c r="B13" s="25">
        <v>0.0</v>
      </c>
      <c r="C13" s="14" t="s">
        <v>183</v>
      </c>
      <c r="D13" s="14" t="s">
        <v>184</v>
      </c>
      <c r="E13" s="25" t="s">
        <v>153</v>
      </c>
      <c r="F13" s="25" t="s">
        <v>154</v>
      </c>
      <c r="G13" s="25" t="str">
        <f>IFERROR(__xludf.DUMMYFUNCTION("IF($F13=""market"","""",IFERROR(FILTER(member_log!$B$10:$B947,member_log!$C$10:$C947=$C13,member_log!$D$10:$D947=$E13,member_log!$G$10:$G947=""active""),""""))"),"")</f>
        <v/>
      </c>
      <c r="H13" s="25" t="str">
        <f>IFERROR(__xludf.DUMMYFUNCTION("IF($F13=""market"","""",IFERROR(FILTER(member_log!$E$10:$E947,member_log!$C$10:$C947=$C13,member_log!$D$10:$D947=$E13,member_log!$G$10:$G947=""active""),""""))"),"")</f>
        <v/>
      </c>
      <c r="I13" s="25" t="str">
        <f>IFERROR(__xludf.DUMMYFUNCTION("IF($F13&lt;&gt;""player"","""",IFERROR(INDEX(FILTER(group_setup!$D$2:$D947,group_setup!$B$2:$B947=$C13,group_setup!$G$2:$G947=TRUE,group_setup!$H$2:$H947=""completed""),1),""""))"),"")</f>
        <v/>
      </c>
      <c r="J13" s="25" t="str">
        <f>IFERROR(__xludf.DUMMYFUNCTION("IFERROR(FILTER(market_event_log!$D$2:$D947,market_event_log!$C$2:$C947=$B13,market_event_log!$N$2:$N947=""active""),"""")"),"")</f>
        <v/>
      </c>
      <c r="K13" s="25" t="str">
        <f>IFERROR(__xludf.DUMMYFUNCTION("IFERROR(FILTER(market_event_log!$G$2:$G947,market_event_log!$C$2:$C947=$B13,market_event_log!$N$2:$N947=""active""),"""")"),"")</f>
        <v/>
      </c>
      <c r="L13" s="25" t="str">
        <f>IFERROR(__xludf.DUMMYFUNCTION("IF($F13&lt;&gt;""player"","""",IFERROR(INDEX(FILTER(group_setup!$E$2:$E947,group_setup!$B$2:$B947=$C13,group_setup!$G$2:$G947=TRUE,group_setup!$H$2:$H947=""completed""),1),""""))"),"")</f>
        <v/>
      </c>
      <c r="M13" s="25" t="str">
        <f>IFERROR(__xludf.DUMMYFUNCTION("IF($F13=""market"","""",IF($E13=""HUMAN"",IFERROR(FILTER(turn_log!$G$2:$G947,turn_log!$C$2:$C947=$B13,turn_log!$D$2:$D947=$C13,turn_log!$F$2:$F947=$E13),""""),IFERROR(FILTER(turn_log!$I$2:$I947,turn_log!$C$2:$C947=$B13,turn_log!$D$2:$D947=$C13,turn_log!$F"&amp;"$2:$F947=$E13),"""")))"),"")</f>
        <v/>
      </c>
      <c r="N13" s="25" t="str">
        <f>IFERROR(__xludf.DUMMYFUNCTION("IF($F13=""market"","""",IF($E13=""HUMAN"",IFERROR(FILTER(turn_log!$H$2:$H947,turn_log!$C$2:$C947=$B13,turn_log!$D$2:$D947=$C13,turn_log!$F$2:$F947=$E13),""""),IFERROR(FILTER(turn_log!$J$2:$J947,turn_log!$C$2:$C947=$B13,turn_log!$D$2:$D947=$C13,turn_log!$F"&amp;"$2:$F947=$E13),"""")))"),"")</f>
        <v/>
      </c>
      <c r="O13" s="25">
        <f>IFERROR(__xludf.DUMMYFUNCTION("IF($A13="""","""",
 IF($F13=""market"",
  IFERROR(XLOOKUP(REGEXEXTRACT($J13,""^[^｜]+""),tr_mst!$A:$A,tr_mst!$D:$D),0)
  +IFERROR(XLOOKUP(REGEXEXTRACT($K13,""^[^｜]+""),tc_mst!$A:$A,tc_mst!$D:$D),0),
  IF($B13=0,
   IFERROR(XLOOKUP(REGEXEXTRACT($I13,""^[^｜]"&amp;"+""),ms_mst!$A:$A,ms_mst!$D:$D),0),
   IFERROR(XLOOKUP(""T""&amp;($B13-1)&amp;""_""&amp;$D13,$A:$A,$O:$O),0)
  )
  +IFERROR(XLOOKUP(REGEXEXTRACT($J13,""^[^｜]+""),tr_mst!$A:$A,tr_mst!$D:$D),0)
  +IFERROR(XLOOKUP(REGEXEXTRACT($K13,""^[^｜]+""),tc_mst!$A:$A,tc_mst!$D:$D)"&amp;",0)
  +
  (
   IFERROR(XLOOKUP(REGEXEXTRACT($M13,""^[^｜]+""),ac_mst!$A:$A,ac_mst!$G:$G),0)
   +IFERROR(XLOOKUP(REGEXEXTRACT($N13,""^[^｜]+""),ac_mst!$A:$A,ac_mst!$G:$G),0)
   +IFERROR(
    XLOOKUP(
     IF(
      OR(
       IFERROR(REGEXEXTRACT($M13,""^[^｜"&amp;"]+""),"""")="""",
       IFERROR(REGEXEXTRACT($N13,""^[^｜]+""),"""")=""""
      ),
      """",
      IF(
       IFERROR(REGEXEXTRACT($M13,""^[^｜]+""),"""")&lt;IFERROR(REGEXEXTRACT($N13,""^[^｜]+""),""""),
       IFERROR(REGEXEXTRACT($M13,""^[^｜]+""),"""")&amp;""_"&amp;"""&amp;IFERROR(REGEXEXTRACT($N13,""^[^｜]+""),""""),
       IFERROR(REGEXEXTRACT($N13,""^[^｜]+""),"""")&amp;""_""&amp;IFERROR(REGEXEXTRACT($M13,""^[^｜]+""),"""")
      )
     ),
     sy_mst!$A:$A,
     sy_mst!$D:$D
    ),
    0
   )
  )
  *
  IFERROR(XLOOKUP(REGEXEXTR"&amp;"ACT($I13,""^[^｜]+""),ms_mst!$A:$A,ms_mst!$L:$L),1)
  *
  IF(
   $B13&gt;=IFERROR(XLOOKUP(REGEXEXTRACT($L13,""^[^｜]+""),sk_mst!$A:$A,sk_mst!$M:$M),999),
   IFERROR(XLOOKUP(REGEXEXTRACT($L13,""^[^｜]+""),sk_mst!$A:$A,sk_mst!$F:$F),1),
   1
  )
 )
)"),0.0)</f>
        <v>0</v>
      </c>
      <c r="P13" s="25">
        <f>IFERROR(__xludf.DUMMYFUNCTION("IF($A13="""","""",
 IF($F13=""market"",
  IFERROR(XLOOKUP(REGEXEXTRACT($J13,""^[^｜]+""),tr_mst!$A:$A,tr_mst!$E:$E),0)
  +IFERROR(XLOOKUP(REGEXEXTRACT($K13,""^[^｜]+""),tc_mst!$A:$A,tc_mst!$E:$E),0),
  IF($B13=0,
   IFERROR(XLOOKUP(REGEXEXTRACT($I13,""^[^｜]"&amp;"+""),ms_mst!$A:$A,ms_mst!$E:$E),0),
   IFERROR(XLOOKUP(""T""&amp;($B13-1)&amp;""_""&amp;$D13,$A:$A,$P:$P),0)
  )
  +IFERROR(XLOOKUP(REGEXEXTRACT($J13,""^[^｜]+""),tr_mst!$A:$A,tr_mst!$E:$E),0)
  +IFERROR(XLOOKUP(REGEXEXTRACT($K13,""^[^｜]+""),tc_mst!$A:$A,tc_mst!$E:$E)"&amp;",0)
  +
  (
   IFERROR(XLOOKUP(REGEXEXTRACT($M13,""^[^｜]+""),ac_mst!$A:$A,ac_mst!$H:$H),0)
   +IFERROR(XLOOKUP(REGEXEXTRACT($N13,""^[^｜]+""),ac_mst!$A:$A,ac_mst!$H:$H),0)
   +IFERROR(
    XLOOKUP(
     IF(
      OR(
       IFERROR(REGEXEXTRACT($M13,""^[^｜"&amp;"]+""),"""")="""",
       IFERROR(REGEXEXTRACT($N13,""^[^｜]+""),"""")=""""
      ),
      """",
      IF(
       IFERROR(REGEXEXTRACT($M13,""^[^｜]+""),"""")&lt;IFERROR(REGEXEXTRACT($N13,""^[^｜]+""),""""),
       IFERROR(REGEXEXTRACT($M13,""^[^｜]+""),"""")&amp;""_"&amp;"""&amp;IFERROR(REGEXEXTRACT($N13,""^[^｜]+""),""""),
       IFERROR(REGEXEXTRACT($N13,""^[^｜]+""),"""")&amp;""_""&amp;IFERROR(REGEXEXTRACT($M13,""^[^｜]+""),"""")
      )
     ),
     sy_mst!$A:$A,
     sy_mst!$E:$E
    ),
    0
   )
  )
  *
  IFERROR(XLOOKUP(REGEXEXTR"&amp;"ACT($I13,""^[^｜]+""),ms_mst!$A:$A,ms_mst!$M:$M),1)
  *
  IF(
   $B13&gt;=IFERROR(XLOOKUP(REGEXEXTRACT($L13,""^[^｜]+""),sk_mst!$A:$A,sk_mst!$M:$M),999),
   IFERROR(XLOOKUP(REGEXEXTRACT($L13,""^[^｜]+""),sk_mst!$A:$A,sk_mst!$G:$G),1),
   1
  )
 )
)"),0.0)</f>
        <v>0</v>
      </c>
      <c r="Q13" s="25">
        <f>IFERROR(__xludf.DUMMYFUNCTION("IF($A13="""","""",
 IF($F13=""market"",
  IFERROR(XLOOKUP(REGEXEXTRACT($J13,""^[^｜]+""),tr_mst!$A:$A,tr_mst!$F:$F),0)
  +IFERROR(XLOOKUP(REGEXEXTRACT($K13,""^[^｜]+""),tc_mst!$A:$A,tc_mst!$F:$F),0),
  IF($B13=0,
   IFERROR(XLOOKUP(REGEXEXTRACT($I13,""^[^｜]"&amp;"+""),ms_mst!$A:$A,ms_mst!$F:$F),0),
   IFERROR(XLOOKUP(""T""&amp;($B13-1)&amp;""_""&amp;$D13,$A:$A,$Q:$Q),0)
  )
  +IFERROR(XLOOKUP(REGEXEXTRACT($J13,""^[^｜]+""),tr_mst!$A:$A,tr_mst!$F:$F),0)
  +IFERROR(XLOOKUP(REGEXEXTRACT($K13,""^[^｜]+""),tc_mst!$A:$A,tc_mst!$F:$F)"&amp;",0)
  +
  (
   IFERROR(XLOOKUP(REGEXEXTRACT($M13,""^[^｜]+""),ac_mst!$A:$A,ac_mst!$I:$I),0)
   +IFERROR(XLOOKUP(REGEXEXTRACT($N13,""^[^｜]+""),ac_mst!$A:$A,ac_mst!$I:$I),0)
   +IFERROR(
    XLOOKUP(
     IF(
      OR(
       IFERROR(REGEXEXTRACT($M13,""^[^｜"&amp;"]+""),"""")="""",
       IFERROR(REGEXEXTRACT($N13,""^[^｜]+""),"""")=""""
      ),
      """",
      IF(
       IFERROR(REGEXEXTRACT($M13,""^[^｜]+""),"""")&lt;IFERROR(REGEXEXTRACT($N13,""^[^｜]+""),""""),
       IFERROR(REGEXEXTRACT($M13,""^[^｜]+""),"""")&amp;""_"&amp;"""&amp;IFERROR(REGEXEXTRACT($N13,""^[^｜]+""),""""),
       IFERROR(REGEXEXTRACT($N13,""^[^｜]+""),"""")&amp;""_""&amp;IFERROR(REGEXEXTRACT($M13,""^[^｜]+""),"""")
      )
     ),
     sy_mst!$A:$A,
     sy_mst!$F:$F
    ),
    0
   )
  )
  *
  IFERROR(XLOOKUP(REGEXEXTR"&amp;"ACT($I13,""^[^｜]+""),ms_mst!$A:$A,ms_mst!$N:$N),1)
  *
  IF(
   $B13&gt;=IFERROR(XLOOKUP(REGEXEXTRACT($L13,""^[^｜]+""),sk_mst!$A:$A,sk_mst!$M:$M),999),
   IFERROR(XLOOKUP(REGEXEXTRACT($L13,""^[^｜]+""),sk_mst!$A:$A,sk_mst!$H:$H),1),
   1
  )
 )
)"),0.0)</f>
        <v>0</v>
      </c>
      <c r="R13" s="25">
        <f>IFERROR(__xludf.DUMMYFUNCTION("IF($A13="""","""",
 IF($F13=""market"",
  IFERROR(XLOOKUP(REGEXEXTRACT($J13,""^[^｜]+""),tr_mst!$A:$A,tr_mst!$G:$G),0)
  +IFERROR(XLOOKUP(REGEXEXTRACT($K13,""^[^｜]+""),tc_mst!$A:$A,tc_mst!$G:$G),0),
  IF($B13=0,
   IFERROR(XLOOKUP(REGEXEXTRACT($I13,""^[^｜]"&amp;"+""),ms_mst!$A:$A,ms_mst!$G:$G),0),
   IFERROR(XLOOKUP(""T""&amp;($B13-1)&amp;""_""&amp;$D13,$A:$A,$R:$R),0)
  )
  +IFERROR(XLOOKUP(REGEXEXTRACT($J13,""^[^｜]+""),tr_mst!$A:$A,tr_mst!$G:$G),0)
  +IFERROR(XLOOKUP(REGEXEXTRACT($K13,""^[^｜]+""),tc_mst!$A:$A,tc_mst!$G:$G)"&amp;",0)
  +
  (
   IFERROR(XLOOKUP(REGEXEXTRACT($M13,""^[^｜]+""),ac_mst!$A:$A,ac_mst!$J:$J),0)
   +IFERROR(XLOOKUP(REGEXEXTRACT($N13,""^[^｜]+""),ac_mst!$A:$A,ac_mst!$J:$J),0)
   +IFERROR(
    XLOOKUP(
     IF(
      OR(
       IFERROR(REGEXEXTRACT($M13,""^[^｜"&amp;"]+""),"""")="""",
       IFERROR(REGEXEXTRACT($N13,""^[^｜]+""),"""")=""""
      ),
      """",
      IF(
       IFERROR(REGEXEXTRACT($M13,""^[^｜]+""),"""")&lt;IFERROR(REGEXEXTRACT($N13,""^[^｜]+""),""""),
       IFERROR(REGEXEXTRACT($M13,""^[^｜]+""),"""")&amp;""_"&amp;"""&amp;IFERROR(REGEXEXTRACT($N13,""^[^｜]+""),""""),
       IFERROR(REGEXEXTRACT($N13,""^[^｜]+""),"""")&amp;""_""&amp;IFERROR(REGEXEXTRACT($M13,""^[^｜]+""),"""")
      )
     ),
     sy_mst!$A:$A,
     sy_mst!$G:$G
    ),
    0
   )
  )
  *
  IFERROR(XLOOKUP(REGEXEXTR"&amp;"ACT($I13,""^[^｜]+""),ms_mst!$A:$A,ms_mst!$O:$O),1)
  *
  IF(
   $B13&gt;=IFERROR(XLOOKUP(REGEXEXTRACT($L13,""^[^｜]+""),sk_mst!$A:$A,sk_mst!$M:$M),999),
   IFERROR(XLOOKUP(REGEXEXTRACT($L13,""^[^｜]+""),sk_mst!$A:$A,sk_mst!$I:$I),1),
   1
  )
 )
)"),0.0)</f>
        <v>0</v>
      </c>
      <c r="S13" s="25">
        <f>IFERROR(__xludf.DUMMYFUNCTION("IF($A13="""","""",
 IF($F13=""market"",
  IFERROR(XLOOKUP(REGEXEXTRACT($J13,""^[^｜]+""),tr_mst!$A:$A,tr_mst!$H:$H),0)
  +IFERROR(XLOOKUP(REGEXEXTRACT($K13,""^[^｜]+""),tc_mst!$A:$A,tc_mst!$H:$H),0),
  IF($B13=0,
   IFERROR(XLOOKUP(REGEXEXTRACT($I13,""^[^｜]"&amp;"+""),ms_mst!$A:$A,ms_mst!$H:$H),0),
   IFERROR(XLOOKUP(""T""&amp;($B13-1)&amp;""_""&amp;$D13,$A:$A,$S:$S),0)
  )
  +IFERROR(XLOOKUP(REGEXEXTRACT($J13,""^[^｜]+""),tr_mst!$A:$A,tr_mst!$H:$H),0)
  +IFERROR(XLOOKUP(REGEXEXTRACT($K13,""^[^｜]+""),tc_mst!$A:$A,tc_mst!$H:$H)"&amp;",0)
  +
  (
   IFERROR(XLOOKUP(REGEXEXTRACT($M13,""^[^｜]+""),ac_mst!$A:$A,ac_mst!$K:$K),0)
   +IFERROR(XLOOKUP(REGEXEXTRACT($N13,""^[^｜]+""),ac_mst!$A:$A,ac_mst!$K:$K),0)
   +IFERROR(
    XLOOKUP(
     IF(
      OR(
       IFERROR(REGEXEXTRACT($M13,""^[^｜"&amp;"]+""),"""")="""",
       IFERROR(REGEXEXTRACT($N13,""^[^｜]+""),"""")=""""
      ),
      """",
      IF(
       IFERROR(REGEXEXTRACT($M13,""^[^｜]+""),"""")&lt;IFERROR(REGEXEXTRACT($N13,""^[^｜]+""),""""),
       IFERROR(REGEXEXTRACT($M13,""^[^｜]+""),"""")&amp;""_"&amp;"""&amp;IFERROR(REGEXEXTRACT($N13,""^[^｜]+""),""""),
       IFERROR(REGEXEXTRACT($N13,""^[^｜]+""),"""")&amp;""_""&amp;IFERROR(REGEXEXTRACT($M13,""^[^｜]+""),"""")
      )
     ),
     sy_mst!$A:$A,
     sy_mst!$H:$H
    ),
    0
   )
  )
  *
  IFERROR(XLOOKUP(REGEXEXTR"&amp;"ACT($I13,""^[^｜]+""),ms_mst!$A:$A,ms_mst!$P:$P),1)
  *
  IF(
   $B13&gt;=IFERROR(XLOOKUP(REGEXEXTRACT($L13,""^[^｜]+""),sk_mst!$A:$A,sk_mst!$M:$M),999),
   IFERROR(XLOOKUP(REGEXEXTRACT($L13,""^[^｜]+""),sk_mst!$A:$A,sk_mst!$J:$J),1),
   1
  )
 )
)"),0.0)</f>
        <v>0</v>
      </c>
      <c r="T13" s="25">
        <f>IFERROR(__xludf.DUMMYFUNCTION("IF($A13="""","""",
 IF($F13=""market"",
  IFERROR(XLOOKUP(REGEXEXTRACT($J13,""^[^｜]+""),tr_mst!$A:$A,tr_mst!$I:$I),0)
  +IFERROR(XLOOKUP(REGEXEXTRACT($K13,""^[^｜]+""),tc_mst!$A:$A,tc_mst!$I:$I),0),
  IF($B13=0,
   IFERROR(XLOOKUP(REGEXEXTRACT($I13,""^[^｜]"&amp;"+""),ms_mst!$A:$A,ms_mst!$I:$I),0),
   IFERROR(XLOOKUP(""T""&amp;($B13-1)&amp;""_""&amp;$D13,$A:$A,$T:$T),0)
  )
  +IFERROR(XLOOKUP(REGEXEXTRACT($J13,""^[^｜]+""),tr_mst!$A:$A,tr_mst!$I:$I),0)
  +IFERROR(XLOOKUP(REGEXEXTRACT($K13,""^[^｜]+""),tc_mst!$A:$A,tc_mst!$I:$I)"&amp;",0)
  +
  (
   IFERROR(XLOOKUP(REGEXEXTRACT($M13,""^[^｜]+""),ac_mst!$A:$A,ac_mst!$L:$L),0)
   +IFERROR(XLOOKUP(REGEXEXTRACT($N13,""^[^｜]+""),ac_mst!$A:$A,ac_mst!$L:$L),0)
   +IFERROR(
    XLOOKUP(
     IF(
      OR(
       IFERROR(REGEXEXTRACT($M13,""^[^｜"&amp;"]+""),"""")="""",
       IFERROR(REGEXEXTRACT($N13,""^[^｜]+""),"""")=""""
      ),
      """",
      IF(
       IFERROR(REGEXEXTRACT($M13,""^[^｜]+""),"""")&lt;IFERROR(REGEXEXTRACT($N13,""^[^｜]+""),""""),
       IFERROR(REGEXEXTRACT($M13,""^[^｜]+""),"""")&amp;""_"&amp;"""&amp;IFERROR(REGEXEXTRACT($N13,""^[^｜]+""),""""),
       IFERROR(REGEXEXTRACT($N13,""^[^｜]+""),"""")&amp;""_""&amp;IFERROR(REGEXEXTRACT($M13,""^[^｜]+""),"""")
      )
     ),
     sy_mst!$A:$A,
     sy_mst!$I:$I
    ),
    0
   )
  )
  *
  IFERROR(XLOOKUP(REGEXEXTR"&amp;"ACT($I13,""^[^｜]+""),ms_mst!$A:$A,ms_mst!$Q:$Q),1)
  *
  IF(
   $B13&gt;=IFERROR(XLOOKUP(REGEXEXTRACT($L13,""^[^｜]+""),sk_mst!$A:$A,sk_mst!$M:$M),999),
   IFERROR(XLOOKUP(REGEXEXTRACT($L13,""^[^｜]+""),sk_mst!$A:$A,sk_mst!$K:$K),1),
   1
  )
 )
)"),0.0)</f>
        <v>0</v>
      </c>
      <c r="U13" s="25">
        <f>IFERROR(__xludf.DUMMYFUNCTION("IF($A13="""","""",
 IF($F13=""market"",
  IFERROR(XLOOKUP(REGEXEXTRACT($J13,""^[^｜]+""),tr_mst!$A:$A,tr_mst!$J:$J),0)
  +IFERROR(XLOOKUP(REGEXEXTRACT($K13,""^[^｜]+""),tc_mst!$A:$A,tc_mst!$J:$J),0),
  IF($B13=0,
   IFERROR(XLOOKUP(REGEXEXTRACT($I13,""^[^｜]"&amp;"+""),ms_mst!$A:$A,ms_mst!$J:$J),0),
   IFERROR(XLOOKUP(""T""&amp;($B13-1)&amp;""_""&amp;$D13,$A:$A,$U:$U),0)
  )
  +IFERROR(XLOOKUP(REGEXEXTRACT($J13,""^[^｜]+""),tr_mst!$A:$A,tr_mst!$J:$J),0)
  +IFERROR(XLOOKUP(REGEXEXTRACT($K13,""^[^｜]+""),tc_mst!$A:$A,tc_mst!$J:$J)"&amp;",0)
  +
  (
   IFERROR(XLOOKUP(REGEXEXTRACT($M13,""^[^｜]+""),ac_mst!$A:$A,ac_mst!$M:$M),0)
   +IFERROR(XLOOKUP(REGEXEXTRACT($N13,""^[^｜]+""),ac_mst!$A:$A,ac_mst!$M:$M),0)
   +IFERROR(
    XLOOKUP(
     IF(
      OR(
       IFERROR(REGEXEXTRACT($M13,""^[^｜"&amp;"]+""),"""")="""",
       IFERROR(REGEXEXTRACT($N13,""^[^｜]+""),"""")=""""
      ),
      """",
      IF(
       IFERROR(REGEXEXTRACT($M13,""^[^｜]+""),"""")&lt;IFERROR(REGEXEXTRACT($N13,""^[^｜]+""),""""),
       IFERROR(REGEXEXTRACT($M13,""^[^｜]+""),"""")&amp;""_"&amp;"""&amp;IFERROR(REGEXEXTRACT($N13,""^[^｜]+""),""""),
       IFERROR(REGEXEXTRACT($N13,""^[^｜]+""),"""")&amp;""_""&amp;IFERROR(REGEXEXTRACT($M13,""^[^｜]+""),"""")
      )
     ),
     sy_mst!$A:$A,
     sy_mst!$J:$J
    ),
    0
   )
  )
  *
  IFERROR(XLOOKUP(REGEXEXTR"&amp;"ACT($I13,""^[^｜]+""),ms_mst!$A:$A,ms_mst!$R:$R),1)
  *
  IF(
   $B13&gt;=IFERROR(XLOOKUP(REGEXEXTRACT($L13,""^[^｜]+""),sk_mst!$A:$A,sk_mst!$M:$M),999),
   IFERROR(XLOOKUP(REGEXEXTRACT($L13,""^[^｜]+""),sk_mst!$A:$A,sk_mst!$L:$L),1),
   1
  )
 )
)"),0.0)</f>
        <v>0</v>
      </c>
      <c r="V13" s="25">
        <f t="shared" si="1"/>
        <v>0</v>
      </c>
      <c r="W13" s="25">
        <f t="shared" si="2"/>
        <v>0</v>
      </c>
      <c r="X13" s="25">
        <f t="shared" si="3"/>
        <v>0</v>
      </c>
      <c r="Y13" s="25" t="str">
        <f t="shared" si="4"/>
        <v/>
      </c>
      <c r="Z13" s="25">
        <f>IFERROR(__xludf.DUMMYFUNCTION("IF($A13="""","""",
 IF($F13&lt;&gt;""player"","""",
  IFERROR(
   RANK(
    $X13,
    FILTER($X:$X,$B:$B=$B13,$F:$F=""player"",$X:$X&lt;&gt;""""),
    0
   ),
   """"
  )
 )
)"),7.0)</f>
        <v>7</v>
      </c>
      <c r="AA13" s="25" t="str">
        <f t="shared" si="5"/>
        <v>7位</v>
      </c>
      <c r="AB13" s="26">
        <f t="shared" si="6"/>
        <v>0</v>
      </c>
    </row>
    <row r="14">
      <c r="A14" s="14" t="s">
        <v>185</v>
      </c>
      <c r="B14" s="25">
        <v>0.0</v>
      </c>
      <c r="C14" s="14" t="s">
        <v>186</v>
      </c>
      <c r="D14" s="14" t="s">
        <v>187</v>
      </c>
      <c r="E14" s="25" t="s">
        <v>153</v>
      </c>
      <c r="F14" s="25" t="s">
        <v>154</v>
      </c>
      <c r="G14" s="25" t="str">
        <f>IFERROR(__xludf.DUMMYFUNCTION("IF($F14=""market"","""",IFERROR(FILTER(member_log!$B$10:$B947,member_log!$C$10:$C947=$C14,member_log!$D$10:$D947=$E14,member_log!$G$10:$G947=""active""),""""))"),"")</f>
        <v/>
      </c>
      <c r="H14" s="25" t="str">
        <f>IFERROR(__xludf.DUMMYFUNCTION("IF($F14=""market"","""",IFERROR(FILTER(member_log!$E$10:$E947,member_log!$C$10:$C947=$C14,member_log!$D$10:$D947=$E14,member_log!$G$10:$G947=""active""),""""))"),"")</f>
        <v/>
      </c>
      <c r="I14" s="25" t="str">
        <f>IFERROR(__xludf.DUMMYFUNCTION("IF($F14&lt;&gt;""player"","""",IFERROR(INDEX(FILTER(group_setup!$D$2:$D947,group_setup!$B$2:$B947=$C14,group_setup!$G$2:$G947=TRUE,group_setup!$H$2:$H947=""completed""),1),""""))"),"")</f>
        <v/>
      </c>
      <c r="J14" s="25" t="str">
        <f>IFERROR(__xludf.DUMMYFUNCTION("IFERROR(FILTER(market_event_log!$D$2:$D947,market_event_log!$C$2:$C947=$B14,market_event_log!$N$2:$N947=""active""),"""")"),"")</f>
        <v/>
      </c>
      <c r="K14" s="25" t="str">
        <f>IFERROR(__xludf.DUMMYFUNCTION("IFERROR(FILTER(market_event_log!$G$2:$G947,market_event_log!$C$2:$C947=$B14,market_event_log!$N$2:$N947=""active""),"""")"),"")</f>
        <v/>
      </c>
      <c r="L14" s="25" t="str">
        <f>IFERROR(__xludf.DUMMYFUNCTION("IF($F14&lt;&gt;""player"","""",IFERROR(INDEX(FILTER(group_setup!$E$2:$E947,group_setup!$B$2:$B947=$C14,group_setup!$G$2:$G947=TRUE,group_setup!$H$2:$H947=""completed""),1),""""))"),"")</f>
        <v/>
      </c>
      <c r="M14" s="25" t="str">
        <f>IFERROR(__xludf.DUMMYFUNCTION("IF($F14=""market"","""",IF($E14=""HUMAN"",IFERROR(FILTER(turn_log!$G$2:$G947,turn_log!$C$2:$C947=$B14,turn_log!$D$2:$D947=$C14,turn_log!$F$2:$F947=$E14),""""),IFERROR(FILTER(turn_log!$I$2:$I947,turn_log!$C$2:$C947=$B14,turn_log!$D$2:$D947=$C14,turn_log!$F"&amp;"$2:$F947=$E14),"""")))"),"")</f>
        <v/>
      </c>
      <c r="N14" s="25" t="str">
        <f>IFERROR(__xludf.DUMMYFUNCTION("IF($F14=""market"","""",IF($E14=""HUMAN"",IFERROR(FILTER(turn_log!$H$2:$H947,turn_log!$C$2:$C947=$B14,turn_log!$D$2:$D947=$C14,turn_log!$F$2:$F947=$E14),""""),IFERROR(FILTER(turn_log!$J$2:$J947,turn_log!$C$2:$C947=$B14,turn_log!$D$2:$D947=$C14,turn_log!$F"&amp;"$2:$F947=$E14),"""")))"),"")</f>
        <v/>
      </c>
      <c r="O14" s="25">
        <f>IFERROR(__xludf.DUMMYFUNCTION("IF($A14="""","""",
 IF($F14=""market"",
  IFERROR(XLOOKUP(REGEXEXTRACT($J14,""^[^｜]+""),tr_mst!$A:$A,tr_mst!$D:$D),0)
  +IFERROR(XLOOKUP(REGEXEXTRACT($K14,""^[^｜]+""),tc_mst!$A:$A,tc_mst!$D:$D),0),
  IF($B14=0,
   IFERROR(XLOOKUP(REGEXEXTRACT($I14,""^[^｜]"&amp;"+""),ms_mst!$A:$A,ms_mst!$D:$D),0),
   IFERROR(XLOOKUP(""T""&amp;($B14-1)&amp;""_""&amp;$D14,$A:$A,$O:$O),0)
  )
  +IFERROR(XLOOKUP(REGEXEXTRACT($J14,""^[^｜]+""),tr_mst!$A:$A,tr_mst!$D:$D),0)
  +IFERROR(XLOOKUP(REGEXEXTRACT($K14,""^[^｜]+""),tc_mst!$A:$A,tc_mst!$D:$D)"&amp;",0)
  +
  (
   IFERROR(XLOOKUP(REGEXEXTRACT($M14,""^[^｜]+""),ac_mst!$A:$A,ac_mst!$G:$G),0)
   +IFERROR(XLOOKUP(REGEXEXTRACT($N14,""^[^｜]+""),ac_mst!$A:$A,ac_mst!$G:$G),0)
   +IFERROR(
    XLOOKUP(
     IF(
      OR(
       IFERROR(REGEXEXTRACT($M14,""^[^｜"&amp;"]+""),"""")="""",
       IFERROR(REGEXEXTRACT($N14,""^[^｜]+""),"""")=""""
      ),
      """",
      IF(
       IFERROR(REGEXEXTRACT($M14,""^[^｜]+""),"""")&lt;IFERROR(REGEXEXTRACT($N14,""^[^｜]+""),""""),
       IFERROR(REGEXEXTRACT($M14,""^[^｜]+""),"""")&amp;""_"&amp;"""&amp;IFERROR(REGEXEXTRACT($N14,""^[^｜]+""),""""),
       IFERROR(REGEXEXTRACT($N14,""^[^｜]+""),"""")&amp;""_""&amp;IFERROR(REGEXEXTRACT($M14,""^[^｜]+""),"""")
      )
     ),
     sy_mst!$A:$A,
     sy_mst!$D:$D
    ),
    0
   )
  )
  *
  IFERROR(XLOOKUP(REGEXEXTR"&amp;"ACT($I14,""^[^｜]+""),ms_mst!$A:$A,ms_mst!$L:$L),1)
  *
  IF(
   $B14&gt;=IFERROR(XLOOKUP(REGEXEXTRACT($L14,""^[^｜]+""),sk_mst!$A:$A,sk_mst!$M:$M),999),
   IFERROR(XLOOKUP(REGEXEXTRACT($L14,""^[^｜]+""),sk_mst!$A:$A,sk_mst!$F:$F),1),
   1
  )
 )
)"),0.0)</f>
        <v>0</v>
      </c>
      <c r="P14" s="25">
        <f>IFERROR(__xludf.DUMMYFUNCTION("IF($A14="""","""",
 IF($F14=""market"",
  IFERROR(XLOOKUP(REGEXEXTRACT($J14,""^[^｜]+""),tr_mst!$A:$A,tr_mst!$E:$E),0)
  +IFERROR(XLOOKUP(REGEXEXTRACT($K14,""^[^｜]+""),tc_mst!$A:$A,tc_mst!$E:$E),0),
  IF($B14=0,
   IFERROR(XLOOKUP(REGEXEXTRACT($I14,""^[^｜]"&amp;"+""),ms_mst!$A:$A,ms_mst!$E:$E),0),
   IFERROR(XLOOKUP(""T""&amp;($B14-1)&amp;""_""&amp;$D14,$A:$A,$P:$P),0)
  )
  +IFERROR(XLOOKUP(REGEXEXTRACT($J14,""^[^｜]+""),tr_mst!$A:$A,tr_mst!$E:$E),0)
  +IFERROR(XLOOKUP(REGEXEXTRACT($K14,""^[^｜]+""),tc_mst!$A:$A,tc_mst!$E:$E)"&amp;",0)
  +
  (
   IFERROR(XLOOKUP(REGEXEXTRACT($M14,""^[^｜]+""),ac_mst!$A:$A,ac_mst!$H:$H),0)
   +IFERROR(XLOOKUP(REGEXEXTRACT($N14,""^[^｜]+""),ac_mst!$A:$A,ac_mst!$H:$H),0)
   +IFERROR(
    XLOOKUP(
     IF(
      OR(
       IFERROR(REGEXEXTRACT($M14,""^[^｜"&amp;"]+""),"""")="""",
       IFERROR(REGEXEXTRACT($N14,""^[^｜]+""),"""")=""""
      ),
      """",
      IF(
       IFERROR(REGEXEXTRACT($M14,""^[^｜]+""),"""")&lt;IFERROR(REGEXEXTRACT($N14,""^[^｜]+""),""""),
       IFERROR(REGEXEXTRACT($M14,""^[^｜]+""),"""")&amp;""_"&amp;"""&amp;IFERROR(REGEXEXTRACT($N14,""^[^｜]+""),""""),
       IFERROR(REGEXEXTRACT($N14,""^[^｜]+""),"""")&amp;""_""&amp;IFERROR(REGEXEXTRACT($M14,""^[^｜]+""),"""")
      )
     ),
     sy_mst!$A:$A,
     sy_mst!$E:$E
    ),
    0
   )
  )
  *
  IFERROR(XLOOKUP(REGEXEXTR"&amp;"ACT($I14,""^[^｜]+""),ms_mst!$A:$A,ms_mst!$M:$M),1)
  *
  IF(
   $B14&gt;=IFERROR(XLOOKUP(REGEXEXTRACT($L14,""^[^｜]+""),sk_mst!$A:$A,sk_mst!$M:$M),999),
   IFERROR(XLOOKUP(REGEXEXTRACT($L14,""^[^｜]+""),sk_mst!$A:$A,sk_mst!$G:$G),1),
   1
  )
 )
)"),0.0)</f>
        <v>0</v>
      </c>
      <c r="Q14" s="25">
        <f>IFERROR(__xludf.DUMMYFUNCTION("IF($A14="""","""",
 IF($F14=""market"",
  IFERROR(XLOOKUP(REGEXEXTRACT($J14,""^[^｜]+""),tr_mst!$A:$A,tr_mst!$F:$F),0)
  +IFERROR(XLOOKUP(REGEXEXTRACT($K14,""^[^｜]+""),tc_mst!$A:$A,tc_mst!$F:$F),0),
  IF($B14=0,
   IFERROR(XLOOKUP(REGEXEXTRACT($I14,""^[^｜]"&amp;"+""),ms_mst!$A:$A,ms_mst!$F:$F),0),
   IFERROR(XLOOKUP(""T""&amp;($B14-1)&amp;""_""&amp;$D14,$A:$A,$Q:$Q),0)
  )
  +IFERROR(XLOOKUP(REGEXEXTRACT($J14,""^[^｜]+""),tr_mst!$A:$A,tr_mst!$F:$F),0)
  +IFERROR(XLOOKUP(REGEXEXTRACT($K14,""^[^｜]+""),tc_mst!$A:$A,tc_mst!$F:$F)"&amp;",0)
  +
  (
   IFERROR(XLOOKUP(REGEXEXTRACT($M14,""^[^｜]+""),ac_mst!$A:$A,ac_mst!$I:$I),0)
   +IFERROR(XLOOKUP(REGEXEXTRACT($N14,""^[^｜]+""),ac_mst!$A:$A,ac_mst!$I:$I),0)
   +IFERROR(
    XLOOKUP(
     IF(
      OR(
       IFERROR(REGEXEXTRACT($M14,""^[^｜"&amp;"]+""),"""")="""",
       IFERROR(REGEXEXTRACT($N14,""^[^｜]+""),"""")=""""
      ),
      """",
      IF(
       IFERROR(REGEXEXTRACT($M14,""^[^｜]+""),"""")&lt;IFERROR(REGEXEXTRACT($N14,""^[^｜]+""),""""),
       IFERROR(REGEXEXTRACT($M14,""^[^｜]+""),"""")&amp;""_"&amp;"""&amp;IFERROR(REGEXEXTRACT($N14,""^[^｜]+""),""""),
       IFERROR(REGEXEXTRACT($N14,""^[^｜]+""),"""")&amp;""_""&amp;IFERROR(REGEXEXTRACT($M14,""^[^｜]+""),"""")
      )
     ),
     sy_mst!$A:$A,
     sy_mst!$F:$F
    ),
    0
   )
  )
  *
  IFERROR(XLOOKUP(REGEXEXTR"&amp;"ACT($I14,""^[^｜]+""),ms_mst!$A:$A,ms_mst!$N:$N),1)
  *
  IF(
   $B14&gt;=IFERROR(XLOOKUP(REGEXEXTRACT($L14,""^[^｜]+""),sk_mst!$A:$A,sk_mst!$M:$M),999),
   IFERROR(XLOOKUP(REGEXEXTRACT($L14,""^[^｜]+""),sk_mst!$A:$A,sk_mst!$H:$H),1),
   1
  )
 )
)"),0.0)</f>
        <v>0</v>
      </c>
      <c r="R14" s="25">
        <f>IFERROR(__xludf.DUMMYFUNCTION("IF($A14="""","""",
 IF($F14=""market"",
  IFERROR(XLOOKUP(REGEXEXTRACT($J14,""^[^｜]+""),tr_mst!$A:$A,tr_mst!$G:$G),0)
  +IFERROR(XLOOKUP(REGEXEXTRACT($K14,""^[^｜]+""),tc_mst!$A:$A,tc_mst!$G:$G),0),
  IF($B14=0,
   IFERROR(XLOOKUP(REGEXEXTRACT($I14,""^[^｜]"&amp;"+""),ms_mst!$A:$A,ms_mst!$G:$G),0),
   IFERROR(XLOOKUP(""T""&amp;($B14-1)&amp;""_""&amp;$D14,$A:$A,$R:$R),0)
  )
  +IFERROR(XLOOKUP(REGEXEXTRACT($J14,""^[^｜]+""),tr_mst!$A:$A,tr_mst!$G:$G),0)
  +IFERROR(XLOOKUP(REGEXEXTRACT($K14,""^[^｜]+""),tc_mst!$A:$A,tc_mst!$G:$G)"&amp;",0)
  +
  (
   IFERROR(XLOOKUP(REGEXEXTRACT($M14,""^[^｜]+""),ac_mst!$A:$A,ac_mst!$J:$J),0)
   +IFERROR(XLOOKUP(REGEXEXTRACT($N14,""^[^｜]+""),ac_mst!$A:$A,ac_mst!$J:$J),0)
   +IFERROR(
    XLOOKUP(
     IF(
      OR(
       IFERROR(REGEXEXTRACT($M14,""^[^｜"&amp;"]+""),"""")="""",
       IFERROR(REGEXEXTRACT($N14,""^[^｜]+""),"""")=""""
      ),
      """",
      IF(
       IFERROR(REGEXEXTRACT($M14,""^[^｜]+""),"""")&lt;IFERROR(REGEXEXTRACT($N14,""^[^｜]+""),""""),
       IFERROR(REGEXEXTRACT($M14,""^[^｜]+""),"""")&amp;""_"&amp;"""&amp;IFERROR(REGEXEXTRACT($N14,""^[^｜]+""),""""),
       IFERROR(REGEXEXTRACT($N14,""^[^｜]+""),"""")&amp;""_""&amp;IFERROR(REGEXEXTRACT($M14,""^[^｜]+""),"""")
      )
     ),
     sy_mst!$A:$A,
     sy_mst!$G:$G
    ),
    0
   )
  )
  *
  IFERROR(XLOOKUP(REGEXEXTR"&amp;"ACT($I14,""^[^｜]+""),ms_mst!$A:$A,ms_mst!$O:$O),1)
  *
  IF(
   $B14&gt;=IFERROR(XLOOKUP(REGEXEXTRACT($L14,""^[^｜]+""),sk_mst!$A:$A,sk_mst!$M:$M),999),
   IFERROR(XLOOKUP(REGEXEXTRACT($L14,""^[^｜]+""),sk_mst!$A:$A,sk_mst!$I:$I),1),
   1
  )
 )
)"),0.0)</f>
        <v>0</v>
      </c>
      <c r="S14" s="25">
        <f>IFERROR(__xludf.DUMMYFUNCTION("IF($A14="""","""",
 IF($F14=""market"",
  IFERROR(XLOOKUP(REGEXEXTRACT($J14,""^[^｜]+""),tr_mst!$A:$A,tr_mst!$H:$H),0)
  +IFERROR(XLOOKUP(REGEXEXTRACT($K14,""^[^｜]+""),tc_mst!$A:$A,tc_mst!$H:$H),0),
  IF($B14=0,
   IFERROR(XLOOKUP(REGEXEXTRACT($I14,""^[^｜]"&amp;"+""),ms_mst!$A:$A,ms_mst!$H:$H),0),
   IFERROR(XLOOKUP(""T""&amp;($B14-1)&amp;""_""&amp;$D14,$A:$A,$S:$S),0)
  )
  +IFERROR(XLOOKUP(REGEXEXTRACT($J14,""^[^｜]+""),tr_mst!$A:$A,tr_mst!$H:$H),0)
  +IFERROR(XLOOKUP(REGEXEXTRACT($K14,""^[^｜]+""),tc_mst!$A:$A,tc_mst!$H:$H)"&amp;",0)
  +
  (
   IFERROR(XLOOKUP(REGEXEXTRACT($M14,""^[^｜]+""),ac_mst!$A:$A,ac_mst!$K:$K),0)
   +IFERROR(XLOOKUP(REGEXEXTRACT($N14,""^[^｜]+""),ac_mst!$A:$A,ac_mst!$K:$K),0)
   +IFERROR(
    XLOOKUP(
     IF(
      OR(
       IFERROR(REGEXEXTRACT($M14,""^[^｜"&amp;"]+""),"""")="""",
       IFERROR(REGEXEXTRACT($N14,""^[^｜]+""),"""")=""""
      ),
      """",
      IF(
       IFERROR(REGEXEXTRACT($M14,""^[^｜]+""),"""")&lt;IFERROR(REGEXEXTRACT($N14,""^[^｜]+""),""""),
       IFERROR(REGEXEXTRACT($M14,""^[^｜]+""),"""")&amp;""_"&amp;"""&amp;IFERROR(REGEXEXTRACT($N14,""^[^｜]+""),""""),
       IFERROR(REGEXEXTRACT($N14,""^[^｜]+""),"""")&amp;""_""&amp;IFERROR(REGEXEXTRACT($M14,""^[^｜]+""),"""")
      )
     ),
     sy_mst!$A:$A,
     sy_mst!$H:$H
    ),
    0
   )
  )
  *
  IFERROR(XLOOKUP(REGEXEXTR"&amp;"ACT($I14,""^[^｜]+""),ms_mst!$A:$A,ms_mst!$P:$P),1)
  *
  IF(
   $B14&gt;=IFERROR(XLOOKUP(REGEXEXTRACT($L14,""^[^｜]+""),sk_mst!$A:$A,sk_mst!$M:$M),999),
   IFERROR(XLOOKUP(REGEXEXTRACT($L14,""^[^｜]+""),sk_mst!$A:$A,sk_mst!$J:$J),1),
   1
  )
 )
)"),0.0)</f>
        <v>0</v>
      </c>
      <c r="T14" s="25">
        <f>IFERROR(__xludf.DUMMYFUNCTION("IF($A14="""","""",
 IF($F14=""market"",
  IFERROR(XLOOKUP(REGEXEXTRACT($J14,""^[^｜]+""),tr_mst!$A:$A,tr_mst!$I:$I),0)
  +IFERROR(XLOOKUP(REGEXEXTRACT($K14,""^[^｜]+""),tc_mst!$A:$A,tc_mst!$I:$I),0),
  IF($B14=0,
   IFERROR(XLOOKUP(REGEXEXTRACT($I14,""^[^｜]"&amp;"+""),ms_mst!$A:$A,ms_mst!$I:$I),0),
   IFERROR(XLOOKUP(""T""&amp;($B14-1)&amp;""_""&amp;$D14,$A:$A,$T:$T),0)
  )
  +IFERROR(XLOOKUP(REGEXEXTRACT($J14,""^[^｜]+""),tr_mst!$A:$A,tr_mst!$I:$I),0)
  +IFERROR(XLOOKUP(REGEXEXTRACT($K14,""^[^｜]+""),tc_mst!$A:$A,tc_mst!$I:$I)"&amp;",0)
  +
  (
   IFERROR(XLOOKUP(REGEXEXTRACT($M14,""^[^｜]+""),ac_mst!$A:$A,ac_mst!$L:$L),0)
   +IFERROR(XLOOKUP(REGEXEXTRACT($N14,""^[^｜]+""),ac_mst!$A:$A,ac_mst!$L:$L),0)
   +IFERROR(
    XLOOKUP(
     IF(
      OR(
       IFERROR(REGEXEXTRACT($M14,""^[^｜"&amp;"]+""),"""")="""",
       IFERROR(REGEXEXTRACT($N14,""^[^｜]+""),"""")=""""
      ),
      """",
      IF(
       IFERROR(REGEXEXTRACT($M14,""^[^｜]+""),"""")&lt;IFERROR(REGEXEXTRACT($N14,""^[^｜]+""),""""),
       IFERROR(REGEXEXTRACT($M14,""^[^｜]+""),"""")&amp;""_"&amp;"""&amp;IFERROR(REGEXEXTRACT($N14,""^[^｜]+""),""""),
       IFERROR(REGEXEXTRACT($N14,""^[^｜]+""),"""")&amp;""_""&amp;IFERROR(REGEXEXTRACT($M14,""^[^｜]+""),"""")
      )
     ),
     sy_mst!$A:$A,
     sy_mst!$I:$I
    ),
    0
   )
  )
  *
  IFERROR(XLOOKUP(REGEXEXTR"&amp;"ACT($I14,""^[^｜]+""),ms_mst!$A:$A,ms_mst!$Q:$Q),1)
  *
  IF(
   $B14&gt;=IFERROR(XLOOKUP(REGEXEXTRACT($L14,""^[^｜]+""),sk_mst!$A:$A,sk_mst!$M:$M),999),
   IFERROR(XLOOKUP(REGEXEXTRACT($L14,""^[^｜]+""),sk_mst!$A:$A,sk_mst!$K:$K),1),
   1
  )
 )
)"),0.0)</f>
        <v>0</v>
      </c>
      <c r="U14" s="25">
        <f>IFERROR(__xludf.DUMMYFUNCTION("IF($A14="""","""",
 IF($F14=""market"",
  IFERROR(XLOOKUP(REGEXEXTRACT($J14,""^[^｜]+""),tr_mst!$A:$A,tr_mst!$J:$J),0)
  +IFERROR(XLOOKUP(REGEXEXTRACT($K14,""^[^｜]+""),tc_mst!$A:$A,tc_mst!$J:$J),0),
  IF($B14=0,
   IFERROR(XLOOKUP(REGEXEXTRACT($I14,""^[^｜]"&amp;"+""),ms_mst!$A:$A,ms_mst!$J:$J),0),
   IFERROR(XLOOKUP(""T""&amp;($B14-1)&amp;""_""&amp;$D14,$A:$A,$U:$U),0)
  )
  +IFERROR(XLOOKUP(REGEXEXTRACT($J14,""^[^｜]+""),tr_mst!$A:$A,tr_mst!$J:$J),0)
  +IFERROR(XLOOKUP(REGEXEXTRACT($K14,""^[^｜]+""),tc_mst!$A:$A,tc_mst!$J:$J)"&amp;",0)
  +
  (
   IFERROR(XLOOKUP(REGEXEXTRACT($M14,""^[^｜]+""),ac_mst!$A:$A,ac_mst!$M:$M),0)
   +IFERROR(XLOOKUP(REGEXEXTRACT($N14,""^[^｜]+""),ac_mst!$A:$A,ac_mst!$M:$M),0)
   +IFERROR(
    XLOOKUP(
     IF(
      OR(
       IFERROR(REGEXEXTRACT($M14,""^[^｜"&amp;"]+""),"""")="""",
       IFERROR(REGEXEXTRACT($N14,""^[^｜]+""),"""")=""""
      ),
      """",
      IF(
       IFERROR(REGEXEXTRACT($M14,""^[^｜]+""),"""")&lt;IFERROR(REGEXEXTRACT($N14,""^[^｜]+""),""""),
       IFERROR(REGEXEXTRACT($M14,""^[^｜]+""),"""")&amp;""_"&amp;"""&amp;IFERROR(REGEXEXTRACT($N14,""^[^｜]+""),""""),
       IFERROR(REGEXEXTRACT($N14,""^[^｜]+""),"""")&amp;""_""&amp;IFERROR(REGEXEXTRACT($M14,""^[^｜]+""),"""")
      )
     ),
     sy_mst!$A:$A,
     sy_mst!$J:$J
    ),
    0
   )
  )
  *
  IFERROR(XLOOKUP(REGEXEXTR"&amp;"ACT($I14,""^[^｜]+""),ms_mst!$A:$A,ms_mst!$R:$R),1)
  *
  IF(
   $B14&gt;=IFERROR(XLOOKUP(REGEXEXTRACT($L14,""^[^｜]+""),sk_mst!$A:$A,sk_mst!$M:$M),999),
   IFERROR(XLOOKUP(REGEXEXTRACT($L14,""^[^｜]+""),sk_mst!$A:$A,sk_mst!$L:$L),1),
   1
  )
 )
)"),0.0)</f>
        <v>0</v>
      </c>
      <c r="V14" s="25">
        <f t="shared" si="1"/>
        <v>0</v>
      </c>
      <c r="W14" s="25">
        <f t="shared" si="2"/>
        <v>0</v>
      </c>
      <c r="X14" s="25">
        <f t="shared" si="3"/>
        <v>0</v>
      </c>
      <c r="Y14" s="25" t="str">
        <f t="shared" si="4"/>
        <v/>
      </c>
      <c r="Z14" s="25">
        <f>IFERROR(__xludf.DUMMYFUNCTION("IF($A14="""","""",
 IF($F14&lt;&gt;""player"","""",
  IFERROR(
   RANK(
    $X14,
    FILTER($X:$X,$B:$B=$B14,$F:$F=""player"",$X:$X&lt;&gt;""""),
    0
   ),
   """"
  )
 )
)"),7.0)</f>
        <v>7</v>
      </c>
      <c r="AA14" s="25" t="str">
        <f t="shared" si="5"/>
        <v>7位</v>
      </c>
      <c r="AB14" s="26">
        <f t="shared" si="6"/>
        <v>0</v>
      </c>
    </row>
    <row r="15">
      <c r="A15" s="14" t="s">
        <v>188</v>
      </c>
      <c r="B15" s="25">
        <v>1.0</v>
      </c>
      <c r="C15" s="14" t="s">
        <v>147</v>
      </c>
      <c r="D15" s="14" t="s">
        <v>148</v>
      </c>
      <c r="F15" s="14" t="s">
        <v>149</v>
      </c>
      <c r="G15" s="25" t="str">
        <f>IFERROR(__xludf.DUMMYFUNCTION("IF($F15=""market"","""",IFERROR(FILTER(member_log!$B$10:$B947,member_log!$C$10:$C947=$C15,member_log!$D$10:$D947=$E15,member_log!$G$10:$G947=""active""),""""))"),"")</f>
        <v/>
      </c>
      <c r="H15" s="25" t="str">
        <f>IFERROR(__xludf.DUMMYFUNCTION("IF($F15=""market"","""",IFERROR(FILTER(member_log!$E$10:$E947,member_log!$C$10:$C947=$C15,member_log!$D$10:$D947=$E15,member_log!$G$10:$G947=""active""),""""))"),"")</f>
        <v/>
      </c>
      <c r="I15" s="25" t="str">
        <f>IFERROR(__xludf.DUMMYFUNCTION("IF($F15&lt;&gt;""player"","""",IFERROR(INDEX(FILTER(group_setup!$D$2:$D947,group_setup!$B$2:$B947=$C15,group_setup!$G$2:$G947=TRUE,group_setup!$H$2:$H947=""completed""),1),""""))"),"")</f>
        <v/>
      </c>
      <c r="J15" s="25" t="str">
        <f>IFERROR(__xludf.DUMMYFUNCTION("IFERROR(FILTER(market_event_log!$D$2:$D947,market_event_log!$C$2:$C947=$B15,market_event_log!$N$2:$N947=""active""),"""")"),"T01")</f>
        <v>T01</v>
      </c>
      <c r="K15" s="25" t="str">
        <f>IFERROR(__xludf.DUMMYFUNCTION("IFERROR(FILTER(market_event_log!$G$2:$G947,market_event_log!$C$2:$C947=$B15,market_event_log!$N$2:$N947=""active""),"""")"),"C01")</f>
        <v>C01</v>
      </c>
      <c r="L15" s="25" t="str">
        <f>IFERROR(__xludf.DUMMYFUNCTION("IF($F15&lt;&gt;""player"","""",IFERROR(INDEX(FILTER(group_setup!$E$2:$E947,group_setup!$B$2:$B947=$C15,group_setup!$G$2:$G947=TRUE,group_setup!$H$2:$H947=""completed""),1),""""))"),"")</f>
        <v/>
      </c>
      <c r="M15" s="25" t="str">
        <f>IFERROR(__xludf.DUMMYFUNCTION("IF($F15=""market"","""",IF($E15=""HUMAN"",IFERROR(FILTER(turn_log!$G$2:$G947,turn_log!$C$2:$C947=$B15,turn_log!$D$2:$D947=$C15,turn_log!$F$2:$F947=$E15),""""),IFERROR(FILTER(turn_log!$I$2:$I947,turn_log!$C$2:$C947=$B15,turn_log!$D$2:$D947=$C15,turn_log!$F"&amp;"$2:$F947=$E15),"""")))"),"")</f>
        <v/>
      </c>
      <c r="N15" s="25" t="str">
        <f>IFERROR(__xludf.DUMMYFUNCTION("IF($F15=""market"","""",IF($E15=""HUMAN"",IFERROR(FILTER(turn_log!$H$2:$H947,turn_log!$C$2:$C947=$B15,turn_log!$D$2:$D947=$C15,turn_log!$F$2:$F947=$E15),""""),IFERROR(FILTER(turn_log!$J$2:$J947,turn_log!$C$2:$C947=$B15,turn_log!$D$2:$D947=$C15,turn_log!$F"&amp;"$2:$F947=$E15),"""")))"),"")</f>
        <v/>
      </c>
      <c r="O15" s="25">
        <f>IFERROR(__xludf.DUMMYFUNCTION("IF($A15="""","""",
 IF($F15=""market"",
  IFERROR(XLOOKUP(REGEXEXTRACT($J15,""^[^｜]+""),tr_mst!$A:$A,tr_mst!$D:$D),0)
  +IFERROR(XLOOKUP(REGEXEXTRACT($K15,""^[^｜]+""),tc_mst!$A:$A,tc_mst!$D:$D),0),
  IF($B15=0,
   IFERROR(XLOOKUP(REGEXEXTRACT($I15,""^[^｜]"&amp;"+""),ms_mst!$A:$A,ms_mst!$D:$D),0),
   IFERROR(XLOOKUP(""T""&amp;($B15-1)&amp;""_""&amp;$D15,$A:$A,$O:$O),0)
  )
  +IFERROR(XLOOKUP(REGEXEXTRACT($J15,""^[^｜]+""),tr_mst!$A:$A,tr_mst!$D:$D),0)
  +IFERROR(XLOOKUP(REGEXEXTRACT($K15,""^[^｜]+""),tc_mst!$A:$A,tc_mst!$D:$D)"&amp;",0)
  +
  (
   IFERROR(XLOOKUP(REGEXEXTRACT($M15,""^[^｜]+""),ac_mst!$A:$A,ac_mst!$G:$G),0)
   +IFERROR(XLOOKUP(REGEXEXTRACT($N15,""^[^｜]+""),ac_mst!$A:$A,ac_mst!$G:$G),0)
   +IFERROR(
    XLOOKUP(
     IF(
      OR(
       IFERROR(REGEXEXTRACT($M15,""^[^｜"&amp;"]+""),"""")="""",
       IFERROR(REGEXEXTRACT($N15,""^[^｜]+""),"""")=""""
      ),
      """",
      IF(
       IFERROR(REGEXEXTRACT($M15,""^[^｜]+""),"""")&lt;IFERROR(REGEXEXTRACT($N15,""^[^｜]+""),""""),
       IFERROR(REGEXEXTRACT($M15,""^[^｜]+""),"""")&amp;""_"&amp;"""&amp;IFERROR(REGEXEXTRACT($N15,""^[^｜]+""),""""),
       IFERROR(REGEXEXTRACT($N15,""^[^｜]+""),"""")&amp;""_""&amp;IFERROR(REGEXEXTRACT($M15,""^[^｜]+""),"""")
      )
     ),
     sy_mst!$A:$A,
     sy_mst!$D:$D
    ),
    0
   )
  )
  *
  IFERROR(XLOOKUP(REGEXEXTR"&amp;"ACT($I15,""^[^｜]+""),ms_mst!$A:$A,ms_mst!$L:$L),1)
  *
  IF(
   $B15&gt;=IFERROR(XLOOKUP(REGEXEXTRACT($L15,""^[^｜]+""),sk_mst!$A:$A,sk_mst!$M:$M),999),
   IFERROR(XLOOKUP(REGEXEXTRACT($L15,""^[^｜]+""),sk_mst!$A:$A,sk_mst!$F:$F),1),
   1
  )
 )
)"),1200.0)</f>
        <v>1200</v>
      </c>
      <c r="P15" s="25">
        <f>IFERROR(__xludf.DUMMYFUNCTION("IF($A15="""","""",
 IF($F15=""market"",
  IFERROR(XLOOKUP(REGEXEXTRACT($J15,""^[^｜]+""),tr_mst!$A:$A,tr_mst!$E:$E),0)
  +IFERROR(XLOOKUP(REGEXEXTRACT($K15,""^[^｜]+""),tc_mst!$A:$A,tc_mst!$E:$E),0),
  IF($B15=0,
   IFERROR(XLOOKUP(REGEXEXTRACT($I15,""^[^｜]"&amp;"+""),ms_mst!$A:$A,ms_mst!$E:$E),0),
   IFERROR(XLOOKUP(""T""&amp;($B15-1)&amp;""_""&amp;$D15,$A:$A,$P:$P),0)
  )
  +IFERROR(XLOOKUP(REGEXEXTRACT($J15,""^[^｜]+""),tr_mst!$A:$A,tr_mst!$E:$E),0)
  +IFERROR(XLOOKUP(REGEXEXTRACT($K15,""^[^｜]+""),tc_mst!$A:$A,tc_mst!$E:$E)"&amp;",0)
  +
  (
   IFERROR(XLOOKUP(REGEXEXTRACT($M15,""^[^｜]+""),ac_mst!$A:$A,ac_mst!$H:$H),0)
   +IFERROR(XLOOKUP(REGEXEXTRACT($N15,""^[^｜]+""),ac_mst!$A:$A,ac_mst!$H:$H),0)
   +IFERROR(
    XLOOKUP(
     IF(
      OR(
       IFERROR(REGEXEXTRACT($M15,""^[^｜"&amp;"]+""),"""")="""",
       IFERROR(REGEXEXTRACT($N15,""^[^｜]+""),"""")=""""
      ),
      """",
      IF(
       IFERROR(REGEXEXTRACT($M15,""^[^｜]+""),"""")&lt;IFERROR(REGEXEXTRACT($N15,""^[^｜]+""),""""),
       IFERROR(REGEXEXTRACT($M15,""^[^｜]+""),"""")&amp;""_"&amp;"""&amp;IFERROR(REGEXEXTRACT($N15,""^[^｜]+""),""""),
       IFERROR(REGEXEXTRACT($N15,""^[^｜]+""),"""")&amp;""_""&amp;IFERROR(REGEXEXTRACT($M15,""^[^｜]+""),"""")
      )
     ),
     sy_mst!$A:$A,
     sy_mst!$E:$E
    ),
    0
   )
  )
  *
  IFERROR(XLOOKUP(REGEXEXTR"&amp;"ACT($I15,""^[^｜]+""),ms_mst!$A:$A,ms_mst!$M:$M),1)
  *
  IF(
   $B15&gt;=IFERROR(XLOOKUP(REGEXEXTRACT($L15,""^[^｜]+""),sk_mst!$A:$A,sk_mst!$M:$M),999),
   IFERROR(XLOOKUP(REGEXEXTRACT($L15,""^[^｜]+""),sk_mst!$A:$A,sk_mst!$G:$G),1),
   1
  )
 )
)"),-200.0)</f>
        <v>-200</v>
      </c>
      <c r="Q15" s="25">
        <f>IFERROR(__xludf.DUMMYFUNCTION("IF($A15="""","""",
 IF($F15=""market"",
  IFERROR(XLOOKUP(REGEXEXTRACT($J15,""^[^｜]+""),tr_mst!$A:$A,tr_mst!$F:$F),0)
  +IFERROR(XLOOKUP(REGEXEXTRACT($K15,""^[^｜]+""),tc_mst!$A:$A,tc_mst!$F:$F),0),
  IF($B15=0,
   IFERROR(XLOOKUP(REGEXEXTRACT($I15,""^[^｜]"&amp;"+""),ms_mst!$A:$A,ms_mst!$F:$F),0),
   IFERROR(XLOOKUP(""T""&amp;($B15-1)&amp;""_""&amp;$D15,$A:$A,$Q:$Q),0)
  )
  +IFERROR(XLOOKUP(REGEXEXTRACT($J15,""^[^｜]+""),tr_mst!$A:$A,tr_mst!$F:$F),0)
  +IFERROR(XLOOKUP(REGEXEXTRACT($K15,""^[^｜]+""),tc_mst!$A:$A,tc_mst!$F:$F)"&amp;",0)
  +
  (
   IFERROR(XLOOKUP(REGEXEXTRACT($M15,""^[^｜]+""),ac_mst!$A:$A,ac_mst!$I:$I),0)
   +IFERROR(XLOOKUP(REGEXEXTRACT($N15,""^[^｜]+""),ac_mst!$A:$A,ac_mst!$I:$I),0)
   +IFERROR(
    XLOOKUP(
     IF(
      OR(
       IFERROR(REGEXEXTRACT($M15,""^[^｜"&amp;"]+""),"""")="""",
       IFERROR(REGEXEXTRACT($N15,""^[^｜]+""),"""")=""""
      ),
      """",
      IF(
       IFERROR(REGEXEXTRACT($M15,""^[^｜]+""),"""")&lt;IFERROR(REGEXEXTRACT($N15,""^[^｜]+""),""""),
       IFERROR(REGEXEXTRACT($M15,""^[^｜]+""),"""")&amp;""_"&amp;"""&amp;IFERROR(REGEXEXTRACT($N15,""^[^｜]+""),""""),
       IFERROR(REGEXEXTRACT($N15,""^[^｜]+""),"""")&amp;""_""&amp;IFERROR(REGEXEXTRACT($M15,""^[^｜]+""),"""")
      )
     ),
     sy_mst!$A:$A,
     sy_mst!$F:$F
    ),
    0
   )
  )
  *
  IFERROR(XLOOKUP(REGEXEXTR"&amp;"ACT($I15,""^[^｜]+""),ms_mst!$A:$A,ms_mst!$N:$N),1)
  *
  IF(
   $B15&gt;=IFERROR(XLOOKUP(REGEXEXTRACT($L15,""^[^｜]+""),sk_mst!$A:$A,sk_mst!$M:$M),999),
   IFERROR(XLOOKUP(REGEXEXTRACT($L15,""^[^｜]+""),sk_mst!$A:$A,sk_mst!$H:$H),1),
   1
  )
 )
)"),0.0)</f>
        <v>0</v>
      </c>
      <c r="R15" s="25">
        <f>IFERROR(__xludf.DUMMYFUNCTION("IF($A15="""","""",
 IF($F15=""market"",
  IFERROR(XLOOKUP(REGEXEXTRACT($J15,""^[^｜]+""),tr_mst!$A:$A,tr_mst!$G:$G),0)
  +IFERROR(XLOOKUP(REGEXEXTRACT($K15,""^[^｜]+""),tc_mst!$A:$A,tc_mst!$G:$G),0),
  IF($B15=0,
   IFERROR(XLOOKUP(REGEXEXTRACT($I15,""^[^｜]"&amp;"+""),ms_mst!$A:$A,ms_mst!$G:$G),0),
   IFERROR(XLOOKUP(""T""&amp;($B15-1)&amp;""_""&amp;$D15,$A:$A,$R:$R),0)
  )
  +IFERROR(XLOOKUP(REGEXEXTRACT($J15,""^[^｜]+""),tr_mst!$A:$A,tr_mst!$G:$G),0)
  +IFERROR(XLOOKUP(REGEXEXTRACT($K15,""^[^｜]+""),tc_mst!$A:$A,tc_mst!$G:$G)"&amp;",0)
  +
  (
   IFERROR(XLOOKUP(REGEXEXTRACT($M15,""^[^｜]+""),ac_mst!$A:$A,ac_mst!$J:$J),0)
   +IFERROR(XLOOKUP(REGEXEXTRACT($N15,""^[^｜]+""),ac_mst!$A:$A,ac_mst!$J:$J),0)
   +IFERROR(
    XLOOKUP(
     IF(
      OR(
       IFERROR(REGEXEXTRACT($M15,""^[^｜"&amp;"]+""),"""")="""",
       IFERROR(REGEXEXTRACT($N15,""^[^｜]+""),"""")=""""
      ),
      """",
      IF(
       IFERROR(REGEXEXTRACT($M15,""^[^｜]+""),"""")&lt;IFERROR(REGEXEXTRACT($N15,""^[^｜]+""),""""),
       IFERROR(REGEXEXTRACT($M15,""^[^｜]+""),"""")&amp;""_"&amp;"""&amp;IFERROR(REGEXEXTRACT($N15,""^[^｜]+""),""""),
       IFERROR(REGEXEXTRACT($N15,""^[^｜]+""),"""")&amp;""_""&amp;IFERROR(REGEXEXTRACT($M15,""^[^｜]+""),"""")
      )
     ),
     sy_mst!$A:$A,
     sy_mst!$G:$G
    ),
    0
   )
  )
  *
  IFERROR(XLOOKUP(REGEXEXTR"&amp;"ACT($I15,""^[^｜]+""),ms_mst!$A:$A,ms_mst!$O:$O),1)
  *
  IF(
   $B15&gt;=IFERROR(XLOOKUP(REGEXEXTRACT($L15,""^[^｜]+""),sk_mst!$A:$A,sk_mst!$M:$M),999),
   IFERROR(XLOOKUP(REGEXEXTRACT($L15,""^[^｜]+""),sk_mst!$A:$A,sk_mst!$I:$I),1),
   1
  )
 )
)"),0.0)</f>
        <v>0</v>
      </c>
      <c r="S15" s="25">
        <f>IFERROR(__xludf.DUMMYFUNCTION("IF($A15="""","""",
 IF($F15=""market"",
  IFERROR(XLOOKUP(REGEXEXTRACT($J15,""^[^｜]+""),tr_mst!$A:$A,tr_mst!$H:$H),0)
  +IFERROR(XLOOKUP(REGEXEXTRACT($K15,""^[^｜]+""),tc_mst!$A:$A,tc_mst!$H:$H),0),
  IF($B15=0,
   IFERROR(XLOOKUP(REGEXEXTRACT($I15,""^[^｜]"&amp;"+""),ms_mst!$A:$A,ms_mst!$H:$H),0),
   IFERROR(XLOOKUP(""T""&amp;($B15-1)&amp;""_""&amp;$D15,$A:$A,$S:$S),0)
  )
  +IFERROR(XLOOKUP(REGEXEXTRACT($J15,""^[^｜]+""),tr_mst!$A:$A,tr_mst!$H:$H),0)
  +IFERROR(XLOOKUP(REGEXEXTRACT($K15,""^[^｜]+""),tc_mst!$A:$A,tc_mst!$H:$H)"&amp;",0)
  +
  (
   IFERROR(XLOOKUP(REGEXEXTRACT($M15,""^[^｜]+""),ac_mst!$A:$A,ac_mst!$K:$K),0)
   +IFERROR(XLOOKUP(REGEXEXTRACT($N15,""^[^｜]+""),ac_mst!$A:$A,ac_mst!$K:$K),0)
   +IFERROR(
    XLOOKUP(
     IF(
      OR(
       IFERROR(REGEXEXTRACT($M15,""^[^｜"&amp;"]+""),"""")="""",
       IFERROR(REGEXEXTRACT($N15,""^[^｜]+""),"""")=""""
      ),
      """",
      IF(
       IFERROR(REGEXEXTRACT($M15,""^[^｜]+""),"""")&lt;IFERROR(REGEXEXTRACT($N15,""^[^｜]+""),""""),
       IFERROR(REGEXEXTRACT($M15,""^[^｜]+""),"""")&amp;""_"&amp;"""&amp;IFERROR(REGEXEXTRACT($N15,""^[^｜]+""),""""),
       IFERROR(REGEXEXTRACT($N15,""^[^｜]+""),"""")&amp;""_""&amp;IFERROR(REGEXEXTRACT($M15,""^[^｜]+""),"""")
      )
     ),
     sy_mst!$A:$A,
     sy_mst!$H:$H
    ),
    0
   )
  )
  *
  IFERROR(XLOOKUP(REGEXEXTR"&amp;"ACT($I15,""^[^｜]+""),ms_mst!$A:$A,ms_mst!$P:$P),1)
  *
  IF(
   $B15&gt;=IFERROR(XLOOKUP(REGEXEXTRACT($L15,""^[^｜]+""),sk_mst!$A:$A,sk_mst!$M:$M),999),
   IFERROR(XLOOKUP(REGEXEXTRACT($L15,""^[^｜]+""),sk_mst!$A:$A,sk_mst!$J:$J),1),
   1
  )
 )
)"),0.0)</f>
        <v>0</v>
      </c>
      <c r="T15" s="25">
        <f>IFERROR(__xludf.DUMMYFUNCTION("IF($A15="""","""",
 IF($F15=""market"",
  IFERROR(XLOOKUP(REGEXEXTRACT($J15,""^[^｜]+""),tr_mst!$A:$A,tr_mst!$I:$I),0)
  +IFERROR(XLOOKUP(REGEXEXTRACT($K15,""^[^｜]+""),tc_mst!$A:$A,tc_mst!$I:$I),0),
  IF($B15=0,
   IFERROR(XLOOKUP(REGEXEXTRACT($I15,""^[^｜]"&amp;"+""),ms_mst!$A:$A,ms_mst!$I:$I),0),
   IFERROR(XLOOKUP(""T""&amp;($B15-1)&amp;""_""&amp;$D15,$A:$A,$T:$T),0)
  )
  +IFERROR(XLOOKUP(REGEXEXTRACT($J15,""^[^｜]+""),tr_mst!$A:$A,tr_mst!$I:$I),0)
  +IFERROR(XLOOKUP(REGEXEXTRACT($K15,""^[^｜]+""),tc_mst!$A:$A,tc_mst!$I:$I)"&amp;",0)
  +
  (
   IFERROR(XLOOKUP(REGEXEXTRACT($M15,""^[^｜]+""),ac_mst!$A:$A,ac_mst!$L:$L),0)
   +IFERROR(XLOOKUP(REGEXEXTRACT($N15,""^[^｜]+""),ac_mst!$A:$A,ac_mst!$L:$L),0)
   +IFERROR(
    XLOOKUP(
     IF(
      OR(
       IFERROR(REGEXEXTRACT($M15,""^[^｜"&amp;"]+""),"""")="""",
       IFERROR(REGEXEXTRACT($N15,""^[^｜]+""),"""")=""""
      ),
      """",
      IF(
       IFERROR(REGEXEXTRACT($M15,""^[^｜]+""),"""")&lt;IFERROR(REGEXEXTRACT($N15,""^[^｜]+""),""""),
       IFERROR(REGEXEXTRACT($M15,""^[^｜]+""),"""")&amp;""_"&amp;"""&amp;IFERROR(REGEXEXTRACT($N15,""^[^｜]+""),""""),
       IFERROR(REGEXEXTRACT($N15,""^[^｜]+""),"""")&amp;""_""&amp;IFERROR(REGEXEXTRACT($M15,""^[^｜]+""),"""")
      )
     ),
     sy_mst!$A:$A,
     sy_mst!$I:$I
    ),
    0
   )
  )
  *
  IFERROR(XLOOKUP(REGEXEXTR"&amp;"ACT($I15,""^[^｜]+""),ms_mst!$A:$A,ms_mst!$Q:$Q),1)
  *
  IF(
   $B15&gt;=IFERROR(XLOOKUP(REGEXEXTRACT($L15,""^[^｜]+""),sk_mst!$A:$A,sk_mst!$M:$M),999),
   IFERROR(XLOOKUP(REGEXEXTRACT($L15,""^[^｜]+""),sk_mst!$A:$A,sk_mst!$K:$K),1),
   1
  )
 )
)"),0.0)</f>
        <v>0</v>
      </c>
      <c r="U15" s="25">
        <f>IFERROR(__xludf.DUMMYFUNCTION("IF($A15="""","""",
 IF($F15=""market"",
  IFERROR(XLOOKUP(REGEXEXTRACT($J15,""^[^｜]+""),tr_mst!$A:$A,tr_mst!$J:$J),0)
  +IFERROR(XLOOKUP(REGEXEXTRACT($K15,""^[^｜]+""),tc_mst!$A:$A,tc_mst!$J:$J),0),
  IF($B15=0,
   IFERROR(XLOOKUP(REGEXEXTRACT($I15,""^[^｜]"&amp;"+""),ms_mst!$A:$A,ms_mst!$J:$J),0),
   IFERROR(XLOOKUP(""T""&amp;($B15-1)&amp;""_""&amp;$D15,$A:$A,$U:$U),0)
  )
  +IFERROR(XLOOKUP(REGEXEXTRACT($J15,""^[^｜]+""),tr_mst!$A:$A,tr_mst!$J:$J),0)
  +IFERROR(XLOOKUP(REGEXEXTRACT($K15,""^[^｜]+""),tc_mst!$A:$A,tc_mst!$J:$J)"&amp;",0)
  +
  (
   IFERROR(XLOOKUP(REGEXEXTRACT($M15,""^[^｜]+""),ac_mst!$A:$A,ac_mst!$M:$M),0)
   +IFERROR(XLOOKUP(REGEXEXTRACT($N15,""^[^｜]+""),ac_mst!$A:$A,ac_mst!$M:$M),0)
   +IFERROR(
    XLOOKUP(
     IF(
      OR(
       IFERROR(REGEXEXTRACT($M15,""^[^｜"&amp;"]+""),"""")="""",
       IFERROR(REGEXEXTRACT($N15,""^[^｜]+""),"""")=""""
      ),
      """",
      IF(
       IFERROR(REGEXEXTRACT($M15,""^[^｜]+""),"""")&lt;IFERROR(REGEXEXTRACT($N15,""^[^｜]+""),""""),
       IFERROR(REGEXEXTRACT($M15,""^[^｜]+""),"""")&amp;""_"&amp;"""&amp;IFERROR(REGEXEXTRACT($N15,""^[^｜]+""),""""),
       IFERROR(REGEXEXTRACT($N15,""^[^｜]+""),"""")&amp;""_""&amp;IFERROR(REGEXEXTRACT($M15,""^[^｜]+""),"""")
      )
     ),
     sy_mst!$A:$A,
     sy_mst!$J:$J
    ),
    0
   )
  )
  *
  IFERROR(XLOOKUP(REGEXEXTR"&amp;"ACT($I15,""^[^｜]+""),ms_mst!$A:$A,ms_mst!$R:$R),1)
  *
  IF(
   $B15&gt;=IFERROR(XLOOKUP(REGEXEXTRACT($L15,""^[^｜]+""),sk_mst!$A:$A,sk_mst!$M:$M),999),
   IFERROR(XLOOKUP(REGEXEXTRACT($L15,""^[^｜]+""),sk_mst!$A:$A,sk_mst!$L:$L),1),
   1
  )
 )
)"),5.0)</f>
        <v>5</v>
      </c>
      <c r="V15" s="25" t="str">
        <f t="shared" si="1"/>
        <v/>
      </c>
      <c r="W15" s="25" t="str">
        <f t="shared" si="2"/>
        <v/>
      </c>
      <c r="X15" s="25" t="str">
        <f t="shared" si="3"/>
        <v/>
      </c>
      <c r="Y15" s="25" t="str">
        <f t="shared" si="4"/>
        <v/>
      </c>
      <c r="Z15" s="25" t="str">
        <f>IFERROR(__xludf.DUMMYFUNCTION("IF($A15="""","""",
 IF($F15&lt;&gt;""player"","""",
  IFERROR(
   RANK(
    $X15,
    FILTER($X:$X,$B:$B=$B15,$F:$F=""player"",$X:$X&lt;&gt;""""),
    0
   ),
   """"
  )
 )
)"),"")</f>
        <v/>
      </c>
      <c r="AA15" s="25" t="str">
        <f t="shared" si="5"/>
        <v/>
      </c>
      <c r="AB15" s="26" t="str">
        <f t="shared" si="6"/>
        <v/>
      </c>
    </row>
    <row r="16">
      <c r="A16" s="14" t="s">
        <v>189</v>
      </c>
      <c r="B16" s="25">
        <v>1.0</v>
      </c>
      <c r="C16" s="14" t="s">
        <v>151</v>
      </c>
      <c r="D16" s="14" t="s">
        <v>152</v>
      </c>
      <c r="E16" s="25" t="s">
        <v>153</v>
      </c>
      <c r="F16" s="25" t="s">
        <v>154</v>
      </c>
      <c r="G16" s="25" t="str">
        <f>IFERROR(__xludf.DUMMYFUNCTION("IF($F16=""market"","""",IFERROR(FILTER(member_log!$B$10:$B947,member_log!$C$10:$C947=$C16,member_log!$D$10:$D947=$E16,member_log!$G$10:$G947=""active""),""""))"),"")</f>
        <v/>
      </c>
      <c r="H16" s="25" t="str">
        <f>IFERROR(__xludf.DUMMYFUNCTION("IF($F16=""market"","""",IFERROR(FILTER(member_log!$E$10:$E947,member_log!$C$10:$C947=$C16,member_log!$D$10:$D947=$E16,member_log!$G$10:$G947=""active""),""""))"),"")</f>
        <v/>
      </c>
      <c r="I16" s="25" t="str">
        <f>IFERROR(__xludf.DUMMYFUNCTION("IF($F16&lt;&gt;""player"","""",IFERROR(INDEX(FILTER(group_setup!$D$2:$D947,group_setup!$B$2:$B947=$C16,group_setup!$G$2:$G947=TRUE,group_setup!$H$2:$H947=""completed""),1),""""))"),"M03")</f>
        <v>M03</v>
      </c>
      <c r="J16" s="25" t="str">
        <f>IFERROR(__xludf.DUMMYFUNCTION("IFERROR(FILTER(market_event_log!$D$2:$D947,market_event_log!$C$2:$C947=$B16,market_event_log!$N$2:$N947=""active""),"""")"),"T01")</f>
        <v>T01</v>
      </c>
      <c r="K16" s="25" t="str">
        <f>IFERROR(__xludf.DUMMYFUNCTION("IFERROR(FILTER(market_event_log!$G$2:$G947,market_event_log!$C$2:$C947=$B16,market_event_log!$N$2:$N947=""active""),"""")"),"C01")</f>
        <v>C01</v>
      </c>
      <c r="L16" s="25" t="str">
        <f>IFERROR(__xludf.DUMMYFUNCTION("IF($F16&lt;&gt;""player"","""",IFERROR(INDEX(FILTER(group_setup!$E$2:$E947,group_setup!$B$2:$B947=$C16,group_setup!$G$2:$G947=TRUE,group_setup!$H$2:$H947=""completed""),1),""""))"),"S02")</f>
        <v>S02</v>
      </c>
      <c r="M16" s="25" t="str">
        <f>IFERROR(__xludf.DUMMYFUNCTION("IF($F16=""market"","""",IF($E16=""HUMAN"",IFERROR(FILTER(turn_log!$G$2:$G947,turn_log!$C$2:$C947=$B16,turn_log!$D$2:$D947=$C16,turn_log!$F$2:$F947=$E16),""""),IFERROR(FILTER(turn_log!$I$2:$I947,turn_log!$C$2:$C947=$B16,turn_log!$D$2:$D947=$C16,turn_log!$F"&amp;"$2:$F947=$E16),"""")))"),"A06")</f>
        <v>A06</v>
      </c>
      <c r="N16" s="25" t="str">
        <f>IFERROR(__xludf.DUMMYFUNCTION("IF($F16=""market"","""",IF($E16=""HUMAN"",IFERROR(FILTER(turn_log!$H$2:$H947,turn_log!$C$2:$C947=$B16,turn_log!$D$2:$D947=$C16,turn_log!$F$2:$F947=$E16),""""),IFERROR(FILTER(turn_log!$J$2:$J947,turn_log!$C$2:$C947=$B16,turn_log!$D$2:$D947=$C16,turn_log!$F"&amp;"$2:$F947=$E16),"""")))"),"A11")</f>
        <v>A11</v>
      </c>
      <c r="O16" s="25">
        <f>IFERROR(__xludf.DUMMYFUNCTION("IF($A16="""","""",
 IF($F16=""market"",
  IFERROR(XLOOKUP(REGEXEXTRACT($J16,""^[^｜]+""),tr_mst!$A:$A,tr_mst!$D:$D),0)
  +IFERROR(XLOOKUP(REGEXEXTRACT($K16,""^[^｜]+""),tc_mst!$A:$A,tc_mst!$D:$D),0),
  IF($B16=0,
   IFERROR(XLOOKUP(REGEXEXTRACT($I16,""^[^｜]"&amp;"+""),ms_mst!$A:$A,ms_mst!$D:$D),0),
   IFERROR(XLOOKUP(""T""&amp;($B16-1)&amp;""_""&amp;$D16,$A:$A,$O:$O),0)
  )
  +IFERROR(XLOOKUP(REGEXEXTRACT($J16,""^[^｜]+""),tr_mst!$A:$A,tr_mst!$D:$D),0)
  +IFERROR(XLOOKUP(REGEXEXTRACT($K16,""^[^｜]+""),tc_mst!$A:$A,tc_mst!$D:$D)"&amp;",0)
  +
  (
   IFERROR(XLOOKUP(REGEXEXTRACT($M16,""^[^｜]+""),ac_mst!$A:$A,ac_mst!$G:$G),0)
   +IFERROR(XLOOKUP(REGEXEXTRACT($N16,""^[^｜]+""),ac_mst!$A:$A,ac_mst!$G:$G),0)
   +IFERROR(
    XLOOKUP(
     IF(
      OR(
       IFERROR(REGEXEXTRACT($M16,""^[^｜"&amp;"]+""),"""")="""",
       IFERROR(REGEXEXTRACT($N16,""^[^｜]+""),"""")=""""
      ),
      """",
      IF(
       IFERROR(REGEXEXTRACT($M16,""^[^｜]+""),"""")&lt;IFERROR(REGEXEXTRACT($N16,""^[^｜]+""),""""),
       IFERROR(REGEXEXTRACT($M16,""^[^｜]+""),"""")&amp;""_"&amp;"""&amp;IFERROR(REGEXEXTRACT($N16,""^[^｜]+""),""""),
       IFERROR(REGEXEXTRACT($N16,""^[^｜]+""),"""")&amp;""_""&amp;IFERROR(REGEXEXTRACT($M16,""^[^｜]+""),"""")
      )
     ),
     sy_mst!$A:$A,
     sy_mst!$D:$D
    ),
    0
   )
  )
  *
  IFERROR(XLOOKUP(REGEXEXTR"&amp;"ACT($I16,""^[^｜]+""),ms_mst!$A:$A,ms_mst!$L:$L),1)
  *
  IF(
   $B16&gt;=IFERROR(XLOOKUP(REGEXEXTRACT($L16,""^[^｜]+""),sk_mst!$A:$A,sk_mst!$M:$M),999),
   IFERROR(XLOOKUP(REGEXEXTRACT($L16,""^[^｜]+""),sk_mst!$A:$A,sk_mst!$F:$F),1),
   1
  )
 )
)"),10275.0)</f>
        <v>10275</v>
      </c>
      <c r="P16" s="25">
        <f>IFERROR(__xludf.DUMMYFUNCTION("IF($A16="""","""",
 IF($F16=""market"",
  IFERROR(XLOOKUP(REGEXEXTRACT($J16,""^[^｜]+""),tr_mst!$A:$A,tr_mst!$E:$E),0)
  +IFERROR(XLOOKUP(REGEXEXTRACT($K16,""^[^｜]+""),tc_mst!$A:$A,tc_mst!$E:$E),0),
  IF($B16=0,
   IFERROR(XLOOKUP(REGEXEXTRACT($I16,""^[^｜]"&amp;"+""),ms_mst!$A:$A,ms_mst!$E:$E),0),
   IFERROR(XLOOKUP(""T""&amp;($B16-1)&amp;""_""&amp;$D16,$A:$A,$P:$P),0)
  )
  +IFERROR(XLOOKUP(REGEXEXTRACT($J16,""^[^｜]+""),tr_mst!$A:$A,tr_mst!$E:$E),0)
  +IFERROR(XLOOKUP(REGEXEXTRACT($K16,""^[^｜]+""),tc_mst!$A:$A,tc_mst!$E:$E)"&amp;",0)
  +
  (
   IFERROR(XLOOKUP(REGEXEXTRACT($M16,""^[^｜]+""),ac_mst!$A:$A,ac_mst!$H:$H),0)
   +IFERROR(XLOOKUP(REGEXEXTRACT($N16,""^[^｜]+""),ac_mst!$A:$A,ac_mst!$H:$H),0)
   +IFERROR(
    XLOOKUP(
     IF(
      OR(
       IFERROR(REGEXEXTRACT($M16,""^[^｜"&amp;"]+""),"""")="""",
       IFERROR(REGEXEXTRACT($N16,""^[^｜]+""),"""")=""""
      ),
      """",
      IF(
       IFERROR(REGEXEXTRACT($M16,""^[^｜]+""),"""")&lt;IFERROR(REGEXEXTRACT($N16,""^[^｜]+""),""""),
       IFERROR(REGEXEXTRACT($M16,""^[^｜]+""),"""")&amp;""_"&amp;"""&amp;IFERROR(REGEXEXTRACT($N16,""^[^｜]+""),""""),
       IFERROR(REGEXEXTRACT($N16,""^[^｜]+""),"""")&amp;""_""&amp;IFERROR(REGEXEXTRACT($M16,""^[^｜]+""),"""")
      )
     ),
     sy_mst!$A:$A,
     sy_mst!$E:$E
    ),
    0
   )
  )
  *
  IFERROR(XLOOKUP(REGEXEXTR"&amp;"ACT($I16,""^[^｜]+""),ms_mst!$A:$A,ms_mst!$M:$M),1)
  *
  IF(
   $B16&gt;=IFERROR(XLOOKUP(REGEXEXTRACT($L16,""^[^｜]+""),sk_mst!$A:$A,sk_mst!$M:$M),999),
   IFERROR(XLOOKUP(REGEXEXTRACT($L16,""^[^｜]+""),sk_mst!$A:$A,sk_mst!$G:$G),1),
   1
  )
 )
)"),1300.0)</f>
        <v>1300</v>
      </c>
      <c r="Q16" s="25">
        <f>IFERROR(__xludf.DUMMYFUNCTION("IF($A16="""","""",
 IF($F16=""market"",
  IFERROR(XLOOKUP(REGEXEXTRACT($J16,""^[^｜]+""),tr_mst!$A:$A,tr_mst!$F:$F),0)
  +IFERROR(XLOOKUP(REGEXEXTRACT($K16,""^[^｜]+""),tc_mst!$A:$A,tc_mst!$F:$F),0),
  IF($B16=0,
   IFERROR(XLOOKUP(REGEXEXTRACT($I16,""^[^｜]"&amp;"+""),ms_mst!$A:$A,ms_mst!$F:$F),0),
   IFERROR(XLOOKUP(""T""&amp;($B16-1)&amp;""_""&amp;$D16,$A:$A,$Q:$Q),0)
  )
  +IFERROR(XLOOKUP(REGEXEXTRACT($J16,""^[^｜]+""),tr_mst!$A:$A,tr_mst!$F:$F),0)
  +IFERROR(XLOOKUP(REGEXEXTRACT($K16,""^[^｜]+""),tc_mst!$A:$A,tc_mst!$F:$F)"&amp;",0)
  +
  (
   IFERROR(XLOOKUP(REGEXEXTRACT($M16,""^[^｜]+""),ac_mst!$A:$A,ac_mst!$I:$I),0)
   +IFERROR(XLOOKUP(REGEXEXTRACT($N16,""^[^｜]+""),ac_mst!$A:$A,ac_mst!$I:$I),0)
   +IFERROR(
    XLOOKUP(
     IF(
      OR(
       IFERROR(REGEXEXTRACT($M16,""^[^｜"&amp;"]+""),"""")="""",
       IFERROR(REGEXEXTRACT($N16,""^[^｜]+""),"""")=""""
      ),
      """",
      IF(
       IFERROR(REGEXEXTRACT($M16,""^[^｜]+""),"""")&lt;IFERROR(REGEXEXTRACT($N16,""^[^｜]+""),""""),
       IFERROR(REGEXEXTRACT($M16,""^[^｜]+""),"""")&amp;""_"&amp;"""&amp;IFERROR(REGEXEXTRACT($N16,""^[^｜]+""),""""),
       IFERROR(REGEXEXTRACT($N16,""^[^｜]+""),"""")&amp;""_""&amp;IFERROR(REGEXEXTRACT($M16,""^[^｜]+""),"""")
      )
     ),
     sy_mst!$A:$A,
     sy_mst!$F:$F
    ),
    0
   )
  )
  *
  IFERROR(XLOOKUP(REGEXEXTR"&amp;"ACT($I16,""^[^｜]+""),ms_mst!$A:$A,ms_mst!$N:$N),1)
  *
  IF(
   $B16&gt;=IFERROR(XLOOKUP(REGEXEXTRACT($L16,""^[^｜]+""),sk_mst!$A:$A,sk_mst!$M:$M),999),
   IFERROR(XLOOKUP(REGEXEXTRACT($L16,""^[^｜]+""),sk_mst!$A:$A,sk_mst!$H:$H),1),
   1
  )
 )
)"),0.51)</f>
        <v>0.51</v>
      </c>
      <c r="R16" s="25">
        <f>IFERROR(__xludf.DUMMYFUNCTION("IF($A16="""","""",
 IF($F16=""market"",
  IFERROR(XLOOKUP(REGEXEXTRACT($J16,""^[^｜]+""),tr_mst!$A:$A,tr_mst!$G:$G),0)
  +IFERROR(XLOOKUP(REGEXEXTRACT($K16,""^[^｜]+""),tc_mst!$A:$A,tc_mst!$G:$G),0),
  IF($B16=0,
   IFERROR(XLOOKUP(REGEXEXTRACT($I16,""^[^｜]"&amp;"+""),ms_mst!$A:$A,ms_mst!$G:$G),0),
   IFERROR(XLOOKUP(""T""&amp;($B16-1)&amp;""_""&amp;$D16,$A:$A,$R:$R),0)
  )
  +IFERROR(XLOOKUP(REGEXEXTRACT($J16,""^[^｜]+""),tr_mst!$A:$A,tr_mst!$G:$G),0)
  +IFERROR(XLOOKUP(REGEXEXTRACT($K16,""^[^｜]+""),tc_mst!$A:$A,tc_mst!$G:$G)"&amp;",0)
  +
  (
   IFERROR(XLOOKUP(REGEXEXTRACT($M16,""^[^｜]+""),ac_mst!$A:$A,ac_mst!$J:$J),0)
   +IFERROR(XLOOKUP(REGEXEXTRACT($N16,""^[^｜]+""),ac_mst!$A:$A,ac_mst!$J:$J),0)
   +IFERROR(
    XLOOKUP(
     IF(
      OR(
       IFERROR(REGEXEXTRACT($M16,""^[^｜"&amp;"]+""),"""")="""",
       IFERROR(REGEXEXTRACT($N16,""^[^｜]+""),"""")=""""
      ),
      """",
      IF(
       IFERROR(REGEXEXTRACT($M16,""^[^｜]+""),"""")&lt;IFERROR(REGEXEXTRACT($N16,""^[^｜]+""),""""),
       IFERROR(REGEXEXTRACT($M16,""^[^｜]+""),"""")&amp;""_"&amp;"""&amp;IFERROR(REGEXEXTRACT($N16,""^[^｜]+""),""""),
       IFERROR(REGEXEXTRACT($N16,""^[^｜]+""),"""")&amp;""_""&amp;IFERROR(REGEXEXTRACT($M16,""^[^｜]+""),"""")
      )
     ),
     sy_mst!$A:$A,
     sy_mst!$G:$G
    ),
    0
   )
  )
  *
  IFERROR(XLOOKUP(REGEXEXTR"&amp;"ACT($I16,""^[^｜]+""),ms_mst!$A:$A,ms_mst!$O:$O),1)
  *
  IF(
   $B16&gt;=IFERROR(XLOOKUP(REGEXEXTRACT($L16,""^[^｜]+""),sk_mst!$A:$A,sk_mst!$M:$M),999),
   IFERROR(XLOOKUP(REGEXEXTRACT($L16,""^[^｜]+""),sk_mst!$A:$A,sk_mst!$I:$I),1),
   1
  )
 )
)"),1.819)</f>
        <v>1.819</v>
      </c>
      <c r="S16" s="25">
        <f>IFERROR(__xludf.DUMMYFUNCTION("IF($A16="""","""",
 IF($F16=""market"",
  IFERROR(XLOOKUP(REGEXEXTRACT($J16,""^[^｜]+""),tr_mst!$A:$A,tr_mst!$H:$H),0)
  +IFERROR(XLOOKUP(REGEXEXTRACT($K16,""^[^｜]+""),tc_mst!$A:$A,tc_mst!$H:$H),0),
  IF($B16=0,
   IFERROR(XLOOKUP(REGEXEXTRACT($I16,""^[^｜]"&amp;"+""),ms_mst!$A:$A,ms_mst!$H:$H),0),
   IFERROR(XLOOKUP(""T""&amp;($B16-1)&amp;""_""&amp;$D16,$A:$A,$S:$S),0)
  )
  +IFERROR(XLOOKUP(REGEXEXTRACT($J16,""^[^｜]+""),tr_mst!$A:$A,tr_mst!$H:$H),0)
  +IFERROR(XLOOKUP(REGEXEXTRACT($K16,""^[^｜]+""),tc_mst!$A:$A,tc_mst!$H:$H)"&amp;",0)
  +
  (
   IFERROR(XLOOKUP(REGEXEXTRACT($M16,""^[^｜]+""),ac_mst!$A:$A,ac_mst!$K:$K),0)
   +IFERROR(XLOOKUP(REGEXEXTRACT($N16,""^[^｜]+""),ac_mst!$A:$A,ac_mst!$K:$K),0)
   +IFERROR(
    XLOOKUP(
     IF(
      OR(
       IFERROR(REGEXEXTRACT($M16,""^[^｜"&amp;"]+""),"""")="""",
       IFERROR(REGEXEXTRACT($N16,""^[^｜]+""),"""")=""""
      ),
      """",
      IF(
       IFERROR(REGEXEXTRACT($M16,""^[^｜]+""),"""")&lt;IFERROR(REGEXEXTRACT($N16,""^[^｜]+""),""""),
       IFERROR(REGEXEXTRACT($M16,""^[^｜]+""),"""")&amp;""_"&amp;"""&amp;IFERROR(REGEXEXTRACT($N16,""^[^｜]+""),""""),
       IFERROR(REGEXEXTRACT($N16,""^[^｜]+""),"""")&amp;""_""&amp;IFERROR(REGEXEXTRACT($M16,""^[^｜]+""),"""")
      )
     ),
     sy_mst!$A:$A,
     sy_mst!$H:$H
    ),
    0
   )
  )
  *
  IFERROR(XLOOKUP(REGEXEXTR"&amp;"ACT($I16,""^[^｜]+""),ms_mst!$A:$A,ms_mst!$P:$P),1)
  *
  IF(
   $B16&gt;=IFERROR(XLOOKUP(REGEXEXTRACT($L16,""^[^｜]+""),sk_mst!$A:$A,sk_mst!$M:$M),999),
   IFERROR(XLOOKUP(REGEXEXTRACT($L16,""^[^｜]+""),sk_mst!$A:$A,sk_mst!$J:$J),1),
   1
  )
 )
)"),0.012)</f>
        <v>0.012</v>
      </c>
      <c r="T16" s="25">
        <f>IFERROR(__xludf.DUMMYFUNCTION("IF($A16="""","""",
 IF($F16=""market"",
  IFERROR(XLOOKUP(REGEXEXTRACT($J16,""^[^｜]+""),tr_mst!$A:$A,tr_mst!$I:$I),0)
  +IFERROR(XLOOKUP(REGEXEXTRACT($K16,""^[^｜]+""),tc_mst!$A:$A,tc_mst!$I:$I),0),
  IF($B16=0,
   IFERROR(XLOOKUP(REGEXEXTRACT($I16,""^[^｜]"&amp;"+""),ms_mst!$A:$A,ms_mst!$I:$I),0),
   IFERROR(XLOOKUP(""T""&amp;($B16-1)&amp;""_""&amp;$D16,$A:$A,$T:$T),0)
  )
  +IFERROR(XLOOKUP(REGEXEXTRACT($J16,""^[^｜]+""),tr_mst!$A:$A,tr_mst!$I:$I),0)
  +IFERROR(XLOOKUP(REGEXEXTRACT($K16,""^[^｜]+""),tc_mst!$A:$A,tc_mst!$I:$I)"&amp;",0)
  +
  (
   IFERROR(XLOOKUP(REGEXEXTRACT($M16,""^[^｜]+""),ac_mst!$A:$A,ac_mst!$L:$L),0)
   +IFERROR(XLOOKUP(REGEXEXTRACT($N16,""^[^｜]+""),ac_mst!$A:$A,ac_mst!$L:$L),0)
   +IFERROR(
    XLOOKUP(
     IF(
      OR(
       IFERROR(REGEXEXTRACT($M16,""^[^｜"&amp;"]+""),"""")="""",
       IFERROR(REGEXEXTRACT($N16,""^[^｜]+""),"""")=""""
      ),
      """",
      IF(
       IFERROR(REGEXEXTRACT($M16,""^[^｜]+""),"""")&lt;IFERROR(REGEXEXTRACT($N16,""^[^｜]+""),""""),
       IFERROR(REGEXEXTRACT($M16,""^[^｜]+""),"""")&amp;""_"&amp;"""&amp;IFERROR(REGEXEXTRACT($N16,""^[^｜]+""),""""),
       IFERROR(REGEXEXTRACT($N16,""^[^｜]+""),"""")&amp;""_""&amp;IFERROR(REGEXEXTRACT($M16,""^[^｜]+""),"""")
      )
     ),
     sy_mst!$A:$A,
     sy_mst!$I:$I
    ),
    0
   )
  )
  *
  IFERROR(XLOOKUP(REGEXEXTR"&amp;"ACT($I16,""^[^｜]+""),ms_mst!$A:$A,ms_mst!$Q:$Q),1)
  *
  IF(
   $B16&gt;=IFERROR(XLOOKUP(REGEXEXTRACT($L16,""^[^｜]+""),sk_mst!$A:$A,sk_mst!$M:$M),999),
   IFERROR(XLOOKUP(REGEXEXTRACT($L16,""^[^｜]+""),sk_mst!$A:$A,sk_mst!$K:$K),1),
   1
  )
 )
)"),4000.0)</f>
        <v>4000</v>
      </c>
      <c r="U16" s="25">
        <f>IFERROR(__xludf.DUMMYFUNCTION("IF($A16="""","""",
 IF($F16=""market"",
  IFERROR(XLOOKUP(REGEXEXTRACT($J16,""^[^｜]+""),tr_mst!$A:$A,tr_mst!$J:$J),0)
  +IFERROR(XLOOKUP(REGEXEXTRACT($K16,""^[^｜]+""),tc_mst!$A:$A,tc_mst!$J:$J),0),
  IF($B16=0,
   IFERROR(XLOOKUP(REGEXEXTRACT($I16,""^[^｜]"&amp;"+""),ms_mst!$A:$A,ms_mst!$J:$J),0),
   IFERROR(XLOOKUP(""T""&amp;($B16-1)&amp;""_""&amp;$D16,$A:$A,$U:$U),0)
  )
  +IFERROR(XLOOKUP(REGEXEXTRACT($J16,""^[^｜]+""),tr_mst!$A:$A,tr_mst!$J:$J),0)
  +IFERROR(XLOOKUP(REGEXEXTRACT($K16,""^[^｜]+""),tc_mst!$A:$A,tc_mst!$J:$J)"&amp;",0)
  +
  (
   IFERROR(XLOOKUP(REGEXEXTRACT($M16,""^[^｜]+""),ac_mst!$A:$A,ac_mst!$M:$M),0)
   +IFERROR(XLOOKUP(REGEXEXTRACT($N16,""^[^｜]+""),ac_mst!$A:$A,ac_mst!$M:$M),0)
   +IFERROR(
    XLOOKUP(
     IF(
      OR(
       IFERROR(REGEXEXTRACT($M16,""^[^｜"&amp;"]+""),"""")="""",
       IFERROR(REGEXEXTRACT($N16,""^[^｜]+""),"""")=""""
      ),
      """",
      IF(
       IFERROR(REGEXEXTRACT($M16,""^[^｜]+""),"""")&lt;IFERROR(REGEXEXTRACT($N16,""^[^｜]+""),""""),
       IFERROR(REGEXEXTRACT($M16,""^[^｜]+""),"""")&amp;""_"&amp;"""&amp;IFERROR(REGEXEXTRACT($N16,""^[^｜]+""),""""),
       IFERROR(REGEXEXTRACT($N16,""^[^｜]+""),"""")&amp;""_""&amp;IFERROR(REGEXEXTRACT($M16,""^[^｜]+""),"""")
      )
     ),
     sy_mst!$A:$A,
     sy_mst!$J:$J
    ),
    0
   )
  )
  *
  IFERROR(XLOOKUP(REGEXEXTR"&amp;"ACT($I16,""^[^｜]+""),ms_mst!$A:$A,ms_mst!$R:$R),1)
  *
  IF(
   $B16&gt;=IFERROR(XLOOKUP(REGEXEXTRACT($L16,""^[^｜]+""),sk_mst!$A:$A,sk_mst!$M:$M),999),
   IFERROR(XLOOKUP(REGEXEXTRACT($L16,""^[^｜]+""),sk_mst!$A:$A,sk_mst!$L:$L),1),
   1
  )
 )
)"),45.0)</f>
        <v>45</v>
      </c>
      <c r="V16" s="25">
        <f t="shared" si="1"/>
        <v>495212</v>
      </c>
      <c r="W16" s="25">
        <f t="shared" si="2"/>
        <v>58500</v>
      </c>
      <c r="X16" s="25">
        <f t="shared" si="3"/>
        <v>436712</v>
      </c>
      <c r="Y16" s="25">
        <f t="shared" si="4"/>
        <v>8.47</v>
      </c>
      <c r="Z16" s="25">
        <f>IFERROR(__xludf.DUMMYFUNCTION("IF($A16="""","""",
 IF($F16&lt;&gt;""player"","""",
  IFERROR(
   RANK(
    $X16,
    FILTER($X:$X,$B:$B=$B16,$F:$F=""player"",$X:$X&lt;&gt;""""),
    0
   ),
   """"
  )
 )
)"),3.0)</f>
        <v>3</v>
      </c>
      <c r="AA16" s="25" t="str">
        <f t="shared" si="5"/>
        <v>3位</v>
      </c>
      <c r="AB16" s="26">
        <f t="shared" si="6"/>
        <v>0.3379656863</v>
      </c>
    </row>
    <row r="17">
      <c r="A17" s="14" t="s">
        <v>190</v>
      </c>
      <c r="B17" s="25">
        <v>1.0</v>
      </c>
      <c r="C17" s="14" t="s">
        <v>156</v>
      </c>
      <c r="D17" s="14" t="s">
        <v>157</v>
      </c>
      <c r="E17" s="25" t="s">
        <v>153</v>
      </c>
      <c r="F17" s="25" t="s">
        <v>154</v>
      </c>
      <c r="G17" s="25" t="str">
        <f>IFERROR(__xludf.DUMMYFUNCTION("IF($F17=""market"","""",IFERROR(FILTER(member_log!$B$10:$B947,member_log!$C$10:$C947=$C17,member_log!$D$10:$D947=$E17,member_log!$G$10:$G947=""active""),""""))"),"")</f>
        <v/>
      </c>
      <c r="H17" s="25" t="str">
        <f>IFERROR(__xludf.DUMMYFUNCTION("IF($F17=""market"","""",IFERROR(FILTER(member_log!$E$10:$E947,member_log!$C$10:$C947=$C17,member_log!$D$10:$D947=$E17,member_log!$G$10:$G947=""active""),""""))"),"")</f>
        <v/>
      </c>
      <c r="I17" s="25" t="str">
        <f>IFERROR(__xludf.DUMMYFUNCTION("IF($F17&lt;&gt;""player"","""",IFERROR(INDEX(FILTER(group_setup!$D$2:$D947,group_setup!$B$2:$B947=$C17,group_setup!$G$2:$G947=TRUE,group_setup!$H$2:$H947=""completed""),1),""""))"),"M12")</f>
        <v>M12</v>
      </c>
      <c r="J17" s="25" t="str">
        <f>IFERROR(__xludf.DUMMYFUNCTION("IFERROR(FILTER(market_event_log!$D$2:$D947,market_event_log!$C$2:$C947=$B17,market_event_log!$N$2:$N947=""active""),"""")"),"T01")</f>
        <v>T01</v>
      </c>
      <c r="K17" s="25" t="str">
        <f>IFERROR(__xludf.DUMMYFUNCTION("IFERROR(FILTER(market_event_log!$G$2:$G947,market_event_log!$C$2:$C947=$B17,market_event_log!$N$2:$N947=""active""),"""")"),"C01")</f>
        <v>C01</v>
      </c>
      <c r="L17" s="25" t="str">
        <f>IFERROR(__xludf.DUMMYFUNCTION("IF($F17&lt;&gt;""player"","""",IFERROR(INDEX(FILTER(group_setup!$E$2:$E947,group_setup!$B$2:$B947=$C17,group_setup!$G$2:$G947=TRUE,group_setup!$H$2:$H947=""completed""),1),""""))"),"S02")</f>
        <v>S02</v>
      </c>
      <c r="M17" s="25" t="str">
        <f>IFERROR(__xludf.DUMMYFUNCTION("IF($F17=""market"","""",IF($E17=""HUMAN"",IFERROR(FILTER(turn_log!$G$2:$G947,turn_log!$C$2:$C947=$B17,turn_log!$D$2:$D947=$C17,turn_log!$F$2:$F947=$E17),""""),IFERROR(FILTER(turn_log!$I$2:$I947,turn_log!$C$2:$C947=$B17,turn_log!$D$2:$D947=$C17,turn_log!$F"&amp;"$2:$F947=$E17),"""")))"),"A06")</f>
        <v>A06</v>
      </c>
      <c r="N17" s="25" t="str">
        <f>IFERROR(__xludf.DUMMYFUNCTION("IF($F17=""market"","""",IF($E17=""HUMAN"",IFERROR(FILTER(turn_log!$H$2:$H947,turn_log!$C$2:$C947=$B17,turn_log!$D$2:$D947=$C17,turn_log!$F$2:$F947=$E17),""""),IFERROR(FILTER(turn_log!$J$2:$J947,turn_log!$C$2:$C947=$B17,turn_log!$D$2:$D947=$C17,turn_log!$F"&amp;"$2:$F947=$E17),"""")))"),"A14")</f>
        <v>A14</v>
      </c>
      <c r="O17" s="25">
        <f>IFERROR(__xludf.DUMMYFUNCTION("IF($A17="""","""",
 IF($F17=""market"",
  IFERROR(XLOOKUP(REGEXEXTRACT($J17,""^[^｜]+""),tr_mst!$A:$A,tr_mst!$D:$D),0)
  +IFERROR(XLOOKUP(REGEXEXTRACT($K17,""^[^｜]+""),tc_mst!$A:$A,tc_mst!$D:$D),0),
  IF($B17=0,
   IFERROR(XLOOKUP(REGEXEXTRACT($I17,""^[^｜]"&amp;"+""),ms_mst!$A:$A,ms_mst!$D:$D),0),
   IFERROR(XLOOKUP(""T""&amp;($B17-1)&amp;""_""&amp;$D17,$A:$A,$O:$O),0)
  )
  +IFERROR(XLOOKUP(REGEXEXTRACT($J17,""^[^｜]+""),tr_mst!$A:$A,tr_mst!$D:$D),0)
  +IFERROR(XLOOKUP(REGEXEXTRACT($K17,""^[^｜]+""),tc_mst!$A:$A,tc_mst!$D:$D)"&amp;",0)
  +
  (
   IFERROR(XLOOKUP(REGEXEXTRACT($M17,""^[^｜]+""),ac_mst!$A:$A,ac_mst!$G:$G),0)
   +IFERROR(XLOOKUP(REGEXEXTRACT($N17,""^[^｜]+""),ac_mst!$A:$A,ac_mst!$G:$G),0)
   +IFERROR(
    XLOOKUP(
     IF(
      OR(
       IFERROR(REGEXEXTRACT($M17,""^[^｜"&amp;"]+""),"""")="""",
       IFERROR(REGEXEXTRACT($N17,""^[^｜]+""),"""")=""""
      ),
      """",
      IF(
       IFERROR(REGEXEXTRACT($M17,""^[^｜]+""),"""")&lt;IFERROR(REGEXEXTRACT($N17,""^[^｜]+""),""""),
       IFERROR(REGEXEXTRACT($M17,""^[^｜]+""),"""")&amp;""_"&amp;"""&amp;IFERROR(REGEXEXTRACT($N17,""^[^｜]+""),""""),
       IFERROR(REGEXEXTRACT($N17,""^[^｜]+""),"""")&amp;""_""&amp;IFERROR(REGEXEXTRACT($M17,""^[^｜]+""),"""")
      )
     ),
     sy_mst!$A:$A,
     sy_mst!$D:$D
    ),
    0
   )
  )
  *
  IFERROR(XLOOKUP(REGEXEXTR"&amp;"ACT($I17,""^[^｜]+""),ms_mst!$A:$A,ms_mst!$L:$L),1)
  *
  IF(
   $B17&gt;=IFERROR(XLOOKUP(REGEXEXTRACT($L17,""^[^｜]+""),sk_mst!$A:$A,sk_mst!$M:$M),999),
   IFERROR(XLOOKUP(REGEXEXTRACT($L17,""^[^｜]+""),sk_mst!$A:$A,sk_mst!$F:$F),1),
   1
  )
 )
)"),9200.0)</f>
        <v>9200</v>
      </c>
      <c r="P17" s="25">
        <f>IFERROR(__xludf.DUMMYFUNCTION("IF($A17="""","""",
 IF($F17=""market"",
  IFERROR(XLOOKUP(REGEXEXTRACT($J17,""^[^｜]+""),tr_mst!$A:$A,tr_mst!$E:$E),0)
  +IFERROR(XLOOKUP(REGEXEXTRACT($K17,""^[^｜]+""),tc_mst!$A:$A,tc_mst!$E:$E),0),
  IF($B17=0,
   IFERROR(XLOOKUP(REGEXEXTRACT($I17,""^[^｜]"&amp;"+""),ms_mst!$A:$A,ms_mst!$E:$E),0),
   IFERROR(XLOOKUP(""T""&amp;($B17-1)&amp;""_""&amp;$D17,$A:$A,$P:$P),0)
  )
  +IFERROR(XLOOKUP(REGEXEXTRACT($J17,""^[^｜]+""),tr_mst!$A:$A,tr_mst!$E:$E),0)
  +IFERROR(XLOOKUP(REGEXEXTRACT($K17,""^[^｜]+""),tc_mst!$A:$A,tc_mst!$E:$E)"&amp;",0)
  +
  (
   IFERROR(XLOOKUP(REGEXEXTRACT($M17,""^[^｜]+""),ac_mst!$A:$A,ac_mst!$H:$H),0)
   +IFERROR(XLOOKUP(REGEXEXTRACT($N17,""^[^｜]+""),ac_mst!$A:$A,ac_mst!$H:$H),0)
   +IFERROR(
    XLOOKUP(
     IF(
      OR(
       IFERROR(REGEXEXTRACT($M17,""^[^｜"&amp;"]+""),"""")="""",
       IFERROR(REGEXEXTRACT($N17,""^[^｜]+""),"""")=""""
      ),
      """",
      IF(
       IFERROR(REGEXEXTRACT($M17,""^[^｜]+""),"""")&lt;IFERROR(REGEXEXTRACT($N17,""^[^｜]+""),""""),
       IFERROR(REGEXEXTRACT($M17,""^[^｜]+""),"""")&amp;""_"&amp;"""&amp;IFERROR(REGEXEXTRACT($N17,""^[^｜]+""),""""),
       IFERROR(REGEXEXTRACT($N17,""^[^｜]+""),"""")&amp;""_""&amp;IFERROR(REGEXEXTRACT($M17,""^[^｜]+""),"""")
      )
     ),
     sy_mst!$A:$A,
     sy_mst!$E:$E
    ),
    0
   )
  )
  *
  IFERROR(XLOOKUP(REGEXEXTR"&amp;"ACT($I17,""^[^｜]+""),ms_mst!$A:$A,ms_mst!$M:$M),1)
  *
  IF(
   $B17&gt;=IFERROR(XLOOKUP(REGEXEXTRACT($L17,""^[^｜]+""),sk_mst!$A:$A,sk_mst!$M:$M),999),
   IFERROR(XLOOKUP(REGEXEXTRACT($L17,""^[^｜]+""),sk_mst!$A:$A,sk_mst!$G:$G),1),
   1
  )
 )
)"),2300.0)</f>
        <v>2300</v>
      </c>
      <c r="Q17" s="25">
        <f>IFERROR(__xludf.DUMMYFUNCTION("IF($A17="""","""",
 IF($F17=""market"",
  IFERROR(XLOOKUP(REGEXEXTRACT($J17,""^[^｜]+""),tr_mst!$A:$A,tr_mst!$F:$F),0)
  +IFERROR(XLOOKUP(REGEXEXTRACT($K17,""^[^｜]+""),tc_mst!$A:$A,tc_mst!$F:$F),0),
  IF($B17=0,
   IFERROR(XLOOKUP(REGEXEXTRACT($I17,""^[^｜]"&amp;"+""),ms_mst!$A:$A,ms_mst!$F:$F),0),
   IFERROR(XLOOKUP(""T""&amp;($B17-1)&amp;""_""&amp;$D17,$A:$A,$Q:$Q),0)
  )
  +IFERROR(XLOOKUP(REGEXEXTRACT($J17,""^[^｜]+""),tr_mst!$A:$A,tr_mst!$F:$F),0)
  +IFERROR(XLOOKUP(REGEXEXTRACT($K17,""^[^｜]+""),tc_mst!$A:$A,tc_mst!$F:$F)"&amp;",0)
  +
  (
   IFERROR(XLOOKUP(REGEXEXTRACT($M17,""^[^｜]+""),ac_mst!$A:$A,ac_mst!$I:$I),0)
   +IFERROR(XLOOKUP(REGEXEXTRACT($N17,""^[^｜]+""),ac_mst!$A:$A,ac_mst!$I:$I),0)
   +IFERROR(
    XLOOKUP(
     IF(
      OR(
       IFERROR(REGEXEXTRACT($M17,""^[^｜"&amp;"]+""),"""")="""",
       IFERROR(REGEXEXTRACT($N17,""^[^｜]+""),"""")=""""
      ),
      """",
      IF(
       IFERROR(REGEXEXTRACT($M17,""^[^｜]+""),"""")&lt;IFERROR(REGEXEXTRACT($N17,""^[^｜]+""),""""),
       IFERROR(REGEXEXTRACT($M17,""^[^｜]+""),"""")&amp;""_"&amp;"""&amp;IFERROR(REGEXEXTRACT($N17,""^[^｜]+""),""""),
       IFERROR(REGEXEXTRACT($N17,""^[^｜]+""),"""")&amp;""_""&amp;IFERROR(REGEXEXTRACT($M17,""^[^｜]+""),"""")
      )
     ),
     sy_mst!$A:$A,
     sy_mst!$F:$F
    ),
    0
   )
  )
  *
  IFERROR(XLOOKUP(REGEXEXTR"&amp;"ACT($I17,""^[^｜]+""),ms_mst!$A:$A,ms_mst!$N:$N),1)
  *
  IF(
   $B17&gt;=IFERROR(XLOOKUP(REGEXEXTRACT($L17,""^[^｜]+""),sk_mst!$A:$A,sk_mst!$M:$M),999),
   IFERROR(XLOOKUP(REGEXEXTRACT($L17,""^[^｜]+""),sk_mst!$A:$A,sk_mst!$H:$H),1),
   1
  )
 )
)"),0.5279999999999999)</f>
        <v>0.528</v>
      </c>
      <c r="R17" s="25">
        <f>IFERROR(__xludf.DUMMYFUNCTION("IF($A17="""","""",
 IF($F17=""market"",
  IFERROR(XLOOKUP(REGEXEXTRACT($J17,""^[^｜]+""),tr_mst!$A:$A,tr_mst!$G:$G),0)
  +IFERROR(XLOOKUP(REGEXEXTRACT($K17,""^[^｜]+""),tc_mst!$A:$A,tc_mst!$G:$G),0),
  IF($B17=0,
   IFERROR(XLOOKUP(REGEXEXTRACT($I17,""^[^｜]"&amp;"+""),ms_mst!$A:$A,ms_mst!$G:$G),0),
   IFERROR(XLOOKUP(""T""&amp;($B17-1)&amp;""_""&amp;$D17,$A:$A,$R:$R),0)
  )
  +IFERROR(XLOOKUP(REGEXEXTRACT($J17,""^[^｜]+""),tr_mst!$A:$A,tr_mst!$G:$G),0)
  +IFERROR(XLOOKUP(REGEXEXTRACT($K17,""^[^｜]+""),tc_mst!$A:$A,tc_mst!$G:$G)"&amp;",0)
  +
  (
   IFERROR(XLOOKUP(REGEXEXTRACT($M17,""^[^｜]+""),ac_mst!$A:$A,ac_mst!$J:$J),0)
   +IFERROR(XLOOKUP(REGEXEXTRACT($N17,""^[^｜]+""),ac_mst!$A:$A,ac_mst!$J:$J),0)
   +IFERROR(
    XLOOKUP(
     IF(
      OR(
       IFERROR(REGEXEXTRACT($M17,""^[^｜"&amp;"]+""),"""")="""",
       IFERROR(REGEXEXTRACT($N17,""^[^｜]+""),"""")=""""
      ),
      """",
      IF(
       IFERROR(REGEXEXTRACT($M17,""^[^｜]+""),"""")&lt;IFERROR(REGEXEXTRACT($N17,""^[^｜]+""),""""),
       IFERROR(REGEXEXTRACT($M17,""^[^｜]+""),"""")&amp;""_"&amp;"""&amp;IFERROR(REGEXEXTRACT($N17,""^[^｜]+""),""""),
       IFERROR(REGEXEXTRACT($N17,""^[^｜]+""),"""")&amp;""_""&amp;IFERROR(REGEXEXTRACT($M17,""^[^｜]+""),"""")
      )
     ),
     sy_mst!$A:$A,
     sy_mst!$G:$G
    ),
    0
   )
  )
  *
  IFERROR(XLOOKUP(REGEXEXTR"&amp;"ACT($I17,""^[^｜]+""),ms_mst!$A:$A,ms_mst!$O:$O),1)
  *
  IF(
   $B17&gt;=IFERROR(XLOOKUP(REGEXEXTRACT($L17,""^[^｜]+""),sk_mst!$A:$A,sk_mst!$M:$M),999),
   IFERROR(XLOOKUP(REGEXEXTRACT($L17,""^[^｜]+""),sk_mst!$A:$A,sk_mst!$I:$I),1),
   1
  )
 )
)"),1.5815000000000001)</f>
        <v>1.5815</v>
      </c>
      <c r="S17" s="25">
        <f>IFERROR(__xludf.DUMMYFUNCTION("IF($A17="""","""",
 IF($F17=""market"",
  IFERROR(XLOOKUP(REGEXEXTRACT($J17,""^[^｜]+""),tr_mst!$A:$A,tr_mst!$H:$H),0)
  +IFERROR(XLOOKUP(REGEXEXTRACT($K17,""^[^｜]+""),tc_mst!$A:$A,tc_mst!$H:$H),0),
  IF($B17=0,
   IFERROR(XLOOKUP(REGEXEXTRACT($I17,""^[^｜]"&amp;"+""),ms_mst!$A:$A,ms_mst!$H:$H),0),
   IFERROR(XLOOKUP(""T""&amp;($B17-1)&amp;""_""&amp;$D17,$A:$A,$S:$S),0)
  )
  +IFERROR(XLOOKUP(REGEXEXTRACT($J17,""^[^｜]+""),tr_mst!$A:$A,tr_mst!$H:$H),0)
  +IFERROR(XLOOKUP(REGEXEXTRACT($K17,""^[^｜]+""),tc_mst!$A:$A,tc_mst!$H:$H)"&amp;",0)
  +
  (
   IFERROR(XLOOKUP(REGEXEXTRACT($M17,""^[^｜]+""),ac_mst!$A:$A,ac_mst!$K:$K),0)
   +IFERROR(XLOOKUP(REGEXEXTRACT($N17,""^[^｜]+""),ac_mst!$A:$A,ac_mst!$K:$K),0)
   +IFERROR(
    XLOOKUP(
     IF(
      OR(
       IFERROR(REGEXEXTRACT($M17,""^[^｜"&amp;"]+""),"""")="""",
       IFERROR(REGEXEXTRACT($N17,""^[^｜]+""),"""")=""""
      ),
      """",
      IF(
       IFERROR(REGEXEXTRACT($M17,""^[^｜]+""),"""")&lt;IFERROR(REGEXEXTRACT($N17,""^[^｜]+""),""""),
       IFERROR(REGEXEXTRACT($M17,""^[^｜]+""),"""")&amp;""_"&amp;"""&amp;IFERROR(REGEXEXTRACT($N17,""^[^｜]+""),""""),
       IFERROR(REGEXEXTRACT($N17,""^[^｜]+""),"""")&amp;""_""&amp;IFERROR(REGEXEXTRACT($M17,""^[^｜]+""),"""")
      )
     ),
     sy_mst!$A:$A,
     sy_mst!$H:$H
    ),
    0
   )
  )
  *
  IFERROR(XLOOKUP(REGEXEXTR"&amp;"ACT($I17,""^[^｜]+""),ms_mst!$A:$A,ms_mst!$P:$P),1)
  *
  IF(
   $B17&gt;=IFERROR(XLOOKUP(REGEXEXTRACT($L17,""^[^｜]+""),sk_mst!$A:$A,sk_mst!$M:$M),999),
   IFERROR(XLOOKUP(REGEXEXTRACT($L17,""^[^｜]+""),sk_mst!$A:$A,sk_mst!$J:$J),1),
   1
  )
 )
)"),0.011734999999999999)</f>
        <v>0.011735</v>
      </c>
      <c r="T17" s="25">
        <f>IFERROR(__xludf.DUMMYFUNCTION("IF($A17="""","""",
 IF($F17=""market"",
  IFERROR(XLOOKUP(REGEXEXTRACT($J17,""^[^｜]+""),tr_mst!$A:$A,tr_mst!$I:$I),0)
  +IFERROR(XLOOKUP(REGEXEXTRACT($K17,""^[^｜]+""),tc_mst!$A:$A,tc_mst!$I:$I),0),
  IF($B17=0,
   IFERROR(XLOOKUP(REGEXEXTRACT($I17,""^[^｜]"&amp;"+""),ms_mst!$A:$A,ms_mst!$I:$I),0),
   IFERROR(XLOOKUP(""T""&amp;($B17-1)&amp;""_""&amp;$D17,$A:$A,$T:$T),0)
  )
  +IFERROR(XLOOKUP(REGEXEXTRACT($J17,""^[^｜]+""),tr_mst!$A:$A,tr_mst!$I:$I),0)
  +IFERROR(XLOOKUP(REGEXEXTRACT($K17,""^[^｜]+""),tc_mst!$A:$A,tc_mst!$I:$I)"&amp;",0)
  +
  (
   IFERROR(XLOOKUP(REGEXEXTRACT($M17,""^[^｜]+""),ac_mst!$A:$A,ac_mst!$L:$L),0)
   +IFERROR(XLOOKUP(REGEXEXTRACT($N17,""^[^｜]+""),ac_mst!$A:$A,ac_mst!$L:$L),0)
   +IFERROR(
    XLOOKUP(
     IF(
      OR(
       IFERROR(REGEXEXTRACT($M17,""^[^｜"&amp;"]+""),"""")="""",
       IFERROR(REGEXEXTRACT($N17,""^[^｜]+""),"""")=""""
      ),
      """",
      IF(
       IFERROR(REGEXEXTRACT($M17,""^[^｜]+""),"""")&lt;IFERROR(REGEXEXTRACT($N17,""^[^｜]+""),""""),
       IFERROR(REGEXEXTRACT($M17,""^[^｜]+""),"""")&amp;""_"&amp;"""&amp;IFERROR(REGEXEXTRACT($N17,""^[^｜]+""),""""),
       IFERROR(REGEXEXTRACT($N17,""^[^｜]+""),"""")&amp;""_""&amp;IFERROR(REGEXEXTRACT($M17,""^[^｜]+""),"""")
      )
     ),
     sy_mst!$A:$A,
     sy_mst!$I:$I
    ),
    0
   )
  )
  *
  IFERROR(XLOOKUP(REGEXEXTR"&amp;"ACT($I17,""^[^｜]+""),ms_mst!$A:$A,ms_mst!$Q:$Q),1)
  *
  IF(
   $B17&gt;=IFERROR(XLOOKUP(REGEXEXTRACT($L17,""^[^｜]+""),sk_mst!$A:$A,sk_mst!$M:$M),999),
   IFERROR(XLOOKUP(REGEXEXTRACT($L17,""^[^｜]+""),sk_mst!$A:$A,sk_mst!$K:$K),1),
   1
  )
 )
)"),4200.0)</f>
        <v>4200</v>
      </c>
      <c r="U17" s="25">
        <f>IFERROR(__xludf.DUMMYFUNCTION("IF($A17="""","""",
 IF($F17=""market"",
  IFERROR(XLOOKUP(REGEXEXTRACT($J17,""^[^｜]+""),tr_mst!$A:$A,tr_mst!$J:$J),0)
  +IFERROR(XLOOKUP(REGEXEXTRACT($K17,""^[^｜]+""),tc_mst!$A:$A,tc_mst!$J:$J),0),
  IF($B17=0,
   IFERROR(XLOOKUP(REGEXEXTRACT($I17,""^[^｜]"&amp;"+""),ms_mst!$A:$A,ms_mst!$J:$J),0),
   IFERROR(XLOOKUP(""T""&amp;($B17-1)&amp;""_""&amp;$D17,$A:$A,$U:$U),0)
  )
  +IFERROR(XLOOKUP(REGEXEXTRACT($J17,""^[^｜]+""),tr_mst!$A:$A,tr_mst!$J:$J),0)
  +IFERROR(XLOOKUP(REGEXEXTRACT($K17,""^[^｜]+""),tc_mst!$A:$A,tc_mst!$J:$J)"&amp;",0)
  +
  (
   IFERROR(XLOOKUP(REGEXEXTRACT($M17,""^[^｜]+""),ac_mst!$A:$A,ac_mst!$M:$M),0)
   +IFERROR(XLOOKUP(REGEXEXTRACT($N17,""^[^｜]+""),ac_mst!$A:$A,ac_mst!$M:$M),0)
   +IFERROR(
    XLOOKUP(
     IF(
      OR(
       IFERROR(REGEXEXTRACT($M17,""^[^｜"&amp;"]+""),"""")="""",
       IFERROR(REGEXEXTRACT($N17,""^[^｜]+""),"""")=""""
      ),
      """",
      IF(
       IFERROR(REGEXEXTRACT($M17,""^[^｜]+""),"""")&lt;IFERROR(REGEXEXTRACT($N17,""^[^｜]+""),""""),
       IFERROR(REGEXEXTRACT($M17,""^[^｜]+""),"""")&amp;""_"&amp;"""&amp;IFERROR(REGEXEXTRACT($N17,""^[^｜]+""),""""),
       IFERROR(REGEXEXTRACT($N17,""^[^｜]+""),"""")&amp;""_""&amp;IFERROR(REGEXEXTRACT($M17,""^[^｜]+""),"""")
      )
     ),
     sy_mst!$A:$A,
     sy_mst!$J:$J
    ),
    0
   )
  )
  *
  IFERROR(XLOOKUP(REGEXEXTR"&amp;"ACT($I17,""^[^｜]+""),ms_mst!$A:$A,ms_mst!$R:$R),1)
  *
  IF(
   $B17&gt;=IFERROR(XLOOKUP(REGEXEXTRACT($L17,""^[^｜]+""),sk_mst!$A:$A,sk_mst!$M:$M),999),
   IFERROR(XLOOKUP(REGEXEXTRACT($L17,""^[^｜]+""),sk_mst!$A:$A,sk_mst!$L:$L),1),
   1
  )
 )
)"),55.0)</f>
        <v>55</v>
      </c>
      <c r="V17" s="25">
        <f t="shared" si="1"/>
        <v>423098</v>
      </c>
      <c r="W17" s="25">
        <f t="shared" si="2"/>
        <v>126500</v>
      </c>
      <c r="X17" s="25">
        <f t="shared" si="3"/>
        <v>296598</v>
      </c>
      <c r="Y17" s="25">
        <f t="shared" si="4"/>
        <v>3.34</v>
      </c>
      <c r="Z17" s="25">
        <f>IFERROR(__xludf.DUMMYFUNCTION("IF($A17="""","""",
 IF($F17&lt;&gt;""player"","""",
  IFERROR(
   RANK(
    $X17,
    FILTER($X:$X,$B:$B=$B17,$F:$F=""player"",$X:$X&lt;&gt;""""),
    0
   ),
   """"
  )
 )
)"),4.0)</f>
        <v>4</v>
      </c>
      <c r="AA17" s="25" t="str">
        <f t="shared" si="5"/>
        <v>4位</v>
      </c>
      <c r="AB17" s="26">
        <f t="shared" si="6"/>
        <v>0.4955601833</v>
      </c>
    </row>
    <row r="18">
      <c r="A18" s="14" t="s">
        <v>191</v>
      </c>
      <c r="B18" s="25">
        <v>1.0</v>
      </c>
      <c r="C18" s="14" t="s">
        <v>159</v>
      </c>
      <c r="D18" s="14" t="s">
        <v>160</v>
      </c>
      <c r="E18" s="25" t="s">
        <v>153</v>
      </c>
      <c r="F18" s="25" t="s">
        <v>154</v>
      </c>
      <c r="G18" s="25" t="str">
        <f>IFERROR(__xludf.DUMMYFUNCTION("IF($F18=""market"","""",IFERROR(FILTER(member_log!$B$10:$B947,member_log!$C$10:$C947=$C18,member_log!$D$10:$D947=$E18,member_log!$G$10:$G947=""active""),""""))"),"")</f>
        <v/>
      </c>
      <c r="H18" s="25" t="str">
        <f>IFERROR(__xludf.DUMMYFUNCTION("IF($F18=""market"","""",IFERROR(FILTER(member_log!$E$10:$E947,member_log!$C$10:$C947=$C18,member_log!$D$10:$D947=$E18,member_log!$G$10:$G947=""active""),""""))"),"")</f>
        <v/>
      </c>
      <c r="I18" s="25" t="str">
        <f>IFERROR(__xludf.DUMMYFUNCTION("IF($F18&lt;&gt;""player"","""",IFERROR(INDEX(FILTER(group_setup!$D$2:$D947,group_setup!$B$2:$B947=$C18,group_setup!$G$2:$G947=TRUE,group_setup!$H$2:$H947=""completed""),1),""""))"),"M03")</f>
        <v>M03</v>
      </c>
      <c r="J18" s="25" t="str">
        <f>IFERROR(__xludf.DUMMYFUNCTION("IFERROR(FILTER(market_event_log!$D$2:$D947,market_event_log!$C$2:$C947=$B18,market_event_log!$N$2:$N947=""active""),"""")"),"T01")</f>
        <v>T01</v>
      </c>
      <c r="K18" s="25" t="str">
        <f>IFERROR(__xludf.DUMMYFUNCTION("IFERROR(FILTER(market_event_log!$G$2:$G947,market_event_log!$C$2:$C947=$B18,market_event_log!$N$2:$N947=""active""),"""")"),"C01")</f>
        <v>C01</v>
      </c>
      <c r="L18" s="25" t="str">
        <f>IFERROR(__xludf.DUMMYFUNCTION("IF($F18&lt;&gt;""player"","""",IFERROR(INDEX(FILTER(group_setup!$E$2:$E947,group_setup!$B$2:$B947=$C18,group_setup!$G$2:$G947=TRUE,group_setup!$H$2:$H947=""completed""),1),""""))"),"S02")</f>
        <v>S02</v>
      </c>
      <c r="M18" s="25" t="str">
        <f>IFERROR(__xludf.DUMMYFUNCTION("IF($F18=""market"","""",IF($E18=""HUMAN"",IFERROR(FILTER(turn_log!$G$2:$G947,turn_log!$C$2:$C947=$B18,turn_log!$D$2:$D947=$C18,turn_log!$F$2:$F947=$E18),""""),IFERROR(FILTER(turn_log!$I$2:$I947,turn_log!$C$2:$C947=$B18,turn_log!$D$2:$D947=$C18,turn_log!$F"&amp;"$2:$F947=$E18),"""")))"),"A01")</f>
        <v>A01</v>
      </c>
      <c r="N18" s="25" t="str">
        <f>IFERROR(__xludf.DUMMYFUNCTION("IF($F18=""market"","""",IF($E18=""HUMAN"",IFERROR(FILTER(turn_log!$H$2:$H947,turn_log!$C$2:$C947=$B18,turn_log!$D$2:$D947=$C18,turn_log!$F$2:$F947=$E18),""""),IFERROR(FILTER(turn_log!$J$2:$J947,turn_log!$C$2:$C947=$B18,turn_log!$D$2:$D947=$C18,turn_log!$F"&amp;"$2:$F947=$E18),"""")))"),"A13")</f>
        <v>A13</v>
      </c>
      <c r="O18" s="25">
        <f>IFERROR(__xludf.DUMMYFUNCTION("IF($A18="""","""",
 IF($F18=""market"",
  IFERROR(XLOOKUP(REGEXEXTRACT($J18,""^[^｜]+""),tr_mst!$A:$A,tr_mst!$D:$D),0)
  +IFERROR(XLOOKUP(REGEXEXTRACT($K18,""^[^｜]+""),tc_mst!$A:$A,tc_mst!$D:$D),0),
  IF($B18=0,
   IFERROR(XLOOKUP(REGEXEXTRACT($I18,""^[^｜]"&amp;"+""),ms_mst!$A:$A,ms_mst!$D:$D),0),
   IFERROR(XLOOKUP(""T""&amp;($B18-1)&amp;""_""&amp;$D18,$A:$A,$O:$O),0)
  )
  +IFERROR(XLOOKUP(REGEXEXTRACT($J18,""^[^｜]+""),tr_mst!$A:$A,tr_mst!$D:$D),0)
  +IFERROR(XLOOKUP(REGEXEXTRACT($K18,""^[^｜]+""),tc_mst!$A:$A,tc_mst!$D:$D)"&amp;",0)
  +
  (
   IFERROR(XLOOKUP(REGEXEXTRACT($M18,""^[^｜]+""),ac_mst!$A:$A,ac_mst!$G:$G),0)
   +IFERROR(XLOOKUP(REGEXEXTRACT($N18,""^[^｜]+""),ac_mst!$A:$A,ac_mst!$G:$G),0)
   +IFERROR(
    XLOOKUP(
     IF(
      OR(
       IFERROR(REGEXEXTRACT($M18,""^[^｜"&amp;"]+""),"""")="""",
       IFERROR(REGEXEXTRACT($N18,""^[^｜]+""),"""")=""""
      ),
      """",
      IF(
       IFERROR(REGEXEXTRACT($M18,""^[^｜]+""),"""")&lt;IFERROR(REGEXEXTRACT($N18,""^[^｜]+""),""""),
       IFERROR(REGEXEXTRACT($M18,""^[^｜]+""),"""")&amp;""_"&amp;"""&amp;IFERROR(REGEXEXTRACT($N18,""^[^｜]+""),""""),
       IFERROR(REGEXEXTRACT($N18,""^[^｜]+""),"""")&amp;""_""&amp;IFERROR(REGEXEXTRACT($M18,""^[^｜]+""),"""")
      )
     ),
     sy_mst!$A:$A,
     sy_mst!$D:$D
    ),
    0
   )
  )
  *
  IFERROR(XLOOKUP(REGEXEXTR"&amp;"ACT($I18,""^[^｜]+""),ms_mst!$A:$A,ms_mst!$L:$L),1)
  *
  IF(
   $B18&gt;=IFERROR(XLOOKUP(REGEXEXTRACT($L18,""^[^｜]+""),sk_mst!$A:$A,sk_mst!$M:$M),999),
   IFERROR(XLOOKUP(REGEXEXTRACT($L18,""^[^｜]+""),sk_mst!$A:$A,sk_mst!$F:$F),1),
   1
  )
 )
)"),11425.0)</f>
        <v>11425</v>
      </c>
      <c r="P18" s="25">
        <f>IFERROR(__xludf.DUMMYFUNCTION("IF($A18="""","""",
 IF($F18=""market"",
  IFERROR(XLOOKUP(REGEXEXTRACT($J18,""^[^｜]+""),tr_mst!$A:$A,tr_mst!$E:$E),0)
  +IFERROR(XLOOKUP(REGEXEXTRACT($K18,""^[^｜]+""),tc_mst!$A:$A,tc_mst!$E:$E),0),
  IF($B18=0,
   IFERROR(XLOOKUP(REGEXEXTRACT($I18,""^[^｜]"&amp;"+""),ms_mst!$A:$A,ms_mst!$E:$E),0),
   IFERROR(XLOOKUP(""T""&amp;($B18-1)&amp;""_""&amp;$D18,$A:$A,$P:$P),0)
  )
  +IFERROR(XLOOKUP(REGEXEXTRACT($J18,""^[^｜]+""),tr_mst!$A:$A,tr_mst!$E:$E),0)
  +IFERROR(XLOOKUP(REGEXEXTRACT($K18,""^[^｜]+""),tc_mst!$A:$A,tc_mst!$E:$E)"&amp;",0)
  +
  (
   IFERROR(XLOOKUP(REGEXEXTRACT($M18,""^[^｜]+""),ac_mst!$A:$A,ac_mst!$H:$H),0)
   +IFERROR(XLOOKUP(REGEXEXTRACT($N18,""^[^｜]+""),ac_mst!$A:$A,ac_mst!$H:$H),0)
   +IFERROR(
    XLOOKUP(
     IF(
      OR(
       IFERROR(REGEXEXTRACT($M18,""^[^｜"&amp;"]+""),"""")="""",
       IFERROR(REGEXEXTRACT($N18,""^[^｜]+""),"""")=""""
      ),
      """",
      IF(
       IFERROR(REGEXEXTRACT($M18,""^[^｜]+""),"""")&lt;IFERROR(REGEXEXTRACT($N18,""^[^｜]+""),""""),
       IFERROR(REGEXEXTRACT($M18,""^[^｜]+""),"""")&amp;""_"&amp;"""&amp;IFERROR(REGEXEXTRACT($N18,""^[^｜]+""),""""),
       IFERROR(REGEXEXTRACT($N18,""^[^｜]+""),"""")&amp;""_""&amp;IFERROR(REGEXEXTRACT($M18,""^[^｜]+""),"""")
      )
     ),
     sy_mst!$A:$A,
     sy_mst!$E:$E
    ),
    0
   )
  )
  *
  IFERROR(XLOOKUP(REGEXEXTR"&amp;"ACT($I18,""^[^｜]+""),ms_mst!$A:$A,ms_mst!$M:$M),1)
  *
  IF(
   $B18&gt;=IFERROR(XLOOKUP(REGEXEXTRACT($L18,""^[^｜]+""),sk_mst!$A:$A,sk_mst!$M:$M),999),
   IFERROR(XLOOKUP(REGEXEXTRACT($L18,""^[^｜]+""),sk_mst!$A:$A,sk_mst!$G:$G),1),
   1
  )
 )
)"),1300.0)</f>
        <v>1300</v>
      </c>
      <c r="Q18" s="25">
        <f>IFERROR(__xludf.DUMMYFUNCTION("IF($A18="""","""",
 IF($F18=""market"",
  IFERROR(XLOOKUP(REGEXEXTRACT($J18,""^[^｜]+""),tr_mst!$A:$A,tr_mst!$F:$F),0)
  +IFERROR(XLOOKUP(REGEXEXTRACT($K18,""^[^｜]+""),tc_mst!$A:$A,tc_mst!$F:$F),0),
  IF($B18=0,
   IFERROR(XLOOKUP(REGEXEXTRACT($I18,""^[^｜]"&amp;"+""),ms_mst!$A:$A,ms_mst!$F:$F),0),
   IFERROR(XLOOKUP(""T""&amp;($B18-1)&amp;""_""&amp;$D18,$A:$A,$Q:$Q),0)
  )
  +IFERROR(XLOOKUP(REGEXEXTRACT($J18,""^[^｜]+""),tr_mst!$A:$A,tr_mst!$F:$F),0)
  +IFERROR(XLOOKUP(REGEXEXTRACT($K18,""^[^｜]+""),tc_mst!$A:$A,tc_mst!$F:$F)"&amp;",0)
  +
  (
   IFERROR(XLOOKUP(REGEXEXTRACT($M18,""^[^｜]+""),ac_mst!$A:$A,ac_mst!$I:$I),0)
   +IFERROR(XLOOKUP(REGEXEXTRACT($N18,""^[^｜]+""),ac_mst!$A:$A,ac_mst!$I:$I),0)
   +IFERROR(
    XLOOKUP(
     IF(
      OR(
       IFERROR(REGEXEXTRACT($M18,""^[^｜"&amp;"]+""),"""")="""",
       IFERROR(REGEXEXTRACT($N18,""^[^｜]+""),"""")=""""
      ),
      """",
      IF(
       IFERROR(REGEXEXTRACT($M18,""^[^｜]+""),"""")&lt;IFERROR(REGEXEXTRACT($N18,""^[^｜]+""),""""),
       IFERROR(REGEXEXTRACT($M18,""^[^｜]+""),"""")&amp;""_"&amp;"""&amp;IFERROR(REGEXEXTRACT($N18,""^[^｜]+""),""""),
       IFERROR(REGEXEXTRACT($N18,""^[^｜]+""),"""")&amp;""_""&amp;IFERROR(REGEXEXTRACT($M18,""^[^｜]+""),"""")
      )
     ),
     sy_mst!$A:$A,
     sy_mst!$F:$F
    ),
    0
   )
  )
  *
  IFERROR(XLOOKUP(REGEXEXTR"&amp;"ACT($I18,""^[^｜]+""),ms_mst!$A:$A,ms_mst!$N:$N),1)
  *
  IF(
   $B18&gt;=IFERROR(XLOOKUP(REGEXEXTRACT($L18,""^[^｜]+""),sk_mst!$A:$A,sk_mst!$M:$M),999),
   IFERROR(XLOOKUP(REGEXEXTRACT($L18,""^[^｜]+""),sk_mst!$A:$A,sk_mst!$H:$H),1),
   1
  )
 )
)"),0.52)</f>
        <v>0.52</v>
      </c>
      <c r="R18" s="25">
        <f>IFERROR(__xludf.DUMMYFUNCTION("IF($A18="""","""",
 IF($F18=""market"",
  IFERROR(XLOOKUP(REGEXEXTRACT($J18,""^[^｜]+""),tr_mst!$A:$A,tr_mst!$G:$G),0)
  +IFERROR(XLOOKUP(REGEXEXTRACT($K18,""^[^｜]+""),tc_mst!$A:$A,tc_mst!$G:$G),0),
  IF($B18=0,
   IFERROR(XLOOKUP(REGEXEXTRACT($I18,""^[^｜]"&amp;"+""),ms_mst!$A:$A,ms_mst!$G:$G),0),
   IFERROR(XLOOKUP(""T""&amp;($B18-1)&amp;""_""&amp;$D18,$A:$A,$R:$R),0)
  )
  +IFERROR(XLOOKUP(REGEXEXTRACT($J18,""^[^｜]+""),tr_mst!$A:$A,tr_mst!$G:$G),0)
  +IFERROR(XLOOKUP(REGEXEXTRACT($K18,""^[^｜]+""),tc_mst!$A:$A,tc_mst!$G:$G)"&amp;",0)
  +
  (
   IFERROR(XLOOKUP(REGEXEXTRACT($M18,""^[^｜]+""),ac_mst!$A:$A,ac_mst!$J:$J),0)
   +IFERROR(XLOOKUP(REGEXEXTRACT($N18,""^[^｜]+""),ac_mst!$A:$A,ac_mst!$J:$J),0)
   +IFERROR(
    XLOOKUP(
     IF(
      OR(
       IFERROR(REGEXEXTRACT($M18,""^[^｜"&amp;"]+""),"""")="""",
       IFERROR(REGEXEXTRACT($N18,""^[^｜]+""),"""")=""""
      ),
      """",
      IF(
       IFERROR(REGEXEXTRACT($M18,""^[^｜]+""),"""")&lt;IFERROR(REGEXEXTRACT($N18,""^[^｜]+""),""""),
       IFERROR(REGEXEXTRACT($M18,""^[^｜]+""),"""")&amp;""_"&amp;"""&amp;IFERROR(REGEXEXTRACT($N18,""^[^｜]+""),""""),
       IFERROR(REGEXEXTRACT($N18,""^[^｜]+""),"""")&amp;""_""&amp;IFERROR(REGEXEXTRACT($M18,""^[^｜]+""),"""")
      )
     ),
     sy_mst!$A:$A,
     sy_mst!$G:$G
    ),
    0
   )
  )
  *
  IFERROR(XLOOKUP(REGEXEXTR"&amp;"ACT($I18,""^[^｜]+""),ms_mst!$A:$A,ms_mst!$O:$O),1)
  *
  IF(
   $B18&gt;=IFERROR(XLOOKUP(REGEXEXTRACT($L18,""^[^｜]+""),sk_mst!$A:$A,sk_mst!$M:$M),999),
   IFERROR(XLOOKUP(REGEXEXTRACT($L18,""^[^｜]+""),sk_mst!$A:$A,sk_mst!$I:$I),1),
   1
  )
 )
)"),1.75)</f>
        <v>1.75</v>
      </c>
      <c r="S18" s="25">
        <f>IFERROR(__xludf.DUMMYFUNCTION("IF($A18="""","""",
 IF($F18=""market"",
  IFERROR(XLOOKUP(REGEXEXTRACT($J18,""^[^｜]+""),tr_mst!$A:$A,tr_mst!$H:$H),0)
  +IFERROR(XLOOKUP(REGEXEXTRACT($K18,""^[^｜]+""),tc_mst!$A:$A,tc_mst!$H:$H),0),
  IF($B18=0,
   IFERROR(XLOOKUP(REGEXEXTRACT($I18,""^[^｜]"&amp;"+""),ms_mst!$A:$A,ms_mst!$H:$H),0),
   IFERROR(XLOOKUP(""T""&amp;($B18-1)&amp;""_""&amp;$D18,$A:$A,$S:$S),0)
  )
  +IFERROR(XLOOKUP(REGEXEXTRACT($J18,""^[^｜]+""),tr_mst!$A:$A,tr_mst!$H:$H),0)
  +IFERROR(XLOOKUP(REGEXEXTRACT($K18,""^[^｜]+""),tc_mst!$A:$A,tc_mst!$H:$H)"&amp;",0)
  +
  (
   IFERROR(XLOOKUP(REGEXEXTRACT($M18,""^[^｜]+""),ac_mst!$A:$A,ac_mst!$K:$K),0)
   +IFERROR(XLOOKUP(REGEXEXTRACT($N18,""^[^｜]+""),ac_mst!$A:$A,ac_mst!$K:$K),0)
   +IFERROR(
    XLOOKUP(
     IF(
      OR(
       IFERROR(REGEXEXTRACT($M18,""^[^｜"&amp;"]+""),"""")="""",
       IFERROR(REGEXEXTRACT($N18,""^[^｜]+""),"""")=""""
      ),
      """",
      IF(
       IFERROR(REGEXEXTRACT($M18,""^[^｜]+""),"""")&lt;IFERROR(REGEXEXTRACT($N18,""^[^｜]+""),""""),
       IFERROR(REGEXEXTRACT($M18,""^[^｜]+""),"""")&amp;""_"&amp;"""&amp;IFERROR(REGEXEXTRACT($N18,""^[^｜]+""),""""),
       IFERROR(REGEXEXTRACT($N18,""^[^｜]+""),"""")&amp;""_""&amp;IFERROR(REGEXEXTRACT($M18,""^[^｜]+""),"""")
      )
     ),
     sy_mst!$A:$A,
     sy_mst!$H:$H
    ),
    0
   )
  )
  *
  IFERROR(XLOOKUP(REGEXEXTR"&amp;"ACT($I18,""^[^｜]+""),ms_mst!$A:$A,ms_mst!$P:$P),1)
  *
  IF(
   $B18&gt;=IFERROR(XLOOKUP(REGEXEXTRACT($L18,""^[^｜]+""),sk_mst!$A:$A,sk_mst!$M:$M),999),
   IFERROR(XLOOKUP(REGEXEXTRACT($L18,""^[^｜]+""),sk_mst!$A:$A,sk_mst!$J:$J),1),
   1
  )
 )
)"),0.014)</f>
        <v>0.014</v>
      </c>
      <c r="T18" s="25">
        <f>IFERROR(__xludf.DUMMYFUNCTION("IF($A18="""","""",
 IF($F18=""market"",
  IFERROR(XLOOKUP(REGEXEXTRACT($J18,""^[^｜]+""),tr_mst!$A:$A,tr_mst!$I:$I),0)
  +IFERROR(XLOOKUP(REGEXEXTRACT($K18,""^[^｜]+""),tc_mst!$A:$A,tc_mst!$I:$I),0),
  IF($B18=0,
   IFERROR(XLOOKUP(REGEXEXTRACT($I18,""^[^｜]"&amp;"+""),ms_mst!$A:$A,ms_mst!$I:$I),0),
   IFERROR(XLOOKUP(""T""&amp;($B18-1)&amp;""_""&amp;$D18,$A:$A,$T:$T),0)
  )
  +IFERROR(XLOOKUP(REGEXEXTRACT($J18,""^[^｜]+""),tr_mst!$A:$A,tr_mst!$I:$I),0)
  +IFERROR(XLOOKUP(REGEXEXTRACT($K18,""^[^｜]+""),tc_mst!$A:$A,tc_mst!$I:$I)"&amp;",0)
  +
  (
   IFERROR(XLOOKUP(REGEXEXTRACT($M18,""^[^｜]+""),ac_mst!$A:$A,ac_mst!$L:$L),0)
   +IFERROR(XLOOKUP(REGEXEXTRACT($N18,""^[^｜]+""),ac_mst!$A:$A,ac_mst!$L:$L),0)
   +IFERROR(
    XLOOKUP(
     IF(
      OR(
       IFERROR(REGEXEXTRACT($M18,""^[^｜"&amp;"]+""),"""")="""",
       IFERROR(REGEXEXTRACT($N18,""^[^｜]+""),"""")=""""
      ),
      """",
      IF(
       IFERROR(REGEXEXTRACT($M18,""^[^｜]+""),"""")&lt;IFERROR(REGEXEXTRACT($N18,""^[^｜]+""),""""),
       IFERROR(REGEXEXTRACT($M18,""^[^｜]+""),"""")&amp;""_"&amp;"""&amp;IFERROR(REGEXEXTRACT($N18,""^[^｜]+""),""""),
       IFERROR(REGEXEXTRACT($N18,""^[^｜]+""),"""")&amp;""_""&amp;IFERROR(REGEXEXTRACT($M18,""^[^｜]+""),"""")
      )
     ),
     sy_mst!$A:$A,
     sy_mst!$I:$I
    ),
    0
   )
  )
  *
  IFERROR(XLOOKUP(REGEXEXTR"&amp;"ACT($I18,""^[^｜]+""),ms_mst!$A:$A,ms_mst!$Q:$Q),1)
  *
  IF(
   $B18&gt;=IFERROR(XLOOKUP(REGEXEXTRACT($L18,""^[^｜]+""),sk_mst!$A:$A,sk_mst!$M:$M),999),
   IFERROR(XLOOKUP(REGEXEXTRACT($L18,""^[^｜]+""),sk_mst!$A:$A,sk_mst!$K:$K),1),
   1
  )
 )
)"),4000.0)</f>
        <v>4000</v>
      </c>
      <c r="U18" s="25">
        <f>IFERROR(__xludf.DUMMYFUNCTION("IF($A18="""","""",
 IF($F18=""market"",
  IFERROR(XLOOKUP(REGEXEXTRACT($J18,""^[^｜]+""),tr_mst!$A:$A,tr_mst!$J:$J),0)
  +IFERROR(XLOOKUP(REGEXEXTRACT($K18,""^[^｜]+""),tc_mst!$A:$A,tc_mst!$J:$J),0),
  IF($B18=0,
   IFERROR(XLOOKUP(REGEXEXTRACT($I18,""^[^｜]"&amp;"+""),ms_mst!$A:$A,ms_mst!$J:$J),0),
   IFERROR(XLOOKUP(""T""&amp;($B18-1)&amp;""_""&amp;$D18,$A:$A,$U:$U),0)
  )
  +IFERROR(XLOOKUP(REGEXEXTRACT($J18,""^[^｜]+""),tr_mst!$A:$A,tr_mst!$J:$J),0)
  +IFERROR(XLOOKUP(REGEXEXTRACT($K18,""^[^｜]+""),tc_mst!$A:$A,tc_mst!$J:$J)"&amp;",0)
  +
  (
   IFERROR(XLOOKUP(REGEXEXTRACT($M18,""^[^｜]+""),ac_mst!$A:$A,ac_mst!$M:$M),0)
   +IFERROR(XLOOKUP(REGEXEXTRACT($N18,""^[^｜]+""),ac_mst!$A:$A,ac_mst!$M:$M),0)
   +IFERROR(
    XLOOKUP(
     IF(
      OR(
       IFERROR(REGEXEXTRACT($M18,""^[^｜"&amp;"]+""),"""")="""",
       IFERROR(REGEXEXTRACT($N18,""^[^｜]+""),"""")=""""
      ),
      """",
      IF(
       IFERROR(REGEXEXTRACT($M18,""^[^｜]+""),"""")&lt;IFERROR(REGEXEXTRACT($N18,""^[^｜]+""),""""),
       IFERROR(REGEXEXTRACT($M18,""^[^｜]+""),"""")&amp;""_"&amp;"""&amp;IFERROR(REGEXEXTRACT($N18,""^[^｜]+""),""""),
       IFERROR(REGEXEXTRACT($N18,""^[^｜]+""),"""")&amp;""_""&amp;IFERROR(REGEXEXTRACT($M18,""^[^｜]+""),"""")
      )
     ),
     sy_mst!$A:$A,
     sy_mst!$J:$J
    ),
    0
   )
  )
  *
  IFERROR(XLOOKUP(REGEXEXTR"&amp;"ACT($I18,""^[^｜]+""),ms_mst!$A:$A,ms_mst!$R:$R),1)
  *
  IF(
   $B18&gt;=IFERROR(XLOOKUP(REGEXEXTRACT($L18,""^[^｜]+""),sk_mst!$A:$A,sk_mst!$M:$M),999),
   IFERROR(XLOOKUP(REGEXEXTRACT($L18,""^[^｜]+""),sk_mst!$A:$A,sk_mst!$L:$L),1),
   1
  )
 )
)"),45.0)</f>
        <v>45</v>
      </c>
      <c r="V18" s="25">
        <f t="shared" si="1"/>
        <v>598584</v>
      </c>
      <c r="W18" s="25">
        <f t="shared" si="2"/>
        <v>58500</v>
      </c>
      <c r="X18" s="25">
        <f t="shared" si="3"/>
        <v>540084</v>
      </c>
      <c r="Y18" s="25">
        <f t="shared" si="4"/>
        <v>10.23</v>
      </c>
      <c r="Z18" s="25">
        <f>IFERROR(__xludf.DUMMYFUNCTION("IF($A18="""","""",
 IF($F18&lt;&gt;""player"","""",
  IFERROR(
   RANK(
    $X18,
    FILTER($X:$X,$B:$B=$B18,$F:$F=""player"",$X:$X&lt;&gt;""""),
    0
   ),
   """"
  )
 )
)"),1.0)</f>
        <v>1</v>
      </c>
      <c r="AA18" s="25" t="str">
        <f t="shared" si="5"/>
        <v>1位</v>
      </c>
      <c r="AB18" s="26">
        <f t="shared" si="6"/>
        <v>0.6546691176</v>
      </c>
    </row>
    <row r="19">
      <c r="A19" s="14" t="s">
        <v>192</v>
      </c>
      <c r="B19" s="25">
        <v>1.0</v>
      </c>
      <c r="C19" s="14" t="s">
        <v>162</v>
      </c>
      <c r="D19" s="14" t="s">
        <v>163</v>
      </c>
      <c r="E19" s="25" t="s">
        <v>153</v>
      </c>
      <c r="F19" s="25" t="s">
        <v>154</v>
      </c>
      <c r="G19" s="25" t="str">
        <f>IFERROR(__xludf.DUMMYFUNCTION("IF($F19=""market"","""",IFERROR(FILTER(member_log!$B$10:$B947,member_log!$C$10:$C947=$C19,member_log!$D$10:$D947=$E19,member_log!$G$10:$G947=""active""),""""))"),"")</f>
        <v/>
      </c>
      <c r="H19" s="25" t="str">
        <f>IFERROR(__xludf.DUMMYFUNCTION("IF($F19=""market"","""",IFERROR(FILTER(member_log!$E$10:$E947,member_log!$C$10:$C947=$C19,member_log!$D$10:$D947=$E19,member_log!$G$10:$G947=""active""),""""))"),"")</f>
        <v/>
      </c>
      <c r="I19" s="25" t="str">
        <f>IFERROR(__xludf.DUMMYFUNCTION("IF($F19&lt;&gt;""player"","""",IFERROR(INDEX(FILTER(group_setup!$D$2:$D947,group_setup!$B$2:$B947=$C19,group_setup!$G$2:$G947=TRUE,group_setup!$H$2:$H947=""completed""),1),""""))"),"M01")</f>
        <v>M01</v>
      </c>
      <c r="J19" s="25" t="str">
        <f>IFERROR(__xludf.DUMMYFUNCTION("IFERROR(FILTER(market_event_log!$D$2:$D947,market_event_log!$C$2:$C947=$B19,market_event_log!$N$2:$N947=""active""),"""")"),"T01")</f>
        <v>T01</v>
      </c>
      <c r="K19" s="25" t="str">
        <f>IFERROR(__xludf.DUMMYFUNCTION("IFERROR(FILTER(market_event_log!$G$2:$G947,market_event_log!$C$2:$C947=$B19,market_event_log!$N$2:$N947=""active""),"""")"),"C01")</f>
        <v>C01</v>
      </c>
      <c r="L19" s="25" t="str">
        <f>IFERROR(__xludf.DUMMYFUNCTION("IF($F19&lt;&gt;""player"","""",IFERROR(INDEX(FILTER(group_setup!$E$2:$E947,group_setup!$B$2:$B947=$C19,group_setup!$G$2:$G947=TRUE,group_setup!$H$2:$H947=""completed""),1),""""))"),"S01")</f>
        <v>S01</v>
      </c>
      <c r="M19" s="25" t="str">
        <f>IFERROR(__xludf.DUMMYFUNCTION("IF($F19=""market"","""",IF($E19=""HUMAN"",IFERROR(FILTER(turn_log!$G$2:$G947,turn_log!$C$2:$C947=$B19,turn_log!$D$2:$D947=$C19,turn_log!$F$2:$F947=$E19),""""),IFERROR(FILTER(turn_log!$I$2:$I947,turn_log!$C$2:$C947=$B19,turn_log!$D$2:$D947=$C19,turn_log!$F"&amp;"$2:$F947=$E19),"""")))"),"A21")</f>
        <v>A21</v>
      </c>
      <c r="N19" s="25" t="str">
        <f>IFERROR(__xludf.DUMMYFUNCTION("IF($F19=""market"","""",IF($E19=""HUMAN"",IFERROR(FILTER(turn_log!$H$2:$H947,turn_log!$C$2:$C947=$B19,turn_log!$D$2:$D947=$C19,turn_log!$F$2:$F947=$E19),""""),IFERROR(FILTER(turn_log!$J$2:$J947,turn_log!$C$2:$C947=$B19,turn_log!$D$2:$D947=$C19,turn_log!$F"&amp;"$2:$F947=$E19),"""")))"),"A14")</f>
        <v>A14</v>
      </c>
      <c r="O19" s="25">
        <f>IFERROR(__xludf.DUMMYFUNCTION("IF($A19="""","""",
 IF($F19=""market"",
  IFERROR(XLOOKUP(REGEXEXTRACT($J19,""^[^｜]+""),tr_mst!$A:$A,tr_mst!$D:$D),0)
  +IFERROR(XLOOKUP(REGEXEXTRACT($K19,""^[^｜]+""),tc_mst!$A:$A,tc_mst!$D:$D),0),
  IF($B19=0,
   IFERROR(XLOOKUP(REGEXEXTRACT($I19,""^[^｜]"&amp;"+""),ms_mst!$A:$A,ms_mst!$D:$D),0),
   IFERROR(XLOOKUP(""T""&amp;($B19-1)&amp;""_""&amp;$D19,$A:$A,$O:$O),0)
  )
  +IFERROR(XLOOKUP(REGEXEXTRACT($J19,""^[^｜]+""),tr_mst!$A:$A,tr_mst!$D:$D),0)
  +IFERROR(XLOOKUP(REGEXEXTRACT($K19,""^[^｜]+""),tc_mst!$A:$A,tc_mst!$D:$D)"&amp;",0)
  +
  (
   IFERROR(XLOOKUP(REGEXEXTRACT($M19,""^[^｜]+""),ac_mst!$A:$A,ac_mst!$G:$G),0)
   +IFERROR(XLOOKUP(REGEXEXTRACT($N19,""^[^｜]+""),ac_mst!$A:$A,ac_mst!$G:$G),0)
   +IFERROR(
    XLOOKUP(
     IF(
      OR(
       IFERROR(REGEXEXTRACT($M19,""^[^｜"&amp;"]+""),"""")="""",
       IFERROR(REGEXEXTRACT($N19,""^[^｜]+""),"""")=""""
      ),
      """",
      IF(
       IFERROR(REGEXEXTRACT($M19,""^[^｜]+""),"""")&lt;IFERROR(REGEXEXTRACT($N19,""^[^｜]+""),""""),
       IFERROR(REGEXEXTRACT($M19,""^[^｜]+""),"""")&amp;""_"&amp;"""&amp;IFERROR(REGEXEXTRACT($N19,""^[^｜]+""),""""),
       IFERROR(REGEXEXTRACT($N19,""^[^｜]+""),"""")&amp;""_""&amp;IFERROR(REGEXEXTRACT($M19,""^[^｜]+""),"""")
      )
     ),
     sy_mst!$A:$A,
     sy_mst!$D:$D
    ),
    0
   )
  )
  *
  IFERROR(XLOOKUP(REGEXEXTR"&amp;"ACT($I19,""^[^｜]+""),ms_mst!$A:$A,ms_mst!$L:$L),1)
  *
  IF(
   $B19&gt;=IFERROR(XLOOKUP(REGEXEXTRACT($L19,""^[^｜]+""),sk_mst!$A:$A,sk_mst!$M:$M),999),
   IFERROR(XLOOKUP(REGEXEXTRACT($L19,""^[^｜]+""),sk_mst!$A:$A,sk_mst!$F:$F),1),
   1
  )
 )
)"),7700.0)</f>
        <v>7700</v>
      </c>
      <c r="P19" s="25">
        <f>IFERROR(__xludf.DUMMYFUNCTION("IF($A19="""","""",
 IF($F19=""market"",
  IFERROR(XLOOKUP(REGEXEXTRACT($J19,""^[^｜]+""),tr_mst!$A:$A,tr_mst!$E:$E),0)
  +IFERROR(XLOOKUP(REGEXEXTRACT($K19,""^[^｜]+""),tc_mst!$A:$A,tc_mst!$E:$E),0),
  IF($B19=0,
   IFERROR(XLOOKUP(REGEXEXTRACT($I19,""^[^｜]"&amp;"+""),ms_mst!$A:$A,ms_mst!$E:$E),0),
   IFERROR(XLOOKUP(""T""&amp;($B19-1)&amp;""_""&amp;$D19,$A:$A,$P:$P),0)
  )
  +IFERROR(XLOOKUP(REGEXEXTRACT($J19,""^[^｜]+""),tr_mst!$A:$A,tr_mst!$E:$E),0)
  +IFERROR(XLOOKUP(REGEXEXTRACT($K19,""^[^｜]+""),tc_mst!$A:$A,tc_mst!$E:$E)"&amp;",0)
  +
  (
   IFERROR(XLOOKUP(REGEXEXTRACT($M19,""^[^｜]+""),ac_mst!$A:$A,ac_mst!$H:$H),0)
   +IFERROR(XLOOKUP(REGEXEXTRACT($N19,""^[^｜]+""),ac_mst!$A:$A,ac_mst!$H:$H),0)
   +IFERROR(
    XLOOKUP(
     IF(
      OR(
       IFERROR(REGEXEXTRACT($M19,""^[^｜"&amp;"]+""),"""")="""",
       IFERROR(REGEXEXTRACT($N19,""^[^｜]+""),"""")=""""
      ),
      """",
      IF(
       IFERROR(REGEXEXTRACT($M19,""^[^｜]+""),"""")&lt;IFERROR(REGEXEXTRACT($N19,""^[^｜]+""),""""),
       IFERROR(REGEXEXTRACT($M19,""^[^｜]+""),"""")&amp;""_"&amp;"""&amp;IFERROR(REGEXEXTRACT($N19,""^[^｜]+""),""""),
       IFERROR(REGEXEXTRACT($N19,""^[^｜]+""),"""")&amp;""_""&amp;IFERROR(REGEXEXTRACT($M19,""^[^｜]+""),"""")
      )
     ),
     sy_mst!$A:$A,
     sy_mst!$E:$E
    ),
    0
   )
  )
  *
  IFERROR(XLOOKUP(REGEXEXTR"&amp;"ACT($I19,""^[^｜]+""),ms_mst!$A:$A,ms_mst!$M:$M),1)
  *
  IF(
   $B19&gt;=IFERROR(XLOOKUP(REGEXEXTRACT($L19,""^[^｜]+""),sk_mst!$A:$A,sk_mst!$M:$M),999),
   IFERROR(XLOOKUP(REGEXEXTRACT($L19,""^[^｜]+""),sk_mst!$A:$A,sk_mst!$G:$G),1),
   1
  )
 )
)"),2600.0)</f>
        <v>2600</v>
      </c>
      <c r="Q19" s="25">
        <f>IFERROR(__xludf.DUMMYFUNCTION("IF($A19="""","""",
 IF($F19=""market"",
  IFERROR(XLOOKUP(REGEXEXTRACT($J19,""^[^｜]+""),tr_mst!$A:$A,tr_mst!$F:$F),0)
  +IFERROR(XLOOKUP(REGEXEXTRACT($K19,""^[^｜]+""),tc_mst!$A:$A,tc_mst!$F:$F),0),
  IF($B19=0,
   IFERROR(XLOOKUP(REGEXEXTRACT($I19,""^[^｜]"&amp;"+""),ms_mst!$A:$A,ms_mst!$F:$F),0),
   IFERROR(XLOOKUP(""T""&amp;($B19-1)&amp;""_""&amp;$D19,$A:$A,$Q:$Q),0)
  )
  +IFERROR(XLOOKUP(REGEXEXTRACT($J19,""^[^｜]+""),tr_mst!$A:$A,tr_mst!$F:$F),0)
  +IFERROR(XLOOKUP(REGEXEXTRACT($K19,""^[^｜]+""),tc_mst!$A:$A,tc_mst!$F:$F)"&amp;",0)
  +
  (
   IFERROR(XLOOKUP(REGEXEXTRACT($M19,""^[^｜]+""),ac_mst!$A:$A,ac_mst!$I:$I),0)
   +IFERROR(XLOOKUP(REGEXEXTRACT($N19,""^[^｜]+""),ac_mst!$A:$A,ac_mst!$I:$I),0)
   +IFERROR(
    XLOOKUP(
     IF(
      OR(
       IFERROR(REGEXEXTRACT($M19,""^[^｜"&amp;"]+""),"""")="""",
       IFERROR(REGEXEXTRACT($N19,""^[^｜]+""),"""")=""""
      ),
      """",
      IF(
       IFERROR(REGEXEXTRACT($M19,""^[^｜]+""),"""")&lt;IFERROR(REGEXEXTRACT($N19,""^[^｜]+""),""""),
       IFERROR(REGEXEXTRACT($M19,""^[^｜]+""),"""")&amp;""_"&amp;"""&amp;IFERROR(REGEXEXTRACT($N19,""^[^｜]+""),""""),
       IFERROR(REGEXEXTRACT($N19,""^[^｜]+""),"""")&amp;""_""&amp;IFERROR(REGEXEXTRACT($M19,""^[^｜]+""),"""")
      )
     ),
     sy_mst!$A:$A,
     sy_mst!$F:$F
    ),
    0
   )
  )
  *
  IFERROR(XLOOKUP(REGEXEXTR"&amp;"ACT($I19,""^[^｜]+""),ms_mst!$A:$A,ms_mst!$N:$N),1)
  *
  IF(
   $B19&gt;=IFERROR(XLOOKUP(REGEXEXTRACT($L19,""^[^｜]+""),sk_mst!$A:$A,sk_mst!$M:$M),999),
   IFERROR(XLOOKUP(REGEXEXTRACT($L19,""^[^｜]+""),sk_mst!$A:$A,sk_mst!$H:$H),1),
   1
  )
 )
)"),0.57)</f>
        <v>0.57</v>
      </c>
      <c r="R19" s="25">
        <f>IFERROR(__xludf.DUMMYFUNCTION("IF($A19="""","""",
 IF($F19=""market"",
  IFERROR(XLOOKUP(REGEXEXTRACT($J19,""^[^｜]+""),tr_mst!$A:$A,tr_mst!$G:$G),0)
  +IFERROR(XLOOKUP(REGEXEXTRACT($K19,""^[^｜]+""),tc_mst!$A:$A,tc_mst!$G:$G),0),
  IF($B19=0,
   IFERROR(XLOOKUP(REGEXEXTRACT($I19,""^[^｜]"&amp;"+""),ms_mst!$A:$A,ms_mst!$G:$G),0),
   IFERROR(XLOOKUP(""T""&amp;($B19-1)&amp;""_""&amp;$D19,$A:$A,$R:$R),0)
  )
  +IFERROR(XLOOKUP(REGEXEXTRACT($J19,""^[^｜]+""),tr_mst!$A:$A,tr_mst!$G:$G),0)
  +IFERROR(XLOOKUP(REGEXEXTRACT($K19,""^[^｜]+""),tc_mst!$A:$A,tc_mst!$G:$G)"&amp;",0)
  +
  (
   IFERROR(XLOOKUP(REGEXEXTRACT($M19,""^[^｜]+""),ac_mst!$A:$A,ac_mst!$J:$J),0)
   +IFERROR(XLOOKUP(REGEXEXTRACT($N19,""^[^｜]+""),ac_mst!$A:$A,ac_mst!$J:$J),0)
   +IFERROR(
    XLOOKUP(
     IF(
      OR(
       IFERROR(REGEXEXTRACT($M19,""^[^｜"&amp;"]+""),"""")="""",
       IFERROR(REGEXEXTRACT($N19,""^[^｜]+""),"""")=""""
      ),
      """",
      IF(
       IFERROR(REGEXEXTRACT($M19,""^[^｜]+""),"""")&lt;IFERROR(REGEXEXTRACT($N19,""^[^｜]+""),""""),
       IFERROR(REGEXEXTRACT($M19,""^[^｜]+""),"""")&amp;""_"&amp;"""&amp;IFERROR(REGEXEXTRACT($N19,""^[^｜]+""),""""),
       IFERROR(REGEXEXTRACT($N19,""^[^｜]+""),"""")&amp;""_""&amp;IFERROR(REGEXEXTRACT($M19,""^[^｜]+""),"""")
      )
     ),
     sy_mst!$A:$A,
     sy_mst!$G:$G
    ),
    0
   )
  )
  *
  IFERROR(XLOOKUP(REGEXEXTR"&amp;"ACT($I19,""^[^｜]+""),ms_mst!$A:$A,ms_mst!$O:$O),1)
  *
  IF(
   $B19&gt;=IFERROR(XLOOKUP(REGEXEXTRACT($L19,""^[^｜]+""),sk_mst!$A:$A,sk_mst!$M:$M),999),
   IFERROR(XLOOKUP(REGEXEXTRACT($L19,""^[^｜]+""),sk_mst!$A:$A,sk_mst!$I:$I),1),
   1
  )
 )
)"),1.45)</f>
        <v>1.45</v>
      </c>
      <c r="S19" s="25">
        <f>IFERROR(__xludf.DUMMYFUNCTION("IF($A19="""","""",
 IF($F19=""market"",
  IFERROR(XLOOKUP(REGEXEXTRACT($J19,""^[^｜]+""),tr_mst!$A:$A,tr_mst!$H:$H),0)
  +IFERROR(XLOOKUP(REGEXEXTRACT($K19,""^[^｜]+""),tc_mst!$A:$A,tc_mst!$H:$H),0),
  IF($B19=0,
   IFERROR(XLOOKUP(REGEXEXTRACT($I19,""^[^｜]"&amp;"+""),ms_mst!$A:$A,ms_mst!$H:$H),0),
   IFERROR(XLOOKUP(""T""&amp;($B19-1)&amp;""_""&amp;$D19,$A:$A,$S:$S),0)
  )
  +IFERROR(XLOOKUP(REGEXEXTRACT($J19,""^[^｜]+""),tr_mst!$A:$A,tr_mst!$H:$H),0)
  +IFERROR(XLOOKUP(REGEXEXTRACT($K19,""^[^｜]+""),tc_mst!$A:$A,tc_mst!$H:$H)"&amp;",0)
  +
  (
   IFERROR(XLOOKUP(REGEXEXTRACT($M19,""^[^｜]+""),ac_mst!$A:$A,ac_mst!$K:$K),0)
   +IFERROR(XLOOKUP(REGEXEXTRACT($N19,""^[^｜]+""),ac_mst!$A:$A,ac_mst!$K:$K),0)
   +IFERROR(
    XLOOKUP(
     IF(
      OR(
       IFERROR(REGEXEXTRACT($M19,""^[^｜"&amp;"]+""),"""")="""",
       IFERROR(REGEXEXTRACT($N19,""^[^｜]+""),"""")=""""
      ),
      """",
      IF(
       IFERROR(REGEXEXTRACT($M19,""^[^｜]+""),"""")&lt;IFERROR(REGEXEXTRACT($N19,""^[^｜]+""),""""),
       IFERROR(REGEXEXTRACT($M19,""^[^｜]+""),"""")&amp;""_"&amp;"""&amp;IFERROR(REGEXEXTRACT($N19,""^[^｜]+""),""""),
       IFERROR(REGEXEXTRACT($N19,""^[^｜]+""),"""")&amp;""_""&amp;IFERROR(REGEXEXTRACT($M19,""^[^｜]+""),"""")
      )
     ),
     sy_mst!$A:$A,
     sy_mst!$H:$H
    ),
    0
   )
  )
  *
  IFERROR(XLOOKUP(REGEXEXTR"&amp;"ACT($I19,""^[^｜]+""),ms_mst!$A:$A,ms_mst!$P:$P),1)
  *
  IF(
   $B19&gt;=IFERROR(XLOOKUP(REGEXEXTRACT($L19,""^[^｜]+""),sk_mst!$A:$A,sk_mst!$M:$M),999),
   IFERROR(XLOOKUP(REGEXEXTRACT($L19,""^[^｜]+""),sk_mst!$A:$A,sk_mst!$J:$J),1),
   1
  )
 )
)"),0.0132)</f>
        <v>0.0132</v>
      </c>
      <c r="T19" s="25">
        <f>IFERROR(__xludf.DUMMYFUNCTION("IF($A19="""","""",
 IF($F19=""market"",
  IFERROR(XLOOKUP(REGEXEXTRACT($J19,""^[^｜]+""),tr_mst!$A:$A,tr_mst!$I:$I),0)
  +IFERROR(XLOOKUP(REGEXEXTRACT($K19,""^[^｜]+""),tc_mst!$A:$A,tc_mst!$I:$I),0),
  IF($B19=0,
   IFERROR(XLOOKUP(REGEXEXTRACT($I19,""^[^｜]"&amp;"+""),ms_mst!$A:$A,ms_mst!$I:$I),0),
   IFERROR(XLOOKUP(""T""&amp;($B19-1)&amp;""_""&amp;$D19,$A:$A,$T:$T),0)
  )
  +IFERROR(XLOOKUP(REGEXEXTRACT($J19,""^[^｜]+""),tr_mst!$A:$A,tr_mst!$I:$I),0)
  +IFERROR(XLOOKUP(REGEXEXTRACT($K19,""^[^｜]+""),tc_mst!$A:$A,tc_mst!$I:$I)"&amp;",0)
  +
  (
   IFERROR(XLOOKUP(REGEXEXTRACT($M19,""^[^｜]+""),ac_mst!$A:$A,ac_mst!$L:$L),0)
   +IFERROR(XLOOKUP(REGEXEXTRACT($N19,""^[^｜]+""),ac_mst!$A:$A,ac_mst!$L:$L),0)
   +IFERROR(
    XLOOKUP(
     IF(
      OR(
       IFERROR(REGEXEXTRACT($M19,""^[^｜"&amp;"]+""),"""")="""",
       IFERROR(REGEXEXTRACT($N19,""^[^｜]+""),"""")=""""
      ),
      """",
      IF(
       IFERROR(REGEXEXTRACT($M19,""^[^｜]+""),"""")&lt;IFERROR(REGEXEXTRACT($N19,""^[^｜]+""),""""),
       IFERROR(REGEXEXTRACT($M19,""^[^｜]+""),"""")&amp;""_"&amp;"""&amp;IFERROR(REGEXEXTRACT($N19,""^[^｜]+""),""""),
       IFERROR(REGEXEXTRACT($N19,""^[^｜]+""),"""")&amp;""_""&amp;IFERROR(REGEXEXTRACT($M19,""^[^｜]+""),"""")
      )
     ),
     sy_mst!$A:$A,
     sy_mst!$I:$I
    ),
    0
   )
  )
  *
  IFERROR(XLOOKUP(REGEXEXTR"&amp;"ACT($I19,""^[^｜]+""),ms_mst!$A:$A,ms_mst!$Q:$Q),1)
  *
  IF(
   $B19&gt;=IFERROR(XLOOKUP(REGEXEXTRACT($L19,""^[^｜]+""),sk_mst!$A:$A,sk_mst!$M:$M),999),
   IFERROR(XLOOKUP(REGEXEXTRACT($L19,""^[^｜]+""),sk_mst!$A:$A,sk_mst!$K:$K),1),
   1
  )
 )
)"),3800.0)</f>
        <v>3800</v>
      </c>
      <c r="U19" s="25">
        <f>IFERROR(__xludf.DUMMYFUNCTION("IF($A19="""","""",
 IF($F19=""market"",
  IFERROR(XLOOKUP(REGEXEXTRACT($J19,""^[^｜]+""),tr_mst!$A:$A,tr_mst!$J:$J),0)
  +IFERROR(XLOOKUP(REGEXEXTRACT($K19,""^[^｜]+""),tc_mst!$A:$A,tc_mst!$J:$J),0),
  IF($B19=0,
   IFERROR(XLOOKUP(REGEXEXTRACT($I19,""^[^｜]"&amp;"+""),ms_mst!$A:$A,ms_mst!$J:$J),0),
   IFERROR(XLOOKUP(""T""&amp;($B19-1)&amp;""_""&amp;$D19,$A:$A,$U:$U),0)
  )
  +IFERROR(XLOOKUP(REGEXEXTRACT($J19,""^[^｜]+""),tr_mst!$A:$A,tr_mst!$J:$J),0)
  +IFERROR(XLOOKUP(REGEXEXTRACT($K19,""^[^｜]+""),tc_mst!$A:$A,tc_mst!$J:$J)"&amp;",0)
  +
  (
   IFERROR(XLOOKUP(REGEXEXTRACT($M19,""^[^｜]+""),ac_mst!$A:$A,ac_mst!$M:$M),0)
   +IFERROR(XLOOKUP(REGEXEXTRACT($N19,""^[^｜]+""),ac_mst!$A:$A,ac_mst!$M:$M),0)
   +IFERROR(
    XLOOKUP(
     IF(
      OR(
       IFERROR(REGEXEXTRACT($M19,""^[^｜"&amp;"]+""),"""")="""",
       IFERROR(REGEXEXTRACT($N19,""^[^｜]+""),"""")=""""
      ),
      """",
      IF(
       IFERROR(REGEXEXTRACT($M19,""^[^｜]+""),"""")&lt;IFERROR(REGEXEXTRACT($N19,""^[^｜]+""),""""),
       IFERROR(REGEXEXTRACT($M19,""^[^｜]+""),"""")&amp;""_"&amp;"""&amp;IFERROR(REGEXEXTRACT($N19,""^[^｜]+""),""""),
       IFERROR(REGEXEXTRACT($N19,""^[^｜]+""),"""")&amp;""_""&amp;IFERROR(REGEXEXTRACT($M19,""^[^｜]+""),"""")
      )
     ),
     sy_mst!$A:$A,
     sy_mst!$J:$J
    ),
    0
   )
  )
  *
  IFERROR(XLOOKUP(REGEXEXTR"&amp;"ACT($I19,""^[^｜]+""),ms_mst!$A:$A,ms_mst!$R:$R),1)
  *
  IF(
   $B19&gt;=IFERROR(XLOOKUP(REGEXEXTRACT($L19,""^[^｜]+""),sk_mst!$A:$A,sk_mst!$M:$M),999),
   IFERROR(XLOOKUP(REGEXEXTRACT($L19,""^[^｜]+""),sk_mst!$A:$A,sk_mst!$L:$L),1),
   1
  )
 )
)"),55.0)</f>
        <v>55</v>
      </c>
      <c r="V19" s="25">
        <f t="shared" si="1"/>
        <v>322130</v>
      </c>
      <c r="W19" s="25">
        <f t="shared" si="2"/>
        <v>143000</v>
      </c>
      <c r="X19" s="25">
        <f t="shared" si="3"/>
        <v>179130</v>
      </c>
      <c r="Y19" s="25">
        <f t="shared" si="4"/>
        <v>2.25</v>
      </c>
      <c r="Z19" s="25">
        <f>IFERROR(__xludf.DUMMYFUNCTION("IF($A19="""","""",
 IF($F19&lt;&gt;""player"","""",
  IFERROR(
   RANK(
    $X19,
    FILTER($X:$X,$B:$B=$B19,$F:$F=""player"",$X:$X&lt;&gt;""""),
    0
   ),
   """"
  )
 )
)"),5.0)</f>
        <v>5</v>
      </c>
      <c r="AA19" s="25" t="str">
        <f t="shared" si="5"/>
        <v>5位</v>
      </c>
      <c r="AB19" s="26">
        <f t="shared" si="6"/>
        <v>0.5932013448</v>
      </c>
    </row>
    <row r="20">
      <c r="A20" s="14" t="s">
        <v>193</v>
      </c>
      <c r="B20" s="25">
        <v>1.0</v>
      </c>
      <c r="C20" s="14" t="s">
        <v>165</v>
      </c>
      <c r="D20" s="14" t="s">
        <v>166</v>
      </c>
      <c r="E20" s="25" t="s">
        <v>153</v>
      </c>
      <c r="F20" s="25" t="s">
        <v>154</v>
      </c>
      <c r="G20" s="25" t="str">
        <f>IFERROR(__xludf.DUMMYFUNCTION("IF($F20=""market"","""",IFERROR(FILTER(member_log!$B$10:$B947,member_log!$C$10:$C947=$C20,member_log!$D$10:$D947=$E20,member_log!$G$10:$G947=""active""),""""))"),"")</f>
        <v/>
      </c>
      <c r="H20" s="25" t="str">
        <f>IFERROR(__xludf.DUMMYFUNCTION("IF($F20=""market"","""",IFERROR(FILTER(member_log!$E$10:$E947,member_log!$C$10:$C947=$C20,member_log!$D$10:$D947=$E20,member_log!$G$10:$G947=""active""),""""))"),"")</f>
        <v/>
      </c>
      <c r="I20" s="25" t="str">
        <f>IFERROR(__xludf.DUMMYFUNCTION("IF($F20&lt;&gt;""player"","""",IFERROR(INDEX(FILTER(group_setup!$D$2:$D947,group_setup!$B$2:$B947=$C20,group_setup!$G$2:$G947=TRUE,group_setup!$H$2:$H947=""completed""),1),""""))"),"M10")</f>
        <v>M10</v>
      </c>
      <c r="J20" s="25" t="str">
        <f>IFERROR(__xludf.DUMMYFUNCTION("IFERROR(FILTER(market_event_log!$D$2:$D947,market_event_log!$C$2:$C947=$B20,market_event_log!$N$2:$N947=""active""),"""")"),"T01")</f>
        <v>T01</v>
      </c>
      <c r="K20" s="25" t="str">
        <f>IFERROR(__xludf.DUMMYFUNCTION("IFERROR(FILTER(market_event_log!$G$2:$G947,market_event_log!$C$2:$C947=$B20,market_event_log!$N$2:$N947=""active""),"""")"),"C01")</f>
        <v>C01</v>
      </c>
      <c r="L20" s="25" t="str">
        <f>IFERROR(__xludf.DUMMYFUNCTION("IF($F20&lt;&gt;""player"","""",IFERROR(INDEX(FILTER(group_setup!$E$2:$E947,group_setup!$B$2:$B947=$C20,group_setup!$G$2:$G947=TRUE,group_setup!$H$2:$H947=""completed""),1),""""))"),"S06")</f>
        <v>S06</v>
      </c>
      <c r="M20" s="25" t="str">
        <f>IFERROR(__xludf.DUMMYFUNCTION("IF($F20=""market"","""",IF($E20=""HUMAN"",IFERROR(FILTER(turn_log!$G$2:$G947,turn_log!$C$2:$C947=$B20,turn_log!$D$2:$D947=$C20,turn_log!$F$2:$F947=$E20),""""),IFERROR(FILTER(turn_log!$I$2:$I947,turn_log!$C$2:$C947=$B20,turn_log!$D$2:$D947=$C20,turn_log!$F"&amp;"$2:$F947=$E20),"""")))"),"A05")</f>
        <v>A05</v>
      </c>
      <c r="N20" s="25" t="str">
        <f>IFERROR(__xludf.DUMMYFUNCTION("IF($F20=""market"","""",IF($E20=""HUMAN"",IFERROR(FILTER(turn_log!$H$2:$H947,turn_log!$C$2:$C947=$B20,turn_log!$D$2:$D947=$C20,turn_log!$F$2:$F947=$E20),""""),IFERROR(FILTER(turn_log!$J$2:$J947,turn_log!$C$2:$C947=$B20,turn_log!$D$2:$D947=$C20,turn_log!$F"&amp;"$2:$F947=$E20),"""")))"),"A23")</f>
        <v>A23</v>
      </c>
      <c r="O20" s="25">
        <f>IFERROR(__xludf.DUMMYFUNCTION("IF($A20="""","""",
 IF($F20=""market"",
  IFERROR(XLOOKUP(REGEXEXTRACT($J20,""^[^｜]+""),tr_mst!$A:$A,tr_mst!$D:$D),0)
  +IFERROR(XLOOKUP(REGEXEXTRACT($K20,""^[^｜]+""),tc_mst!$A:$A,tc_mst!$D:$D),0),
  IF($B20=0,
   IFERROR(XLOOKUP(REGEXEXTRACT($I20,""^[^｜]"&amp;"+""),ms_mst!$A:$A,ms_mst!$D:$D),0),
   IFERROR(XLOOKUP(""T""&amp;($B20-1)&amp;""_""&amp;$D20,$A:$A,$O:$O),0)
  )
  +IFERROR(XLOOKUP(REGEXEXTRACT($J20,""^[^｜]+""),tr_mst!$A:$A,tr_mst!$D:$D),0)
  +IFERROR(XLOOKUP(REGEXEXTRACT($K20,""^[^｜]+""),tc_mst!$A:$A,tc_mst!$D:$D)"&amp;",0)
  +
  (
   IFERROR(XLOOKUP(REGEXEXTRACT($M20,""^[^｜]+""),ac_mst!$A:$A,ac_mst!$G:$G),0)
   +IFERROR(XLOOKUP(REGEXEXTRACT($N20,""^[^｜]+""),ac_mst!$A:$A,ac_mst!$G:$G),0)
   +IFERROR(
    XLOOKUP(
     IF(
      OR(
       IFERROR(REGEXEXTRACT($M20,""^[^｜"&amp;"]+""),"""")="""",
       IFERROR(REGEXEXTRACT($N20,""^[^｜]+""),"""")=""""
      ),
      """",
      IF(
       IFERROR(REGEXEXTRACT($M20,""^[^｜]+""),"""")&lt;IFERROR(REGEXEXTRACT($N20,""^[^｜]+""),""""),
       IFERROR(REGEXEXTRACT($M20,""^[^｜]+""),"""")&amp;""_"&amp;"""&amp;IFERROR(REGEXEXTRACT($N20,""^[^｜]+""),""""),
       IFERROR(REGEXEXTRACT($N20,""^[^｜]+""),"""")&amp;""_""&amp;IFERROR(REGEXEXTRACT($M20,""^[^｜]+""),"""")
      )
     ),
     sy_mst!$A:$A,
     sy_mst!$D:$D
    ),
    0
   )
  )
  *
  IFERROR(XLOOKUP(REGEXEXTR"&amp;"ACT($I20,""^[^｜]+""),ms_mst!$A:$A,ms_mst!$L:$L),1)
  *
  IF(
   $B20&gt;=IFERROR(XLOOKUP(REGEXEXTRACT($L20,""^[^｜]+""),sk_mst!$A:$A,sk_mst!$M:$M),999),
   IFERROR(XLOOKUP(REGEXEXTRACT($L20,""^[^｜]+""),sk_mst!$A:$A,sk_mst!$F:$F),1),
   1
  )
 )
)"),7700.0)</f>
        <v>7700</v>
      </c>
      <c r="P20" s="25">
        <f>IFERROR(__xludf.DUMMYFUNCTION("IF($A20="""","""",
 IF($F20=""market"",
  IFERROR(XLOOKUP(REGEXEXTRACT($J20,""^[^｜]+""),tr_mst!$A:$A,tr_mst!$E:$E),0)
  +IFERROR(XLOOKUP(REGEXEXTRACT($K20,""^[^｜]+""),tc_mst!$A:$A,tc_mst!$E:$E),0),
  IF($B20=0,
   IFERROR(XLOOKUP(REGEXEXTRACT($I20,""^[^｜]"&amp;"+""),ms_mst!$A:$A,ms_mst!$E:$E),0),
   IFERROR(XLOOKUP(""T""&amp;($B20-1)&amp;""_""&amp;$D20,$A:$A,$P:$P),0)
  )
  +IFERROR(XLOOKUP(REGEXEXTRACT($J20,""^[^｜]+""),tr_mst!$A:$A,tr_mst!$E:$E),0)
  +IFERROR(XLOOKUP(REGEXEXTRACT($K20,""^[^｜]+""),tc_mst!$A:$A,tc_mst!$E:$E)"&amp;",0)
  +
  (
   IFERROR(XLOOKUP(REGEXEXTRACT($M20,""^[^｜]+""),ac_mst!$A:$A,ac_mst!$H:$H),0)
   +IFERROR(XLOOKUP(REGEXEXTRACT($N20,""^[^｜]+""),ac_mst!$A:$A,ac_mst!$H:$H),0)
   +IFERROR(
    XLOOKUP(
     IF(
      OR(
       IFERROR(REGEXEXTRACT($M20,""^[^｜"&amp;"]+""),"""")="""",
       IFERROR(REGEXEXTRACT($N20,""^[^｜]+""),"""")=""""
      ),
      """",
      IF(
       IFERROR(REGEXEXTRACT($M20,""^[^｜]+""),"""")&lt;IFERROR(REGEXEXTRACT($N20,""^[^｜]+""),""""),
       IFERROR(REGEXEXTRACT($M20,""^[^｜]+""),"""")&amp;""_"&amp;"""&amp;IFERROR(REGEXEXTRACT($N20,""^[^｜]+""),""""),
       IFERROR(REGEXEXTRACT($N20,""^[^｜]+""),"""")&amp;""_""&amp;IFERROR(REGEXEXTRACT($M20,""^[^｜]+""),"""")
      )
     ),
     sy_mst!$A:$A,
     sy_mst!$E:$E
    ),
    0
   )
  )
  *
  IFERROR(XLOOKUP(REGEXEXTR"&amp;"ACT($I20,""^[^｜]+""),ms_mst!$A:$A,ms_mst!$M:$M),1)
  *
  IF(
   $B20&gt;=IFERROR(XLOOKUP(REGEXEXTRACT($L20,""^[^｜]+""),sk_mst!$A:$A,sk_mst!$M:$M),999),
   IFERROR(XLOOKUP(REGEXEXTRACT($L20,""^[^｜]+""),sk_mst!$A:$A,sk_mst!$G:$G),1),
   1
  )
 )
)"),3300.0)</f>
        <v>3300</v>
      </c>
      <c r="Q20" s="25">
        <f>IFERROR(__xludf.DUMMYFUNCTION("IF($A20="""","""",
 IF($F20=""market"",
  IFERROR(XLOOKUP(REGEXEXTRACT($J20,""^[^｜]+""),tr_mst!$A:$A,tr_mst!$F:$F),0)
  +IFERROR(XLOOKUP(REGEXEXTRACT($K20,""^[^｜]+""),tc_mst!$A:$A,tc_mst!$F:$F),0),
  IF($B20=0,
   IFERROR(XLOOKUP(REGEXEXTRACT($I20,""^[^｜]"&amp;"+""),ms_mst!$A:$A,ms_mst!$F:$F),0),
   IFERROR(XLOOKUP(""T""&amp;($B20-1)&amp;""_""&amp;$D20,$A:$A,$Q:$Q),0)
  )
  +IFERROR(XLOOKUP(REGEXEXTRACT($J20,""^[^｜]+""),tr_mst!$A:$A,tr_mst!$F:$F),0)
  +IFERROR(XLOOKUP(REGEXEXTRACT($K20,""^[^｜]+""),tc_mst!$A:$A,tc_mst!$F:$F)"&amp;",0)
  +
  (
   IFERROR(XLOOKUP(REGEXEXTRACT($M20,""^[^｜]+""),ac_mst!$A:$A,ac_mst!$I:$I),0)
   +IFERROR(XLOOKUP(REGEXEXTRACT($N20,""^[^｜]+""),ac_mst!$A:$A,ac_mst!$I:$I),0)
   +IFERROR(
    XLOOKUP(
     IF(
      OR(
       IFERROR(REGEXEXTRACT($M20,""^[^｜"&amp;"]+""),"""")="""",
       IFERROR(REGEXEXTRACT($N20,""^[^｜]+""),"""")=""""
      ),
      """",
      IF(
       IFERROR(REGEXEXTRACT($M20,""^[^｜]+""),"""")&lt;IFERROR(REGEXEXTRACT($N20,""^[^｜]+""),""""),
       IFERROR(REGEXEXTRACT($M20,""^[^｜]+""),"""")&amp;""_"&amp;"""&amp;IFERROR(REGEXEXTRACT($N20,""^[^｜]+""),""""),
       IFERROR(REGEXEXTRACT($N20,""^[^｜]+""),"""")&amp;""_""&amp;IFERROR(REGEXEXTRACT($M20,""^[^｜]+""),"""")
      )
     ),
     sy_mst!$A:$A,
     sy_mst!$F:$F
    ),
    0
   )
  )
  *
  IFERROR(XLOOKUP(REGEXEXTR"&amp;"ACT($I20,""^[^｜]+""),ms_mst!$A:$A,ms_mst!$N:$N),1)
  *
  IF(
   $B20&gt;=IFERROR(XLOOKUP(REGEXEXTRACT($L20,""^[^｜]+""),sk_mst!$A:$A,sk_mst!$M:$M),999),
   IFERROR(XLOOKUP(REGEXEXTRACT($L20,""^[^｜]+""),sk_mst!$A:$A,sk_mst!$H:$H),1),
   1
  )
 )
)"),0.57)</f>
        <v>0.57</v>
      </c>
      <c r="R20" s="25">
        <f>IFERROR(__xludf.DUMMYFUNCTION("IF($A20="""","""",
 IF($F20=""market"",
  IFERROR(XLOOKUP(REGEXEXTRACT($J20,""^[^｜]+""),tr_mst!$A:$A,tr_mst!$G:$G),0)
  +IFERROR(XLOOKUP(REGEXEXTRACT($K20,""^[^｜]+""),tc_mst!$A:$A,tc_mst!$G:$G),0),
  IF($B20=0,
   IFERROR(XLOOKUP(REGEXEXTRACT($I20,""^[^｜]"&amp;"+""),ms_mst!$A:$A,ms_mst!$G:$G),0),
   IFERROR(XLOOKUP(""T""&amp;($B20-1)&amp;""_""&amp;$D20,$A:$A,$R:$R),0)
  )
  +IFERROR(XLOOKUP(REGEXEXTRACT($J20,""^[^｜]+""),tr_mst!$A:$A,tr_mst!$G:$G),0)
  +IFERROR(XLOOKUP(REGEXEXTRACT($K20,""^[^｜]+""),tc_mst!$A:$A,tc_mst!$G:$G)"&amp;",0)
  +
  (
   IFERROR(XLOOKUP(REGEXEXTRACT($M20,""^[^｜]+""),ac_mst!$A:$A,ac_mst!$J:$J),0)
   +IFERROR(XLOOKUP(REGEXEXTRACT($N20,""^[^｜]+""),ac_mst!$A:$A,ac_mst!$J:$J),0)
   +IFERROR(
    XLOOKUP(
     IF(
      OR(
       IFERROR(REGEXEXTRACT($M20,""^[^｜"&amp;"]+""),"""")="""",
       IFERROR(REGEXEXTRACT($N20,""^[^｜]+""),"""")=""""
      ),
      """",
      IF(
       IFERROR(REGEXEXTRACT($M20,""^[^｜]+""),"""")&lt;IFERROR(REGEXEXTRACT($N20,""^[^｜]+""),""""),
       IFERROR(REGEXEXTRACT($M20,""^[^｜]+""),"""")&amp;""_"&amp;"""&amp;IFERROR(REGEXEXTRACT($N20,""^[^｜]+""),""""),
       IFERROR(REGEXEXTRACT($N20,""^[^｜]+""),"""")&amp;""_""&amp;IFERROR(REGEXEXTRACT($M20,""^[^｜]+""),"""")
      )
     ),
     sy_mst!$A:$A,
     sy_mst!$G:$G
    ),
    0
   )
  )
  *
  IFERROR(XLOOKUP(REGEXEXTR"&amp;"ACT($I20,""^[^｜]+""),ms_mst!$A:$A,ms_mst!$O:$O),1)
  *
  IF(
   $B20&gt;=IFERROR(XLOOKUP(REGEXEXTRACT($L20,""^[^｜]+""),sk_mst!$A:$A,sk_mst!$M:$M),999),
   IFERROR(XLOOKUP(REGEXEXTRACT($L20,""^[^｜]+""),sk_mst!$A:$A,sk_mst!$I:$I),1),
   1
  )
 )
)"),1.4049999999999998)</f>
        <v>1.405</v>
      </c>
      <c r="S20" s="25">
        <f>IFERROR(__xludf.DUMMYFUNCTION("IF($A20="""","""",
 IF($F20=""market"",
  IFERROR(XLOOKUP(REGEXEXTRACT($J20,""^[^｜]+""),tr_mst!$A:$A,tr_mst!$H:$H),0)
  +IFERROR(XLOOKUP(REGEXEXTRACT($K20,""^[^｜]+""),tc_mst!$A:$A,tc_mst!$H:$H),0),
  IF($B20=0,
   IFERROR(XLOOKUP(REGEXEXTRACT($I20,""^[^｜]"&amp;"+""),ms_mst!$A:$A,ms_mst!$H:$H),0),
   IFERROR(XLOOKUP(""T""&amp;($B20-1)&amp;""_""&amp;$D20,$A:$A,$S:$S),0)
  )
  +IFERROR(XLOOKUP(REGEXEXTRACT($J20,""^[^｜]+""),tr_mst!$A:$A,tr_mst!$H:$H),0)
  +IFERROR(XLOOKUP(REGEXEXTRACT($K20,""^[^｜]+""),tc_mst!$A:$A,tc_mst!$H:$H)"&amp;",0)
  +
  (
   IFERROR(XLOOKUP(REGEXEXTRACT($M20,""^[^｜]+""),ac_mst!$A:$A,ac_mst!$K:$K),0)
   +IFERROR(XLOOKUP(REGEXEXTRACT($N20,""^[^｜]+""),ac_mst!$A:$A,ac_mst!$K:$K),0)
   +IFERROR(
    XLOOKUP(
     IF(
      OR(
       IFERROR(REGEXEXTRACT($M20,""^[^｜"&amp;"]+""),"""")="""",
       IFERROR(REGEXEXTRACT($N20,""^[^｜]+""),"""")=""""
      ),
      """",
      IF(
       IFERROR(REGEXEXTRACT($M20,""^[^｜]+""),"""")&lt;IFERROR(REGEXEXTRACT($N20,""^[^｜]+""),""""),
       IFERROR(REGEXEXTRACT($M20,""^[^｜]+""),"""")&amp;""_"&amp;"""&amp;IFERROR(REGEXEXTRACT($N20,""^[^｜]+""),""""),
       IFERROR(REGEXEXTRACT($N20,""^[^｜]+""),"""")&amp;""_""&amp;IFERROR(REGEXEXTRACT($M20,""^[^｜]+""),"""")
      )
     ),
     sy_mst!$A:$A,
     sy_mst!$H:$H
    ),
    0
   )
  )
  *
  IFERROR(XLOOKUP(REGEXEXTR"&amp;"ACT($I20,""^[^｜]+""),ms_mst!$A:$A,ms_mst!$P:$P),1)
  *
  IF(
   $B20&gt;=IFERROR(XLOOKUP(REGEXEXTRACT($L20,""^[^｜]+""),sk_mst!$A:$A,sk_mst!$M:$M),999),
   IFERROR(XLOOKUP(REGEXEXTRACT($L20,""^[^｜]+""),sk_mst!$A:$A,sk_mst!$J:$J),1),
   1
  )
 )
)"),0.011)</f>
        <v>0.011</v>
      </c>
      <c r="T20" s="25">
        <f>IFERROR(__xludf.DUMMYFUNCTION("IF($A20="""","""",
 IF($F20=""market"",
  IFERROR(XLOOKUP(REGEXEXTRACT($J20,""^[^｜]+""),tr_mst!$A:$A,tr_mst!$I:$I),0)
  +IFERROR(XLOOKUP(REGEXEXTRACT($K20,""^[^｜]+""),tc_mst!$A:$A,tc_mst!$I:$I),0),
  IF($B20=0,
   IFERROR(XLOOKUP(REGEXEXTRACT($I20,""^[^｜]"&amp;"+""),ms_mst!$A:$A,ms_mst!$I:$I),0),
   IFERROR(XLOOKUP(""T""&amp;($B20-1)&amp;""_""&amp;$D20,$A:$A,$T:$T),0)
  )
  +IFERROR(XLOOKUP(REGEXEXTRACT($J20,""^[^｜]+""),tr_mst!$A:$A,tr_mst!$I:$I),0)
  +IFERROR(XLOOKUP(REGEXEXTRACT($K20,""^[^｜]+""),tc_mst!$A:$A,tc_mst!$I:$I)"&amp;",0)
  +
  (
   IFERROR(XLOOKUP(REGEXEXTRACT($M20,""^[^｜]+""),ac_mst!$A:$A,ac_mst!$L:$L),0)
   +IFERROR(XLOOKUP(REGEXEXTRACT($N20,""^[^｜]+""),ac_mst!$A:$A,ac_mst!$L:$L),0)
   +IFERROR(
    XLOOKUP(
     IF(
      OR(
       IFERROR(REGEXEXTRACT($M20,""^[^｜"&amp;"]+""),"""")="""",
       IFERROR(REGEXEXTRACT($N20,""^[^｜]+""),"""")=""""
      ),
      """",
      IF(
       IFERROR(REGEXEXTRACT($M20,""^[^｜]+""),"""")&lt;IFERROR(REGEXEXTRACT($N20,""^[^｜]+""),""""),
       IFERROR(REGEXEXTRACT($M20,""^[^｜]+""),"""")&amp;""_"&amp;"""&amp;IFERROR(REGEXEXTRACT($N20,""^[^｜]+""),""""),
       IFERROR(REGEXEXTRACT($N20,""^[^｜]+""),"""")&amp;""_""&amp;IFERROR(REGEXEXTRACT($M20,""^[^｜]+""),"""")
      )
     ),
     sy_mst!$A:$A,
     sy_mst!$I:$I
    ),
    0
   )
  )
  *
  IFERROR(XLOOKUP(REGEXEXTR"&amp;"ACT($I20,""^[^｜]+""),ms_mst!$A:$A,ms_mst!$Q:$Q),1)
  *
  IF(
   $B20&gt;=IFERROR(XLOOKUP(REGEXEXTRACT($L20,""^[^｜]+""),sk_mst!$A:$A,sk_mst!$M:$M),999),
   IFERROR(XLOOKUP(REGEXEXTRACT($L20,""^[^｜]+""),sk_mst!$A:$A,sk_mst!$K:$K),1),
   1
  )
 )
)"),3600.0)</f>
        <v>3600</v>
      </c>
      <c r="U20" s="25">
        <f>IFERROR(__xludf.DUMMYFUNCTION("IF($A20="""","""",
 IF($F20=""market"",
  IFERROR(XLOOKUP(REGEXEXTRACT($J20,""^[^｜]+""),tr_mst!$A:$A,tr_mst!$J:$J),0)
  +IFERROR(XLOOKUP(REGEXEXTRACT($K20,""^[^｜]+""),tc_mst!$A:$A,tc_mst!$J:$J),0),
  IF($B20=0,
   IFERROR(XLOOKUP(REGEXEXTRACT($I20,""^[^｜]"&amp;"+""),ms_mst!$A:$A,ms_mst!$J:$J),0),
   IFERROR(XLOOKUP(""T""&amp;($B20-1)&amp;""_""&amp;$D20,$A:$A,$U:$U),0)
  )
  +IFERROR(XLOOKUP(REGEXEXTRACT($J20,""^[^｜]+""),tr_mst!$A:$A,tr_mst!$J:$J),0)
  +IFERROR(XLOOKUP(REGEXEXTRACT($K20,""^[^｜]+""),tc_mst!$A:$A,tc_mst!$J:$J)"&amp;",0)
  +
  (
   IFERROR(XLOOKUP(REGEXEXTRACT($M20,""^[^｜]+""),ac_mst!$A:$A,ac_mst!$M:$M),0)
   +IFERROR(XLOOKUP(REGEXEXTRACT($N20,""^[^｜]+""),ac_mst!$A:$A,ac_mst!$M:$M),0)
   +IFERROR(
    XLOOKUP(
     IF(
      OR(
       IFERROR(REGEXEXTRACT($M20,""^[^｜"&amp;"]+""),"""")="""",
       IFERROR(REGEXEXTRACT($N20,""^[^｜]+""),"""")=""""
      ),
      """",
      IF(
       IFERROR(REGEXEXTRACT($M20,""^[^｜]+""),"""")&lt;IFERROR(REGEXEXTRACT($N20,""^[^｜]+""),""""),
       IFERROR(REGEXEXTRACT($M20,""^[^｜]+""),"""")&amp;""_"&amp;"""&amp;IFERROR(REGEXEXTRACT($N20,""^[^｜]+""),""""),
       IFERROR(REGEXEXTRACT($N20,""^[^｜]+""),"""")&amp;""_""&amp;IFERROR(REGEXEXTRACT($M20,""^[^｜]+""),"""")
      )
     ),
     sy_mst!$A:$A,
     sy_mst!$J:$J
    ),
    0
   )
  )
  *
  IFERROR(XLOOKUP(REGEXEXTR"&amp;"ACT($I20,""^[^｜]+""),ms_mst!$A:$A,ms_mst!$R:$R),1)
  *
  IF(
   $B20&gt;=IFERROR(XLOOKUP(REGEXEXTRACT($L20,""^[^｜]+""),sk_mst!$A:$A,sk_mst!$M:$M),999),
   IFERROR(XLOOKUP(REGEXEXTRACT($L20,""^[^｜]+""),sk_mst!$A:$A,sk_mst!$L:$L),1),
   1
  )
 )
)"),68.4)</f>
        <v>68.4</v>
      </c>
      <c r="V20" s="25">
        <f t="shared" si="1"/>
        <v>263168</v>
      </c>
      <c r="W20" s="25">
        <f t="shared" si="2"/>
        <v>225720</v>
      </c>
      <c r="X20" s="25">
        <f t="shared" si="3"/>
        <v>37448</v>
      </c>
      <c r="Y20" s="25">
        <f t="shared" si="4"/>
        <v>1.17</v>
      </c>
      <c r="Z20" s="25">
        <f>IFERROR(__xludf.DUMMYFUNCTION("IF($A20="""","""",
 IF($F20&lt;&gt;""player"","""",
  IFERROR(
   RANK(
    $X20,
    FILTER($X:$X,$B:$B=$B20,$F:$F=""player"",$X:$X&lt;&gt;""""),
    0
   ),
   """"
  )
 )
)"),7.0)</f>
        <v>7</v>
      </c>
      <c r="AA20" s="25" t="str">
        <f t="shared" si="5"/>
        <v>7位</v>
      </c>
      <c r="AB20" s="26">
        <f t="shared" si="6"/>
        <v>2.040800445</v>
      </c>
    </row>
    <row r="21">
      <c r="A21" s="14" t="s">
        <v>194</v>
      </c>
      <c r="B21" s="25">
        <v>1.0</v>
      </c>
      <c r="C21" s="14" t="s">
        <v>168</v>
      </c>
      <c r="D21" s="14" t="s">
        <v>169</v>
      </c>
      <c r="E21" s="25" t="s">
        <v>153</v>
      </c>
      <c r="F21" s="25" t="s">
        <v>154</v>
      </c>
      <c r="G21" s="25" t="str">
        <f>IFERROR(__xludf.DUMMYFUNCTION("IF($F21=""market"","""",IFERROR(FILTER(member_log!$B$10:$B947,member_log!$C$10:$C947=$C21,member_log!$D$10:$D947=$E21,member_log!$G$10:$G947=""active""),""""))"),"")</f>
        <v/>
      </c>
      <c r="H21" s="25" t="str">
        <f>IFERROR(__xludf.DUMMYFUNCTION("IF($F21=""market"","""",IFERROR(FILTER(member_log!$E$10:$E947,member_log!$C$10:$C947=$C21,member_log!$D$10:$D947=$E21,member_log!$G$10:$G947=""active""),""""))"),"")</f>
        <v/>
      </c>
      <c r="I21" s="25" t="str">
        <f>IFERROR(__xludf.DUMMYFUNCTION("IF($F21&lt;&gt;""player"","""",IFERROR(INDEX(FILTER(group_setup!$D$2:$D947,group_setup!$B$2:$B947=$C21,group_setup!$G$2:$G947=TRUE,group_setup!$H$2:$H947=""completed""),1),""""))"),"M02")</f>
        <v>M02</v>
      </c>
      <c r="J21" s="25" t="str">
        <f>IFERROR(__xludf.DUMMYFUNCTION("IFERROR(FILTER(market_event_log!$D$2:$D947,market_event_log!$C$2:$C947=$B21,market_event_log!$N$2:$N947=""active""),"""")"),"T01")</f>
        <v>T01</v>
      </c>
      <c r="K21" s="25" t="str">
        <f>IFERROR(__xludf.DUMMYFUNCTION("IFERROR(FILTER(market_event_log!$G$2:$G947,market_event_log!$C$2:$C947=$B21,market_event_log!$N$2:$N947=""active""),"""")"),"C01")</f>
        <v>C01</v>
      </c>
      <c r="L21" s="25" t="str">
        <f>IFERROR(__xludf.DUMMYFUNCTION("IF($F21&lt;&gt;""player"","""",IFERROR(INDEX(FILTER(group_setup!$E$2:$E947,group_setup!$B$2:$B947=$C21,group_setup!$G$2:$G947=TRUE,group_setup!$H$2:$H947=""completed""),1),""""))"),"S03")</f>
        <v>S03</v>
      </c>
      <c r="M21" s="25" t="str">
        <f>IFERROR(__xludf.DUMMYFUNCTION("IF($F21=""market"","""",IF($E21=""HUMAN"",IFERROR(FILTER(turn_log!$G$2:$G947,turn_log!$C$2:$C947=$B21,turn_log!$D$2:$D947=$C21,turn_log!$F$2:$F947=$E21),""""),IFERROR(FILTER(turn_log!$I$2:$I947,turn_log!$C$2:$C947=$B21,turn_log!$D$2:$D947=$C21,turn_log!$F"&amp;"$2:$F947=$E21),"""")))"),"A06")</f>
        <v>A06</v>
      </c>
      <c r="N21" s="25" t="str">
        <f>IFERROR(__xludf.DUMMYFUNCTION("IF($F21=""market"","""",IF($E21=""HUMAN"",IFERROR(FILTER(turn_log!$H$2:$H947,turn_log!$C$2:$C947=$B21,turn_log!$D$2:$D947=$C21,turn_log!$F$2:$F947=$E21),""""),IFERROR(FILTER(turn_log!$J$2:$J947,turn_log!$C$2:$C947=$B21,turn_log!$D$2:$D947=$C21,turn_log!$F"&amp;"$2:$F947=$E21),"""")))"),"A08")</f>
        <v>A08</v>
      </c>
      <c r="O21" s="25">
        <f>IFERROR(__xludf.DUMMYFUNCTION("IF($A21="""","""",
 IF($F21=""market"",
  IFERROR(XLOOKUP(REGEXEXTRACT($J21,""^[^｜]+""),tr_mst!$A:$A,tr_mst!$D:$D),0)
  +IFERROR(XLOOKUP(REGEXEXTRACT($K21,""^[^｜]+""),tc_mst!$A:$A,tc_mst!$D:$D),0),
  IF($B21=0,
   IFERROR(XLOOKUP(REGEXEXTRACT($I21,""^[^｜]"&amp;"+""),ms_mst!$A:$A,ms_mst!$D:$D),0),
   IFERROR(XLOOKUP(""T""&amp;($B21-1)&amp;""_""&amp;$D21,$A:$A,$O:$O),0)
  )
  +IFERROR(XLOOKUP(REGEXEXTRACT($J21,""^[^｜]+""),tr_mst!$A:$A,tr_mst!$D:$D),0)
  +IFERROR(XLOOKUP(REGEXEXTRACT($K21,""^[^｜]+""),tc_mst!$A:$A,tc_mst!$D:$D)"&amp;",0)
  +
  (
   IFERROR(XLOOKUP(REGEXEXTRACT($M21,""^[^｜]+""),ac_mst!$A:$A,ac_mst!$G:$G),0)
   +IFERROR(XLOOKUP(REGEXEXTRACT($N21,""^[^｜]+""),ac_mst!$A:$A,ac_mst!$G:$G),0)
   +IFERROR(
    XLOOKUP(
     IF(
      OR(
       IFERROR(REGEXEXTRACT($M21,""^[^｜"&amp;"]+""),"""")="""",
       IFERROR(REGEXEXTRACT($N21,""^[^｜]+""),"""")=""""
      ),
      """",
      IF(
       IFERROR(REGEXEXTRACT($M21,""^[^｜]+""),"""")&lt;IFERROR(REGEXEXTRACT($N21,""^[^｜]+""),""""),
       IFERROR(REGEXEXTRACT($M21,""^[^｜]+""),"""")&amp;""_"&amp;"""&amp;IFERROR(REGEXEXTRACT($N21,""^[^｜]+""),""""),
       IFERROR(REGEXEXTRACT($N21,""^[^｜]+""),"""")&amp;""_""&amp;IFERROR(REGEXEXTRACT($M21,""^[^｜]+""),"""")
      )
     ),
     sy_mst!$A:$A,
     sy_mst!$D:$D
    ),
    0
   )
  )
  *
  IFERROR(XLOOKUP(REGEXEXTR"&amp;"ACT($I21,""^[^｜]+""),ms_mst!$A:$A,ms_mst!$L:$L),1)
  *
  IF(
   $B21&gt;=IFERROR(XLOOKUP(REGEXEXTRACT($L21,""^[^｜]+""),sk_mst!$A:$A,sk_mst!$M:$M),999),
   IFERROR(XLOOKUP(REGEXEXTRACT($L21,""^[^｜]+""),sk_mst!$A:$A,sk_mst!$F:$F),1),
   1
  )
 )
)"),6700.0)</f>
        <v>6700</v>
      </c>
      <c r="P21" s="25">
        <f>IFERROR(__xludf.DUMMYFUNCTION("IF($A21="""","""",
 IF($F21=""market"",
  IFERROR(XLOOKUP(REGEXEXTRACT($J21,""^[^｜]+""),tr_mst!$A:$A,tr_mst!$E:$E),0)
  +IFERROR(XLOOKUP(REGEXEXTRACT($K21,""^[^｜]+""),tc_mst!$A:$A,tc_mst!$E:$E),0),
  IF($B21=0,
   IFERROR(XLOOKUP(REGEXEXTRACT($I21,""^[^｜]"&amp;"+""),ms_mst!$A:$A,ms_mst!$E:$E),0),
   IFERROR(XLOOKUP(""T""&amp;($B21-1)&amp;""_""&amp;$D21,$A:$A,$P:$P),0)
  )
  +IFERROR(XLOOKUP(REGEXEXTRACT($J21,""^[^｜]+""),tr_mst!$A:$A,tr_mst!$E:$E),0)
  +IFERROR(XLOOKUP(REGEXEXTRACT($K21,""^[^｜]+""),tc_mst!$A:$A,tc_mst!$E:$E)"&amp;",0)
  +
  (
   IFERROR(XLOOKUP(REGEXEXTRACT($M21,""^[^｜]+""),ac_mst!$A:$A,ac_mst!$H:$H),0)
   +IFERROR(XLOOKUP(REGEXEXTRACT($N21,""^[^｜]+""),ac_mst!$A:$A,ac_mst!$H:$H),0)
   +IFERROR(
    XLOOKUP(
     IF(
      OR(
       IFERROR(REGEXEXTRACT($M21,""^[^｜"&amp;"]+""),"""")="""",
       IFERROR(REGEXEXTRACT($N21,""^[^｜]+""),"""")=""""
      ),
      """",
      IF(
       IFERROR(REGEXEXTRACT($M21,""^[^｜]+""),"""")&lt;IFERROR(REGEXEXTRACT($N21,""^[^｜]+""),""""),
       IFERROR(REGEXEXTRACT($M21,""^[^｜]+""),"""")&amp;""_"&amp;"""&amp;IFERROR(REGEXEXTRACT($N21,""^[^｜]+""),""""),
       IFERROR(REGEXEXTRACT($N21,""^[^｜]+""),"""")&amp;""_""&amp;IFERROR(REGEXEXTRACT($M21,""^[^｜]+""),"""")
      )
     ),
     sy_mst!$A:$A,
     sy_mst!$E:$E
    ),
    0
   )
  )
  *
  IFERROR(XLOOKUP(REGEXEXTR"&amp;"ACT($I21,""^[^｜]+""),ms_mst!$A:$A,ms_mst!$M:$M),1)
  *
  IF(
   $B21&gt;=IFERROR(XLOOKUP(REGEXEXTRACT($L21,""^[^｜]+""),sk_mst!$A:$A,sk_mst!$M:$M),999),
   IFERROR(XLOOKUP(REGEXEXTRACT($L21,""^[^｜]+""),sk_mst!$A:$A,sk_mst!$G:$G),1),
   1
  )
 )
)"),3300.0)</f>
        <v>3300</v>
      </c>
      <c r="Q21" s="25">
        <f>IFERROR(__xludf.DUMMYFUNCTION("IF($A21="""","""",
 IF($F21=""market"",
  IFERROR(XLOOKUP(REGEXEXTRACT($J21,""^[^｜]+""),tr_mst!$A:$A,tr_mst!$F:$F),0)
  +IFERROR(XLOOKUP(REGEXEXTRACT($K21,""^[^｜]+""),tc_mst!$A:$A,tc_mst!$F:$F),0),
  IF($B21=0,
   IFERROR(XLOOKUP(REGEXEXTRACT($I21,""^[^｜]"&amp;"+""),ms_mst!$A:$A,ms_mst!$F:$F),0),
   IFERROR(XLOOKUP(""T""&amp;($B21-1)&amp;""_""&amp;$D21,$A:$A,$Q:$Q),0)
  )
  +IFERROR(XLOOKUP(REGEXEXTRACT($J21,""^[^｜]+""),tr_mst!$A:$A,tr_mst!$F:$F),0)
  +IFERROR(XLOOKUP(REGEXEXTRACT($K21,""^[^｜]+""),tc_mst!$A:$A,tc_mst!$F:$F)"&amp;",0)
  +
  (
   IFERROR(XLOOKUP(REGEXEXTRACT($M21,""^[^｜]+""),ac_mst!$A:$A,ac_mst!$I:$I),0)
   +IFERROR(XLOOKUP(REGEXEXTRACT($N21,""^[^｜]+""),ac_mst!$A:$A,ac_mst!$I:$I),0)
   +IFERROR(
    XLOOKUP(
     IF(
      OR(
       IFERROR(REGEXEXTRACT($M21,""^[^｜"&amp;"]+""),"""")="""",
       IFERROR(REGEXEXTRACT($N21,""^[^｜]+""),"""")=""""
      ),
      """",
      IF(
       IFERROR(REGEXEXTRACT($M21,""^[^｜]+""),"""")&lt;IFERROR(REGEXEXTRACT($N21,""^[^｜]+""),""""),
       IFERROR(REGEXEXTRACT($M21,""^[^｜]+""),"""")&amp;""_"&amp;"""&amp;IFERROR(REGEXEXTRACT($N21,""^[^｜]+""),""""),
       IFERROR(REGEXEXTRACT($N21,""^[^｜]+""),"""")&amp;""_""&amp;IFERROR(REGEXEXTRACT($M21,""^[^｜]+""),"""")
      )
     ),
     sy_mst!$A:$A,
     sy_mst!$F:$F
    ),
    0
   )
  )
  *
  IFERROR(XLOOKUP(REGEXEXTR"&amp;"ACT($I21,""^[^｜]+""),ms_mst!$A:$A,ms_mst!$N:$N),1)
  *
  IF(
   $B21&gt;=IFERROR(XLOOKUP(REGEXEXTRACT($L21,""^[^｜]+""),sk_mst!$A:$A,sk_mst!$M:$M),999),
   IFERROR(XLOOKUP(REGEXEXTRACT($L21,""^[^｜]+""),sk_mst!$A:$A,sk_mst!$H:$H),1),
   1
  )
 )
)"),0.5499999999999999)</f>
        <v>0.55</v>
      </c>
      <c r="R21" s="25">
        <f>IFERROR(__xludf.DUMMYFUNCTION("IF($A21="""","""",
 IF($F21=""market"",
  IFERROR(XLOOKUP(REGEXEXTRACT($J21,""^[^｜]+""),tr_mst!$A:$A,tr_mst!$G:$G),0)
  +IFERROR(XLOOKUP(REGEXEXTRACT($K21,""^[^｜]+""),tc_mst!$A:$A,tc_mst!$G:$G),0),
  IF($B21=0,
   IFERROR(XLOOKUP(REGEXEXTRACT($I21,""^[^｜]"&amp;"+""),ms_mst!$A:$A,ms_mst!$G:$G),0),
   IFERROR(XLOOKUP(""T""&amp;($B21-1)&amp;""_""&amp;$D21,$A:$A,$R:$R),0)
  )
  +IFERROR(XLOOKUP(REGEXEXTRACT($J21,""^[^｜]+""),tr_mst!$A:$A,tr_mst!$G:$G),0)
  +IFERROR(XLOOKUP(REGEXEXTRACT($K21,""^[^｜]+""),tc_mst!$A:$A,tc_mst!$G:$G)"&amp;",0)
  +
  (
   IFERROR(XLOOKUP(REGEXEXTRACT($M21,""^[^｜]+""),ac_mst!$A:$A,ac_mst!$J:$J),0)
   +IFERROR(XLOOKUP(REGEXEXTRACT($N21,""^[^｜]+""),ac_mst!$A:$A,ac_mst!$J:$J),0)
   +IFERROR(
    XLOOKUP(
     IF(
      OR(
       IFERROR(REGEXEXTRACT($M21,""^[^｜"&amp;"]+""),"""")="""",
       IFERROR(REGEXEXTRACT($N21,""^[^｜]+""),"""")=""""
      ),
      """",
      IF(
       IFERROR(REGEXEXTRACT($M21,""^[^｜]+""),"""")&lt;IFERROR(REGEXEXTRACT($N21,""^[^｜]+""),""""),
       IFERROR(REGEXEXTRACT($M21,""^[^｜]+""),"""")&amp;""_"&amp;"""&amp;IFERROR(REGEXEXTRACT($N21,""^[^｜]+""),""""),
       IFERROR(REGEXEXTRACT($N21,""^[^｜]+""),"""")&amp;""_""&amp;IFERROR(REGEXEXTRACT($M21,""^[^｜]+""),"""")
      )
     ),
     sy_mst!$A:$A,
     sy_mst!$G:$G
    ),
    0
   )
  )
  *
  IFERROR(XLOOKUP(REGEXEXTR"&amp;"ACT($I21,""^[^｜]+""),ms_mst!$A:$A,ms_mst!$O:$O),1)
  *
  IF(
   $B21&gt;=IFERROR(XLOOKUP(REGEXEXTRACT($L21,""^[^｜]+""),sk_mst!$A:$A,sk_mst!$M:$M),999),
   IFERROR(XLOOKUP(REGEXEXTRACT($L21,""^[^｜]+""),sk_mst!$A:$A,sk_mst!$I:$I),1),
   1
  )
 )
)"),1.4349999999999998)</f>
        <v>1.435</v>
      </c>
      <c r="S21" s="25">
        <f>IFERROR(__xludf.DUMMYFUNCTION("IF($A21="""","""",
 IF($F21=""market"",
  IFERROR(XLOOKUP(REGEXEXTRACT($J21,""^[^｜]+""),tr_mst!$A:$A,tr_mst!$H:$H),0)
  +IFERROR(XLOOKUP(REGEXEXTRACT($K21,""^[^｜]+""),tc_mst!$A:$A,tc_mst!$H:$H),0),
  IF($B21=0,
   IFERROR(XLOOKUP(REGEXEXTRACT($I21,""^[^｜]"&amp;"+""),ms_mst!$A:$A,ms_mst!$H:$H),0),
   IFERROR(XLOOKUP(""T""&amp;($B21-1)&amp;""_""&amp;$D21,$A:$A,$S:$S),0)
  )
  +IFERROR(XLOOKUP(REGEXEXTRACT($J21,""^[^｜]+""),tr_mst!$A:$A,tr_mst!$H:$H),0)
  +IFERROR(XLOOKUP(REGEXEXTRACT($K21,""^[^｜]+""),tc_mst!$A:$A,tc_mst!$H:$H)"&amp;",0)
  +
  (
   IFERROR(XLOOKUP(REGEXEXTRACT($M21,""^[^｜]+""),ac_mst!$A:$A,ac_mst!$K:$K),0)
   +IFERROR(XLOOKUP(REGEXEXTRACT($N21,""^[^｜]+""),ac_mst!$A:$A,ac_mst!$K:$K),0)
   +IFERROR(
    XLOOKUP(
     IF(
      OR(
       IFERROR(REGEXEXTRACT($M21,""^[^｜"&amp;"]+""),"""")="""",
       IFERROR(REGEXEXTRACT($N21,""^[^｜]+""),"""")=""""
      ),
      """",
      IF(
       IFERROR(REGEXEXTRACT($M21,""^[^｜]+""),"""")&lt;IFERROR(REGEXEXTRACT($N21,""^[^｜]+""),""""),
       IFERROR(REGEXEXTRACT($M21,""^[^｜]+""),"""")&amp;""_"&amp;"""&amp;IFERROR(REGEXEXTRACT($N21,""^[^｜]+""),""""),
       IFERROR(REGEXEXTRACT($N21,""^[^｜]+""),"""")&amp;""_""&amp;IFERROR(REGEXEXTRACT($M21,""^[^｜]+""),"""")
      )
     ),
     sy_mst!$A:$A,
     sy_mst!$H:$H
    ),
    0
   )
  )
  *
  IFERROR(XLOOKUP(REGEXEXTR"&amp;"ACT($I21,""^[^｜]+""),ms_mst!$A:$A,ms_mst!$P:$P),1)
  *
  IF(
   $B21&gt;=IFERROR(XLOOKUP(REGEXEXTRACT($L21,""^[^｜]+""),sk_mst!$A:$A,sk_mst!$M:$M),999),
   IFERROR(XLOOKUP(REGEXEXTRACT($L21,""^[^｜]+""),sk_mst!$A:$A,sk_mst!$J:$J),1),
   1
  )
 )
)"),0.011)</f>
        <v>0.011</v>
      </c>
      <c r="T21" s="25">
        <f>IFERROR(__xludf.DUMMYFUNCTION("IF($A21="""","""",
 IF($F21=""market"",
  IFERROR(XLOOKUP(REGEXEXTRACT($J21,""^[^｜]+""),tr_mst!$A:$A,tr_mst!$I:$I),0)
  +IFERROR(XLOOKUP(REGEXEXTRACT($K21,""^[^｜]+""),tc_mst!$A:$A,tc_mst!$I:$I),0),
  IF($B21=0,
   IFERROR(XLOOKUP(REGEXEXTRACT($I21,""^[^｜]"&amp;"+""),ms_mst!$A:$A,ms_mst!$I:$I),0),
   IFERROR(XLOOKUP(""T""&amp;($B21-1)&amp;""_""&amp;$D21,$A:$A,$T:$T),0)
  )
  +IFERROR(XLOOKUP(REGEXEXTRACT($J21,""^[^｜]+""),tr_mst!$A:$A,tr_mst!$I:$I),0)
  +IFERROR(XLOOKUP(REGEXEXTRACT($K21,""^[^｜]+""),tc_mst!$A:$A,tc_mst!$I:$I)"&amp;",0)
  +
  (
   IFERROR(XLOOKUP(REGEXEXTRACT($M21,""^[^｜]+""),ac_mst!$A:$A,ac_mst!$L:$L),0)
   +IFERROR(XLOOKUP(REGEXEXTRACT($N21,""^[^｜]+""),ac_mst!$A:$A,ac_mst!$L:$L),0)
   +IFERROR(
    XLOOKUP(
     IF(
      OR(
       IFERROR(REGEXEXTRACT($M21,""^[^｜"&amp;"]+""),"""")="""",
       IFERROR(REGEXEXTRACT($N21,""^[^｜]+""),"""")=""""
      ),
      """",
      IF(
       IFERROR(REGEXEXTRACT($M21,""^[^｜]+""),"""")&lt;IFERROR(REGEXEXTRACT($N21,""^[^｜]+""),""""),
       IFERROR(REGEXEXTRACT($M21,""^[^｜]+""),"""")&amp;""_"&amp;"""&amp;IFERROR(REGEXEXTRACT($N21,""^[^｜]+""),""""),
       IFERROR(REGEXEXTRACT($N21,""^[^｜]+""),"""")&amp;""_""&amp;IFERROR(REGEXEXTRACT($M21,""^[^｜]+""),"""")
      )
     ),
     sy_mst!$A:$A,
     sy_mst!$I:$I
    ),
    0
   )
  )
  *
  IFERROR(XLOOKUP(REGEXEXTR"&amp;"ACT($I21,""^[^｜]+""),ms_mst!$A:$A,ms_mst!$Q:$Q),1)
  *
  IF(
   $B21&gt;=IFERROR(XLOOKUP(REGEXEXTRACT($L21,""^[^｜]+""),sk_mst!$A:$A,sk_mst!$M:$M),999),
   IFERROR(XLOOKUP(REGEXEXTRACT($L21,""^[^｜]+""),sk_mst!$A:$A,sk_mst!$K:$K),1),
   1
  )
 )
)"),4200.0)</f>
        <v>4200</v>
      </c>
      <c r="U21" s="25">
        <f>IFERROR(__xludf.DUMMYFUNCTION("IF($A21="""","""",
 IF($F21=""market"",
  IFERROR(XLOOKUP(REGEXEXTRACT($J21,""^[^｜]+""),tr_mst!$A:$A,tr_mst!$J:$J),0)
  +IFERROR(XLOOKUP(REGEXEXTRACT($K21,""^[^｜]+""),tc_mst!$A:$A,tc_mst!$J:$J),0),
  IF($B21=0,
   IFERROR(XLOOKUP(REGEXEXTRACT($I21,""^[^｜]"&amp;"+""),ms_mst!$A:$A,ms_mst!$J:$J),0),
   IFERROR(XLOOKUP(""T""&amp;($B21-1)&amp;""_""&amp;$D21,$A:$A,$U:$U),0)
  )
  +IFERROR(XLOOKUP(REGEXEXTRACT($J21,""^[^｜]+""),tr_mst!$A:$A,tr_mst!$J:$J),0)
  +IFERROR(XLOOKUP(REGEXEXTRACT($K21,""^[^｜]+""),tc_mst!$A:$A,tc_mst!$J:$J)"&amp;",0)
  +
  (
   IFERROR(XLOOKUP(REGEXEXTRACT($M21,""^[^｜]+""),ac_mst!$A:$A,ac_mst!$M:$M),0)
   +IFERROR(XLOOKUP(REGEXEXTRACT($N21,""^[^｜]+""),ac_mst!$A:$A,ac_mst!$M:$M),0)
   +IFERROR(
    XLOOKUP(
     IF(
      OR(
       IFERROR(REGEXEXTRACT($M21,""^[^｜"&amp;"]+""),"""")="""",
       IFERROR(REGEXEXTRACT($N21,""^[^｜]+""),"""")=""""
      ),
      """",
      IF(
       IFERROR(REGEXEXTRACT($M21,""^[^｜]+""),"""")&lt;IFERROR(REGEXEXTRACT($N21,""^[^｜]+""),""""),
       IFERROR(REGEXEXTRACT($M21,""^[^｜]+""),"""")&amp;""_"&amp;"""&amp;IFERROR(REGEXEXTRACT($N21,""^[^｜]+""),""""),
       IFERROR(REGEXEXTRACT($N21,""^[^｜]+""),"""")&amp;""_""&amp;IFERROR(REGEXEXTRACT($M21,""^[^｜]+""),"""")
      )
     ),
     sy_mst!$A:$A,
     sy_mst!$J:$J
    ),
    0
   )
  )
  *
  IFERROR(XLOOKUP(REGEXEXTR"&amp;"ACT($I21,""^[^｜]+""),ms_mst!$A:$A,ms_mst!$R:$R),1)
  *
  IF(
   $B21&gt;=IFERROR(XLOOKUP(REGEXEXTRACT($L21,""^[^｜]+""),sk_mst!$A:$A,sk_mst!$M:$M),999),
   IFERROR(XLOOKUP(REGEXEXTRACT($L21,""^[^｜]+""),sk_mst!$A:$A,sk_mst!$L:$L),1),
   1
  )
 )
)"),60.0)</f>
        <v>60</v>
      </c>
      <c r="V21" s="25">
        <f t="shared" si="1"/>
        <v>298337</v>
      </c>
      <c r="W21" s="25">
        <f t="shared" si="2"/>
        <v>198000</v>
      </c>
      <c r="X21" s="25">
        <f t="shared" si="3"/>
        <v>100337</v>
      </c>
      <c r="Y21" s="25">
        <f t="shared" si="4"/>
        <v>1.51</v>
      </c>
      <c r="Z21" s="25">
        <f>IFERROR(__xludf.DUMMYFUNCTION("IF($A21="""","""",
 IF($F21&lt;&gt;""player"","""",
  IFERROR(
   RANK(
    $X21,
    FILTER($X:$X,$B:$B=$B21,$F:$F=""player"",$X:$X&lt;&gt;""""),
    0
   ),
   """"
  )
 )
)"),6.0)</f>
        <v>6</v>
      </c>
      <c r="AA21" s="25" t="str">
        <f t="shared" si="5"/>
        <v>6位</v>
      </c>
      <c r="AB21" s="26">
        <f t="shared" si="6"/>
        <v>1.486789928</v>
      </c>
    </row>
    <row r="22">
      <c r="A22" s="14" t="s">
        <v>195</v>
      </c>
      <c r="B22" s="25">
        <v>1.0</v>
      </c>
      <c r="C22" s="14" t="s">
        <v>171</v>
      </c>
      <c r="D22" s="14" t="s">
        <v>172</v>
      </c>
      <c r="E22" s="25" t="s">
        <v>153</v>
      </c>
      <c r="F22" s="25" t="s">
        <v>154</v>
      </c>
      <c r="G22" s="25" t="str">
        <f>IFERROR(__xludf.DUMMYFUNCTION("IF($F22=""market"","""",IFERROR(FILTER(member_log!$B$10:$B947,member_log!$C$10:$C947=$C22,member_log!$D$10:$D947=$E22,member_log!$G$10:$G947=""active""),""""))"),"")</f>
        <v/>
      </c>
      <c r="H22" s="25" t="str">
        <f>IFERROR(__xludf.DUMMYFUNCTION("IF($F22=""market"","""",IFERROR(FILTER(member_log!$E$10:$E947,member_log!$C$10:$C947=$C22,member_log!$D$10:$D947=$E22,member_log!$G$10:$G947=""active""),""""))"),"")</f>
        <v/>
      </c>
      <c r="I22" s="25" t="str">
        <f>IFERROR(__xludf.DUMMYFUNCTION("IF($F22&lt;&gt;""player"","""",IFERROR(INDEX(FILTER(group_setup!$D$2:$D947,group_setup!$B$2:$B947=$C22,group_setup!$G$2:$G947=TRUE,group_setup!$H$2:$H947=""completed""),1),""""))"),"M03")</f>
        <v>M03</v>
      </c>
      <c r="J22" s="25" t="str">
        <f>IFERROR(__xludf.DUMMYFUNCTION("IFERROR(FILTER(market_event_log!$D$2:$D947,market_event_log!$C$2:$C947=$B22,market_event_log!$N$2:$N947=""active""),"""")"),"T01")</f>
        <v>T01</v>
      </c>
      <c r="K22" s="25" t="str">
        <f>IFERROR(__xludf.DUMMYFUNCTION("IFERROR(FILTER(market_event_log!$G$2:$G947,market_event_log!$C$2:$C947=$B22,market_event_log!$N$2:$N947=""active""),"""")"),"C01")</f>
        <v>C01</v>
      </c>
      <c r="L22" s="25" t="str">
        <f>IFERROR(__xludf.DUMMYFUNCTION("IF($F22&lt;&gt;""player"","""",IFERROR(INDEX(FILTER(group_setup!$E$2:$E947,group_setup!$B$2:$B947=$C22,group_setup!$G$2:$G947=TRUE,group_setup!$H$2:$H947=""completed""),1),""""))"),"S03")</f>
        <v>S03</v>
      </c>
      <c r="M22" s="25" t="str">
        <f>IFERROR(__xludf.DUMMYFUNCTION("IF($F22=""market"","""",IF($E22=""HUMAN"",IFERROR(FILTER(turn_log!$G$2:$G947,turn_log!$C$2:$C947=$B22,turn_log!$D$2:$D947=$C22,turn_log!$F$2:$F947=$E22),""""),IFERROR(FILTER(turn_log!$I$2:$I947,turn_log!$C$2:$C947=$B22,turn_log!$D$2:$D947=$C22,turn_log!$F"&amp;"$2:$F947=$E22),"""")))"),"A13")</f>
        <v>A13</v>
      </c>
      <c r="N22" s="25" t="str">
        <f>IFERROR(__xludf.DUMMYFUNCTION("IF($F22=""market"","""",IF($E22=""HUMAN"",IFERROR(FILTER(turn_log!$H$2:$H947,turn_log!$C$2:$C947=$B22,turn_log!$D$2:$D947=$C22,turn_log!$F$2:$F947=$E22),""""),IFERROR(FILTER(turn_log!$J$2:$J947,turn_log!$C$2:$C947=$B22,turn_log!$D$2:$D947=$C22,turn_log!$F"&amp;"$2:$F947=$E22),"""")))"),"A02")</f>
        <v>A02</v>
      </c>
      <c r="O22" s="25">
        <f>IFERROR(__xludf.DUMMYFUNCTION("IF($A22="""","""",
 IF($F22=""market"",
  IFERROR(XLOOKUP(REGEXEXTRACT($J22,""^[^｜]+""),tr_mst!$A:$A,tr_mst!$D:$D),0)
  +IFERROR(XLOOKUP(REGEXEXTRACT($K22,""^[^｜]+""),tc_mst!$A:$A,tc_mst!$D:$D),0),
  IF($B22=0,
   IFERROR(XLOOKUP(REGEXEXTRACT($I22,""^[^｜]"&amp;"+""),ms_mst!$A:$A,ms_mst!$D:$D),0),
   IFERROR(XLOOKUP(""T""&amp;($B22-1)&amp;""_""&amp;$D22,$A:$A,$O:$O),0)
  )
  +IFERROR(XLOOKUP(REGEXEXTRACT($J22,""^[^｜]+""),tr_mst!$A:$A,tr_mst!$D:$D),0)
  +IFERROR(XLOOKUP(REGEXEXTRACT($K22,""^[^｜]+""),tc_mst!$A:$A,tc_mst!$D:$D)"&amp;",0)
  +
  (
   IFERROR(XLOOKUP(REGEXEXTRACT($M22,""^[^｜]+""),ac_mst!$A:$A,ac_mst!$G:$G),0)
   +IFERROR(XLOOKUP(REGEXEXTRACT($N22,""^[^｜]+""),ac_mst!$A:$A,ac_mst!$G:$G),0)
   +IFERROR(
    XLOOKUP(
     IF(
      OR(
       IFERROR(REGEXEXTRACT($M22,""^[^｜"&amp;"]+""),"""")="""",
       IFERROR(REGEXEXTRACT($N22,""^[^｜]+""),"""")=""""
      ),
      """",
      IF(
       IFERROR(REGEXEXTRACT($M22,""^[^｜]+""),"""")&lt;IFERROR(REGEXEXTRACT($N22,""^[^｜]+""),""""),
       IFERROR(REGEXEXTRACT($M22,""^[^｜]+""),"""")&amp;""_"&amp;"""&amp;IFERROR(REGEXEXTRACT($N22,""^[^｜]+""),""""),
       IFERROR(REGEXEXTRACT($N22,""^[^｜]+""),"""")&amp;""_""&amp;IFERROR(REGEXEXTRACT($M22,""^[^｜]+""),"""")
      )
     ),
     sy_mst!$A:$A,
     sy_mst!$D:$D
    ),
    0
   )
  )
  *
  IFERROR(XLOOKUP(REGEXEXTR"&amp;"ACT($I22,""^[^｜]+""),ms_mst!$A:$A,ms_mst!$L:$L),1)
  *
  IF(
   $B22&gt;=IFERROR(XLOOKUP(REGEXEXTRACT($L22,""^[^｜]+""),sk_mst!$A:$A,sk_mst!$M:$M),999),
   IFERROR(XLOOKUP(REGEXEXTRACT($L22,""^[^｜]+""),sk_mst!$A:$A,sk_mst!$F:$F),1),
   1
  )
 )
)"),10850.0)</f>
        <v>10850</v>
      </c>
      <c r="P22" s="25">
        <f>IFERROR(__xludf.DUMMYFUNCTION("IF($A22="""","""",
 IF($F22=""market"",
  IFERROR(XLOOKUP(REGEXEXTRACT($J22,""^[^｜]+""),tr_mst!$A:$A,tr_mst!$E:$E),0)
  +IFERROR(XLOOKUP(REGEXEXTRACT($K22,""^[^｜]+""),tc_mst!$A:$A,tc_mst!$E:$E),0),
  IF($B22=0,
   IFERROR(XLOOKUP(REGEXEXTRACT($I22,""^[^｜]"&amp;"+""),ms_mst!$A:$A,ms_mst!$E:$E),0),
   IFERROR(XLOOKUP(""T""&amp;($B22-1)&amp;""_""&amp;$D22,$A:$A,$P:$P),0)
  )
  +IFERROR(XLOOKUP(REGEXEXTRACT($J22,""^[^｜]+""),tr_mst!$A:$A,tr_mst!$E:$E),0)
  +IFERROR(XLOOKUP(REGEXEXTRACT($K22,""^[^｜]+""),tc_mst!$A:$A,tc_mst!$E:$E)"&amp;",0)
  +
  (
   IFERROR(XLOOKUP(REGEXEXTRACT($M22,""^[^｜]+""),ac_mst!$A:$A,ac_mst!$H:$H),0)
   +IFERROR(XLOOKUP(REGEXEXTRACT($N22,""^[^｜]+""),ac_mst!$A:$A,ac_mst!$H:$H),0)
   +IFERROR(
    XLOOKUP(
     IF(
      OR(
       IFERROR(REGEXEXTRACT($M22,""^[^｜"&amp;"]+""),"""")="""",
       IFERROR(REGEXEXTRACT($N22,""^[^｜]+""),"""")=""""
      ),
      """",
      IF(
       IFERROR(REGEXEXTRACT($M22,""^[^｜]+""),"""")&lt;IFERROR(REGEXEXTRACT($N22,""^[^｜]+""),""""),
       IFERROR(REGEXEXTRACT($M22,""^[^｜]+""),"""")&amp;""_"&amp;"""&amp;IFERROR(REGEXEXTRACT($N22,""^[^｜]+""),""""),
       IFERROR(REGEXEXTRACT($N22,""^[^｜]+""),"""")&amp;""_""&amp;IFERROR(REGEXEXTRACT($M22,""^[^｜]+""),"""")
      )
     ),
     sy_mst!$A:$A,
     sy_mst!$E:$E
    ),
    0
   )
  )
  *
  IFERROR(XLOOKUP(REGEXEXTR"&amp;"ACT($I22,""^[^｜]+""),ms_mst!$A:$A,ms_mst!$M:$M),1)
  *
  IF(
   $B22&gt;=IFERROR(XLOOKUP(REGEXEXTRACT($L22,""^[^｜]+""),sk_mst!$A:$A,sk_mst!$M:$M),999),
   IFERROR(XLOOKUP(REGEXEXTRACT($L22,""^[^｜]+""),sk_mst!$A:$A,sk_mst!$G:$G),1),
   1
  )
 )
)"),1300.0)</f>
        <v>1300</v>
      </c>
      <c r="Q22" s="25">
        <f>IFERROR(__xludf.DUMMYFUNCTION("IF($A22="""","""",
 IF($F22=""market"",
  IFERROR(XLOOKUP(REGEXEXTRACT($J22,""^[^｜]+""),tr_mst!$A:$A,tr_mst!$F:$F),0)
  +IFERROR(XLOOKUP(REGEXEXTRACT($K22,""^[^｜]+""),tc_mst!$A:$A,tc_mst!$F:$F),0),
  IF($B22=0,
   IFERROR(XLOOKUP(REGEXEXTRACT($I22,""^[^｜]"&amp;"+""),ms_mst!$A:$A,ms_mst!$F:$F),0),
   IFERROR(XLOOKUP(""T""&amp;($B22-1)&amp;""_""&amp;$D22,$A:$A,$Q:$Q),0)
  )
  +IFERROR(XLOOKUP(REGEXEXTRACT($J22,""^[^｜]+""),tr_mst!$A:$A,tr_mst!$F:$F),0)
  +IFERROR(XLOOKUP(REGEXEXTRACT($K22,""^[^｜]+""),tc_mst!$A:$A,tc_mst!$F:$F)"&amp;",0)
  +
  (
   IFERROR(XLOOKUP(REGEXEXTRACT($M22,""^[^｜]+""),ac_mst!$A:$A,ac_mst!$I:$I),0)
   +IFERROR(XLOOKUP(REGEXEXTRACT($N22,""^[^｜]+""),ac_mst!$A:$A,ac_mst!$I:$I),0)
   +IFERROR(
    XLOOKUP(
     IF(
      OR(
       IFERROR(REGEXEXTRACT($M22,""^[^｜"&amp;"]+""),"""")="""",
       IFERROR(REGEXEXTRACT($N22,""^[^｜]+""),"""")=""""
      ),
      """",
      IF(
       IFERROR(REGEXEXTRACT($M22,""^[^｜]+""),"""")&lt;IFERROR(REGEXEXTRACT($N22,""^[^｜]+""),""""),
       IFERROR(REGEXEXTRACT($M22,""^[^｜]+""),"""")&amp;""_"&amp;"""&amp;IFERROR(REGEXEXTRACT($N22,""^[^｜]+""),""""),
       IFERROR(REGEXEXTRACT($N22,""^[^｜]+""),"""")&amp;""_""&amp;IFERROR(REGEXEXTRACT($M22,""^[^｜]+""),"""")
      )
     ),
     sy_mst!$A:$A,
     sy_mst!$F:$F
    ),
    0
   )
  )
  *
  IFERROR(XLOOKUP(REGEXEXTR"&amp;"ACT($I22,""^[^｜]+""),ms_mst!$A:$A,ms_mst!$N:$N),1)
  *
  IF(
   $B22&gt;=IFERROR(XLOOKUP(REGEXEXTRACT($L22,""^[^｜]+""),sk_mst!$A:$A,sk_mst!$M:$M),999),
   IFERROR(XLOOKUP(REGEXEXTRACT($L22,""^[^｜]+""),sk_mst!$A:$A,sk_mst!$H:$H),1),
   1
  )
 )
)"),0.52)</f>
        <v>0.52</v>
      </c>
      <c r="R22" s="25">
        <f>IFERROR(__xludf.DUMMYFUNCTION("IF($A22="""","""",
 IF($F22=""market"",
  IFERROR(XLOOKUP(REGEXEXTRACT($J22,""^[^｜]+""),tr_mst!$A:$A,tr_mst!$G:$G),0)
  +IFERROR(XLOOKUP(REGEXEXTRACT($K22,""^[^｜]+""),tc_mst!$A:$A,tc_mst!$G:$G),0),
  IF($B22=0,
   IFERROR(XLOOKUP(REGEXEXTRACT($I22,""^[^｜]"&amp;"+""),ms_mst!$A:$A,ms_mst!$G:$G),0),
   IFERROR(XLOOKUP(""T""&amp;($B22-1)&amp;""_""&amp;$D22,$A:$A,$R:$R),0)
  )
  +IFERROR(XLOOKUP(REGEXEXTRACT($J22,""^[^｜]+""),tr_mst!$A:$A,tr_mst!$G:$G),0)
  +IFERROR(XLOOKUP(REGEXEXTRACT($K22,""^[^｜]+""),tc_mst!$A:$A,tc_mst!$G:$G)"&amp;",0)
  +
  (
   IFERROR(XLOOKUP(REGEXEXTRACT($M22,""^[^｜]+""),ac_mst!$A:$A,ac_mst!$J:$J),0)
   +IFERROR(XLOOKUP(REGEXEXTRACT($N22,""^[^｜]+""),ac_mst!$A:$A,ac_mst!$J:$J),0)
   +IFERROR(
    XLOOKUP(
     IF(
      OR(
       IFERROR(REGEXEXTRACT($M22,""^[^｜"&amp;"]+""),"""")="""",
       IFERROR(REGEXEXTRACT($N22,""^[^｜]+""),"""")=""""
      ),
      """",
      IF(
       IFERROR(REGEXEXTRACT($M22,""^[^｜]+""),"""")&lt;IFERROR(REGEXEXTRACT($N22,""^[^｜]+""),""""),
       IFERROR(REGEXEXTRACT($M22,""^[^｜]+""),"""")&amp;""_"&amp;"""&amp;IFERROR(REGEXEXTRACT($N22,""^[^｜]+""),""""),
       IFERROR(REGEXEXTRACT($N22,""^[^｜]+""),"""")&amp;""_""&amp;IFERROR(REGEXEXTRACT($M22,""^[^｜]+""),"""")
      )
     ),
     sy_mst!$A:$A,
     sy_mst!$G:$G
    ),
    0
   )
  )
  *
  IFERROR(XLOOKUP(REGEXEXTR"&amp;"ACT($I22,""^[^｜]+""),ms_mst!$A:$A,ms_mst!$O:$O),1)
  *
  IF(
   $B22&gt;=IFERROR(XLOOKUP(REGEXEXTRACT($L22,""^[^｜]+""),sk_mst!$A:$A,sk_mst!$M:$M),999),
   IFERROR(XLOOKUP(REGEXEXTRACT($L22,""^[^｜]+""),sk_mst!$A:$A,sk_mst!$I:$I),1),
   1
  )
 )
)"),1.7615)</f>
        <v>1.7615</v>
      </c>
      <c r="S22" s="25">
        <f>IFERROR(__xludf.DUMMYFUNCTION("IF($A22="""","""",
 IF($F22=""market"",
  IFERROR(XLOOKUP(REGEXEXTRACT($J22,""^[^｜]+""),tr_mst!$A:$A,tr_mst!$H:$H),0)
  +IFERROR(XLOOKUP(REGEXEXTRACT($K22,""^[^｜]+""),tc_mst!$A:$A,tc_mst!$H:$H),0),
  IF($B22=0,
   IFERROR(XLOOKUP(REGEXEXTRACT($I22,""^[^｜]"&amp;"+""),ms_mst!$A:$A,ms_mst!$H:$H),0),
   IFERROR(XLOOKUP(""T""&amp;($B22-1)&amp;""_""&amp;$D22,$A:$A,$S:$S),0)
  )
  +IFERROR(XLOOKUP(REGEXEXTRACT($J22,""^[^｜]+""),tr_mst!$A:$A,tr_mst!$H:$H),0)
  +IFERROR(XLOOKUP(REGEXEXTRACT($K22,""^[^｜]+""),tc_mst!$A:$A,tc_mst!$H:$H)"&amp;",0)
  +
  (
   IFERROR(XLOOKUP(REGEXEXTRACT($M22,""^[^｜]+""),ac_mst!$A:$A,ac_mst!$K:$K),0)
   +IFERROR(XLOOKUP(REGEXEXTRACT($N22,""^[^｜]+""),ac_mst!$A:$A,ac_mst!$K:$K),0)
   +IFERROR(
    XLOOKUP(
     IF(
      OR(
       IFERROR(REGEXEXTRACT($M22,""^[^｜"&amp;"]+""),"""")="""",
       IFERROR(REGEXEXTRACT($N22,""^[^｜]+""),"""")=""""
      ),
      """",
      IF(
       IFERROR(REGEXEXTRACT($M22,""^[^｜]+""),"""")&lt;IFERROR(REGEXEXTRACT($N22,""^[^｜]+""),""""),
       IFERROR(REGEXEXTRACT($M22,""^[^｜]+""),"""")&amp;""_"&amp;"""&amp;IFERROR(REGEXEXTRACT($N22,""^[^｜]+""),""""),
       IFERROR(REGEXEXTRACT($N22,""^[^｜]+""),"""")&amp;""_""&amp;IFERROR(REGEXEXTRACT($M22,""^[^｜]+""),"""")
      )
     ),
     sy_mst!$A:$A,
     sy_mst!$H:$H
    ),
    0
   )
  )
  *
  IFERROR(XLOOKUP(REGEXEXTR"&amp;"ACT($I22,""^[^｜]+""),ms_mst!$A:$A,ms_mst!$P:$P),1)
  *
  IF(
   $B22&gt;=IFERROR(XLOOKUP(REGEXEXTRACT($L22,""^[^｜]+""),sk_mst!$A:$A,sk_mst!$M:$M),999),
   IFERROR(XLOOKUP(REGEXEXTRACT($L22,""^[^｜]+""),sk_mst!$A:$A,sk_mst!$J:$J),1),
   1
  )
 )
)"),0.013000000000000001)</f>
        <v>0.013</v>
      </c>
      <c r="T22" s="25">
        <f>IFERROR(__xludf.DUMMYFUNCTION("IF($A22="""","""",
 IF($F22=""market"",
  IFERROR(XLOOKUP(REGEXEXTRACT($J22,""^[^｜]+""),tr_mst!$A:$A,tr_mst!$I:$I),0)
  +IFERROR(XLOOKUP(REGEXEXTRACT($K22,""^[^｜]+""),tc_mst!$A:$A,tc_mst!$I:$I),0),
  IF($B22=0,
   IFERROR(XLOOKUP(REGEXEXTRACT($I22,""^[^｜]"&amp;"+""),ms_mst!$A:$A,ms_mst!$I:$I),0),
   IFERROR(XLOOKUP(""T""&amp;($B22-1)&amp;""_""&amp;$D22,$A:$A,$T:$T),0)
  )
  +IFERROR(XLOOKUP(REGEXEXTRACT($J22,""^[^｜]+""),tr_mst!$A:$A,tr_mst!$I:$I),0)
  +IFERROR(XLOOKUP(REGEXEXTRACT($K22,""^[^｜]+""),tc_mst!$A:$A,tc_mst!$I:$I)"&amp;",0)
  +
  (
   IFERROR(XLOOKUP(REGEXEXTRACT($M22,""^[^｜]+""),ac_mst!$A:$A,ac_mst!$L:$L),0)
   +IFERROR(XLOOKUP(REGEXEXTRACT($N22,""^[^｜]+""),ac_mst!$A:$A,ac_mst!$L:$L),0)
   +IFERROR(
    XLOOKUP(
     IF(
      OR(
       IFERROR(REGEXEXTRACT($M22,""^[^｜"&amp;"]+""),"""")="""",
       IFERROR(REGEXEXTRACT($N22,""^[^｜]+""),"""")=""""
      ),
      """",
      IF(
       IFERROR(REGEXEXTRACT($M22,""^[^｜]+""),"""")&lt;IFERROR(REGEXEXTRACT($N22,""^[^｜]+""),""""),
       IFERROR(REGEXEXTRACT($M22,""^[^｜]+""),"""")&amp;""_"&amp;"""&amp;IFERROR(REGEXEXTRACT($N22,""^[^｜]+""),""""),
       IFERROR(REGEXEXTRACT($N22,""^[^｜]+""),"""")&amp;""_""&amp;IFERROR(REGEXEXTRACT($M22,""^[^｜]+""),"""")
      )
     ),
     sy_mst!$A:$A,
     sy_mst!$I:$I
    ),
    0
   )
  )
  *
  IFERROR(XLOOKUP(REGEXEXTR"&amp;"ACT($I22,""^[^｜]+""),ms_mst!$A:$A,ms_mst!$Q:$Q),1)
  *
  IF(
   $B22&gt;=IFERROR(XLOOKUP(REGEXEXTRACT($L22,""^[^｜]+""),sk_mst!$A:$A,sk_mst!$M:$M),999),
   IFERROR(XLOOKUP(REGEXEXTRACT($L22,""^[^｜]+""),sk_mst!$A:$A,sk_mst!$K:$K),1),
   1
  )
 )
)"),4000.0)</f>
        <v>4000</v>
      </c>
      <c r="U22" s="25">
        <f>IFERROR(__xludf.DUMMYFUNCTION("IF($A22="""","""",
 IF($F22=""market"",
  IFERROR(XLOOKUP(REGEXEXTRACT($J22,""^[^｜]+""),tr_mst!$A:$A,tr_mst!$J:$J),0)
  +IFERROR(XLOOKUP(REGEXEXTRACT($K22,""^[^｜]+""),tc_mst!$A:$A,tc_mst!$J:$J),0),
  IF($B22=0,
   IFERROR(XLOOKUP(REGEXEXTRACT($I22,""^[^｜]"&amp;"+""),ms_mst!$A:$A,ms_mst!$J:$J),0),
   IFERROR(XLOOKUP(""T""&amp;($B22-1)&amp;""_""&amp;$D22,$A:$A,$U:$U),0)
  )
  +IFERROR(XLOOKUP(REGEXEXTRACT($J22,""^[^｜]+""),tr_mst!$A:$A,tr_mst!$J:$J),0)
  +IFERROR(XLOOKUP(REGEXEXTRACT($K22,""^[^｜]+""),tc_mst!$A:$A,tc_mst!$J:$J)"&amp;",0)
  +
  (
   IFERROR(XLOOKUP(REGEXEXTRACT($M22,""^[^｜]+""),ac_mst!$A:$A,ac_mst!$M:$M),0)
   +IFERROR(XLOOKUP(REGEXEXTRACT($N22,""^[^｜]+""),ac_mst!$A:$A,ac_mst!$M:$M),0)
   +IFERROR(
    XLOOKUP(
     IF(
      OR(
       IFERROR(REGEXEXTRACT($M22,""^[^｜"&amp;"]+""),"""")="""",
       IFERROR(REGEXEXTRACT($N22,""^[^｜]+""),"""")=""""
      ),
      """",
      IF(
       IFERROR(REGEXEXTRACT($M22,""^[^｜]+""),"""")&lt;IFERROR(REGEXEXTRACT($N22,""^[^｜]+""),""""),
       IFERROR(REGEXEXTRACT($M22,""^[^｜]+""),"""")&amp;""_"&amp;"""&amp;IFERROR(REGEXEXTRACT($N22,""^[^｜]+""),""""),
       IFERROR(REGEXEXTRACT($N22,""^[^｜]+""),"""")&amp;""_""&amp;IFERROR(REGEXEXTRACT($M22,""^[^｜]+""),"""")
      )
     ),
     sy_mst!$A:$A,
     sy_mst!$J:$J
    ),
    0
   )
  )
  *
  IFERROR(XLOOKUP(REGEXEXTR"&amp;"ACT($I22,""^[^｜]+""),ms_mst!$A:$A,ms_mst!$R:$R),1)
  *
  IF(
   $B22&gt;=IFERROR(XLOOKUP(REGEXEXTRACT($L22,""^[^｜]+""),sk_mst!$A:$A,sk_mst!$M:$M),999),
   IFERROR(XLOOKUP(REGEXEXTRACT($L22,""^[^｜]+""),sk_mst!$A:$A,sk_mst!$L:$L),1),
   1
  )
 )
)"),45.0)</f>
        <v>45</v>
      </c>
      <c r="V22" s="25">
        <f t="shared" si="1"/>
        <v>534200</v>
      </c>
      <c r="W22" s="25">
        <f t="shared" si="2"/>
        <v>58500</v>
      </c>
      <c r="X22" s="25">
        <f t="shared" si="3"/>
        <v>475700</v>
      </c>
      <c r="Y22" s="25">
        <f t="shared" si="4"/>
        <v>9.13</v>
      </c>
      <c r="Z22" s="25">
        <f>IFERROR(__xludf.DUMMYFUNCTION("IF($A22="""","""",
 IF($F22&lt;&gt;""player"","""",
  IFERROR(
   RANK(
    $X22,
    FILTER($X:$X,$B:$B=$B22,$F:$F=""player"",$X:$X&lt;&gt;""""),
    0
   ),
   """"
  )
 )
)"),2.0)</f>
        <v>2</v>
      </c>
      <c r="AA22" s="25" t="str">
        <f t="shared" si="5"/>
        <v>2位</v>
      </c>
      <c r="AB22" s="26">
        <f t="shared" si="6"/>
        <v>0.4574142157</v>
      </c>
    </row>
    <row r="23">
      <c r="A23" s="14" t="s">
        <v>196</v>
      </c>
      <c r="B23" s="25">
        <v>1.0</v>
      </c>
      <c r="C23" s="14" t="s">
        <v>174</v>
      </c>
      <c r="D23" s="14" t="s">
        <v>175</v>
      </c>
      <c r="E23" s="25" t="s">
        <v>153</v>
      </c>
      <c r="F23" s="25" t="s">
        <v>154</v>
      </c>
      <c r="G23" s="25" t="str">
        <f>IFERROR(__xludf.DUMMYFUNCTION("IF($F23=""market"","""",IFERROR(FILTER(member_log!$B$10:$B947,member_log!$C$10:$C947=$C23,member_log!$D$10:$D947=$E23,member_log!$G$10:$G947=""active""),""""))"),"")</f>
        <v/>
      </c>
      <c r="H23" s="25" t="str">
        <f>IFERROR(__xludf.DUMMYFUNCTION("IF($F23=""market"","""",IFERROR(FILTER(member_log!$E$10:$E947,member_log!$C$10:$C947=$C23,member_log!$D$10:$D947=$E23,member_log!$G$10:$G947=""active""),""""))"),"")</f>
        <v/>
      </c>
      <c r="I23" s="25" t="str">
        <f>IFERROR(__xludf.DUMMYFUNCTION("IF($F23&lt;&gt;""player"","""",IFERROR(INDEX(FILTER(group_setup!$D$2:$D947,group_setup!$B$2:$B947=$C23,group_setup!$G$2:$G947=TRUE,group_setup!$H$2:$H947=""completed""),1),""""))"),"")</f>
        <v/>
      </c>
      <c r="J23" s="25" t="str">
        <f>IFERROR(__xludf.DUMMYFUNCTION("IFERROR(FILTER(market_event_log!$D$2:$D947,market_event_log!$C$2:$C947=$B23,market_event_log!$N$2:$N947=""active""),"""")"),"T01")</f>
        <v>T01</v>
      </c>
      <c r="K23" s="25" t="str">
        <f>IFERROR(__xludf.DUMMYFUNCTION("IFERROR(FILTER(market_event_log!$G$2:$G947,market_event_log!$C$2:$C947=$B23,market_event_log!$N$2:$N947=""active""),"""")"),"C01")</f>
        <v>C01</v>
      </c>
      <c r="L23" s="25" t="str">
        <f>IFERROR(__xludf.DUMMYFUNCTION("IF($F23&lt;&gt;""player"","""",IFERROR(INDEX(FILTER(group_setup!$E$2:$E947,group_setup!$B$2:$B947=$C23,group_setup!$G$2:$G947=TRUE,group_setup!$H$2:$H947=""completed""),1),""""))"),"")</f>
        <v/>
      </c>
      <c r="M23" s="25" t="str">
        <f>IFERROR(__xludf.DUMMYFUNCTION("IF($F23=""market"","""",IF($E23=""HUMAN"",IFERROR(FILTER(turn_log!$G$2:$G947,turn_log!$C$2:$C947=$B23,turn_log!$D$2:$D947=$C23,turn_log!$F$2:$F947=$E23),""""),IFERROR(FILTER(turn_log!$I$2:$I947,turn_log!$C$2:$C947=$B23,turn_log!$D$2:$D947=$C23,turn_log!$F"&amp;"$2:$F947=$E23),"""")))"),"")</f>
        <v/>
      </c>
      <c r="N23" s="25" t="str">
        <f>IFERROR(__xludf.DUMMYFUNCTION("IF($F23=""market"","""",IF($E23=""HUMAN"",IFERROR(FILTER(turn_log!$H$2:$H947,turn_log!$C$2:$C947=$B23,turn_log!$D$2:$D947=$C23,turn_log!$F$2:$F947=$E23),""""),IFERROR(FILTER(turn_log!$J$2:$J947,turn_log!$C$2:$C947=$B23,turn_log!$D$2:$D947=$C23,turn_log!$F"&amp;"$2:$F947=$E23),"""")))"),"")</f>
        <v/>
      </c>
      <c r="O23" s="25">
        <f>IFERROR(__xludf.DUMMYFUNCTION("IF($A23="""","""",
 IF($F23=""market"",
  IFERROR(XLOOKUP(REGEXEXTRACT($J23,""^[^｜]+""),tr_mst!$A:$A,tr_mst!$D:$D),0)
  +IFERROR(XLOOKUP(REGEXEXTRACT($K23,""^[^｜]+""),tc_mst!$A:$A,tc_mst!$D:$D),0),
  IF($B23=0,
   IFERROR(XLOOKUP(REGEXEXTRACT($I23,""^[^｜]"&amp;"+""),ms_mst!$A:$A,ms_mst!$D:$D),0),
   IFERROR(XLOOKUP(""T""&amp;($B23-1)&amp;""_""&amp;$D23,$A:$A,$O:$O),0)
  )
  +IFERROR(XLOOKUP(REGEXEXTRACT($J23,""^[^｜]+""),tr_mst!$A:$A,tr_mst!$D:$D),0)
  +IFERROR(XLOOKUP(REGEXEXTRACT($K23,""^[^｜]+""),tc_mst!$A:$A,tc_mst!$D:$D)"&amp;",0)
  +
  (
   IFERROR(XLOOKUP(REGEXEXTRACT($M23,""^[^｜]+""),ac_mst!$A:$A,ac_mst!$G:$G),0)
   +IFERROR(XLOOKUP(REGEXEXTRACT($N23,""^[^｜]+""),ac_mst!$A:$A,ac_mst!$G:$G),0)
   +IFERROR(
    XLOOKUP(
     IF(
      OR(
       IFERROR(REGEXEXTRACT($M23,""^[^｜"&amp;"]+""),"""")="""",
       IFERROR(REGEXEXTRACT($N23,""^[^｜]+""),"""")=""""
      ),
      """",
      IF(
       IFERROR(REGEXEXTRACT($M23,""^[^｜]+""),"""")&lt;IFERROR(REGEXEXTRACT($N23,""^[^｜]+""),""""),
       IFERROR(REGEXEXTRACT($M23,""^[^｜]+""),"""")&amp;""_"&amp;"""&amp;IFERROR(REGEXEXTRACT($N23,""^[^｜]+""),""""),
       IFERROR(REGEXEXTRACT($N23,""^[^｜]+""),"""")&amp;""_""&amp;IFERROR(REGEXEXTRACT($M23,""^[^｜]+""),"""")
      )
     ),
     sy_mst!$A:$A,
     sy_mst!$D:$D
    ),
    0
   )
  )
  *
  IFERROR(XLOOKUP(REGEXEXTR"&amp;"ACT($I23,""^[^｜]+""),ms_mst!$A:$A,ms_mst!$L:$L),1)
  *
  IF(
   $B23&gt;=IFERROR(XLOOKUP(REGEXEXTRACT($L23,""^[^｜]+""),sk_mst!$A:$A,sk_mst!$M:$M),999),
   IFERROR(XLOOKUP(REGEXEXTRACT($L23,""^[^｜]+""),sk_mst!$A:$A,sk_mst!$F:$F),1),
   1
  )
 )
)"),1200.0)</f>
        <v>1200</v>
      </c>
      <c r="P23" s="25">
        <f>IFERROR(__xludf.DUMMYFUNCTION("IF($A23="""","""",
 IF($F23=""market"",
  IFERROR(XLOOKUP(REGEXEXTRACT($J23,""^[^｜]+""),tr_mst!$A:$A,tr_mst!$E:$E),0)
  +IFERROR(XLOOKUP(REGEXEXTRACT($K23,""^[^｜]+""),tc_mst!$A:$A,tc_mst!$E:$E),0),
  IF($B23=0,
   IFERROR(XLOOKUP(REGEXEXTRACT($I23,""^[^｜]"&amp;"+""),ms_mst!$A:$A,ms_mst!$E:$E),0),
   IFERROR(XLOOKUP(""T""&amp;($B23-1)&amp;""_""&amp;$D23,$A:$A,$P:$P),0)
  )
  +IFERROR(XLOOKUP(REGEXEXTRACT($J23,""^[^｜]+""),tr_mst!$A:$A,tr_mst!$E:$E),0)
  +IFERROR(XLOOKUP(REGEXEXTRACT($K23,""^[^｜]+""),tc_mst!$A:$A,tc_mst!$E:$E)"&amp;",0)
  +
  (
   IFERROR(XLOOKUP(REGEXEXTRACT($M23,""^[^｜]+""),ac_mst!$A:$A,ac_mst!$H:$H),0)
   +IFERROR(XLOOKUP(REGEXEXTRACT($N23,""^[^｜]+""),ac_mst!$A:$A,ac_mst!$H:$H),0)
   +IFERROR(
    XLOOKUP(
     IF(
      OR(
       IFERROR(REGEXEXTRACT($M23,""^[^｜"&amp;"]+""),"""")="""",
       IFERROR(REGEXEXTRACT($N23,""^[^｜]+""),"""")=""""
      ),
      """",
      IF(
       IFERROR(REGEXEXTRACT($M23,""^[^｜]+""),"""")&lt;IFERROR(REGEXEXTRACT($N23,""^[^｜]+""),""""),
       IFERROR(REGEXEXTRACT($M23,""^[^｜]+""),"""")&amp;""_"&amp;"""&amp;IFERROR(REGEXEXTRACT($N23,""^[^｜]+""),""""),
       IFERROR(REGEXEXTRACT($N23,""^[^｜]+""),"""")&amp;""_""&amp;IFERROR(REGEXEXTRACT($M23,""^[^｜]+""),"""")
      )
     ),
     sy_mst!$A:$A,
     sy_mst!$E:$E
    ),
    0
   )
  )
  *
  IFERROR(XLOOKUP(REGEXEXTR"&amp;"ACT($I23,""^[^｜]+""),ms_mst!$A:$A,ms_mst!$M:$M),1)
  *
  IF(
   $B23&gt;=IFERROR(XLOOKUP(REGEXEXTRACT($L23,""^[^｜]+""),sk_mst!$A:$A,sk_mst!$M:$M),999),
   IFERROR(XLOOKUP(REGEXEXTRACT($L23,""^[^｜]+""),sk_mst!$A:$A,sk_mst!$G:$G),1),
   1
  )
 )
)"),-200.0)</f>
        <v>-200</v>
      </c>
      <c r="Q23" s="25">
        <f>IFERROR(__xludf.DUMMYFUNCTION("IF($A23="""","""",
 IF($F23=""market"",
  IFERROR(XLOOKUP(REGEXEXTRACT($J23,""^[^｜]+""),tr_mst!$A:$A,tr_mst!$F:$F),0)
  +IFERROR(XLOOKUP(REGEXEXTRACT($K23,""^[^｜]+""),tc_mst!$A:$A,tc_mst!$F:$F),0),
  IF($B23=0,
   IFERROR(XLOOKUP(REGEXEXTRACT($I23,""^[^｜]"&amp;"+""),ms_mst!$A:$A,ms_mst!$F:$F),0),
   IFERROR(XLOOKUP(""T""&amp;($B23-1)&amp;""_""&amp;$D23,$A:$A,$Q:$Q),0)
  )
  +IFERROR(XLOOKUP(REGEXEXTRACT($J23,""^[^｜]+""),tr_mst!$A:$A,tr_mst!$F:$F),0)
  +IFERROR(XLOOKUP(REGEXEXTRACT($K23,""^[^｜]+""),tc_mst!$A:$A,tc_mst!$F:$F)"&amp;",0)
  +
  (
   IFERROR(XLOOKUP(REGEXEXTRACT($M23,""^[^｜]+""),ac_mst!$A:$A,ac_mst!$I:$I),0)
   +IFERROR(XLOOKUP(REGEXEXTRACT($N23,""^[^｜]+""),ac_mst!$A:$A,ac_mst!$I:$I),0)
   +IFERROR(
    XLOOKUP(
     IF(
      OR(
       IFERROR(REGEXEXTRACT($M23,""^[^｜"&amp;"]+""),"""")="""",
       IFERROR(REGEXEXTRACT($N23,""^[^｜]+""),"""")=""""
      ),
      """",
      IF(
       IFERROR(REGEXEXTRACT($M23,""^[^｜]+""),"""")&lt;IFERROR(REGEXEXTRACT($N23,""^[^｜]+""),""""),
       IFERROR(REGEXEXTRACT($M23,""^[^｜]+""),"""")&amp;""_"&amp;"""&amp;IFERROR(REGEXEXTRACT($N23,""^[^｜]+""),""""),
       IFERROR(REGEXEXTRACT($N23,""^[^｜]+""),"""")&amp;""_""&amp;IFERROR(REGEXEXTRACT($M23,""^[^｜]+""),"""")
      )
     ),
     sy_mst!$A:$A,
     sy_mst!$F:$F
    ),
    0
   )
  )
  *
  IFERROR(XLOOKUP(REGEXEXTR"&amp;"ACT($I23,""^[^｜]+""),ms_mst!$A:$A,ms_mst!$N:$N),1)
  *
  IF(
   $B23&gt;=IFERROR(XLOOKUP(REGEXEXTRACT($L23,""^[^｜]+""),sk_mst!$A:$A,sk_mst!$M:$M),999),
   IFERROR(XLOOKUP(REGEXEXTRACT($L23,""^[^｜]+""),sk_mst!$A:$A,sk_mst!$H:$H),1),
   1
  )
 )
)"),0.0)</f>
        <v>0</v>
      </c>
      <c r="R23" s="25">
        <f>IFERROR(__xludf.DUMMYFUNCTION("IF($A23="""","""",
 IF($F23=""market"",
  IFERROR(XLOOKUP(REGEXEXTRACT($J23,""^[^｜]+""),tr_mst!$A:$A,tr_mst!$G:$G),0)
  +IFERROR(XLOOKUP(REGEXEXTRACT($K23,""^[^｜]+""),tc_mst!$A:$A,tc_mst!$G:$G),0),
  IF($B23=0,
   IFERROR(XLOOKUP(REGEXEXTRACT($I23,""^[^｜]"&amp;"+""),ms_mst!$A:$A,ms_mst!$G:$G),0),
   IFERROR(XLOOKUP(""T""&amp;($B23-1)&amp;""_""&amp;$D23,$A:$A,$R:$R),0)
  )
  +IFERROR(XLOOKUP(REGEXEXTRACT($J23,""^[^｜]+""),tr_mst!$A:$A,tr_mst!$G:$G),0)
  +IFERROR(XLOOKUP(REGEXEXTRACT($K23,""^[^｜]+""),tc_mst!$A:$A,tc_mst!$G:$G)"&amp;",0)
  +
  (
   IFERROR(XLOOKUP(REGEXEXTRACT($M23,""^[^｜]+""),ac_mst!$A:$A,ac_mst!$J:$J),0)
   +IFERROR(XLOOKUP(REGEXEXTRACT($N23,""^[^｜]+""),ac_mst!$A:$A,ac_mst!$J:$J),0)
   +IFERROR(
    XLOOKUP(
     IF(
      OR(
       IFERROR(REGEXEXTRACT($M23,""^[^｜"&amp;"]+""),"""")="""",
       IFERROR(REGEXEXTRACT($N23,""^[^｜]+""),"""")=""""
      ),
      """",
      IF(
       IFERROR(REGEXEXTRACT($M23,""^[^｜]+""),"""")&lt;IFERROR(REGEXEXTRACT($N23,""^[^｜]+""),""""),
       IFERROR(REGEXEXTRACT($M23,""^[^｜]+""),"""")&amp;""_"&amp;"""&amp;IFERROR(REGEXEXTRACT($N23,""^[^｜]+""),""""),
       IFERROR(REGEXEXTRACT($N23,""^[^｜]+""),"""")&amp;""_""&amp;IFERROR(REGEXEXTRACT($M23,""^[^｜]+""),"""")
      )
     ),
     sy_mst!$A:$A,
     sy_mst!$G:$G
    ),
    0
   )
  )
  *
  IFERROR(XLOOKUP(REGEXEXTR"&amp;"ACT($I23,""^[^｜]+""),ms_mst!$A:$A,ms_mst!$O:$O),1)
  *
  IF(
   $B23&gt;=IFERROR(XLOOKUP(REGEXEXTRACT($L23,""^[^｜]+""),sk_mst!$A:$A,sk_mst!$M:$M),999),
   IFERROR(XLOOKUP(REGEXEXTRACT($L23,""^[^｜]+""),sk_mst!$A:$A,sk_mst!$I:$I),1),
   1
  )
 )
)"),0.0)</f>
        <v>0</v>
      </c>
      <c r="S23" s="25">
        <f>IFERROR(__xludf.DUMMYFUNCTION("IF($A23="""","""",
 IF($F23=""market"",
  IFERROR(XLOOKUP(REGEXEXTRACT($J23,""^[^｜]+""),tr_mst!$A:$A,tr_mst!$H:$H),0)
  +IFERROR(XLOOKUP(REGEXEXTRACT($K23,""^[^｜]+""),tc_mst!$A:$A,tc_mst!$H:$H),0),
  IF($B23=0,
   IFERROR(XLOOKUP(REGEXEXTRACT($I23,""^[^｜]"&amp;"+""),ms_mst!$A:$A,ms_mst!$H:$H),0),
   IFERROR(XLOOKUP(""T""&amp;($B23-1)&amp;""_""&amp;$D23,$A:$A,$S:$S),0)
  )
  +IFERROR(XLOOKUP(REGEXEXTRACT($J23,""^[^｜]+""),tr_mst!$A:$A,tr_mst!$H:$H),0)
  +IFERROR(XLOOKUP(REGEXEXTRACT($K23,""^[^｜]+""),tc_mst!$A:$A,tc_mst!$H:$H)"&amp;",0)
  +
  (
   IFERROR(XLOOKUP(REGEXEXTRACT($M23,""^[^｜]+""),ac_mst!$A:$A,ac_mst!$K:$K),0)
   +IFERROR(XLOOKUP(REGEXEXTRACT($N23,""^[^｜]+""),ac_mst!$A:$A,ac_mst!$K:$K),0)
   +IFERROR(
    XLOOKUP(
     IF(
      OR(
       IFERROR(REGEXEXTRACT($M23,""^[^｜"&amp;"]+""),"""")="""",
       IFERROR(REGEXEXTRACT($N23,""^[^｜]+""),"""")=""""
      ),
      """",
      IF(
       IFERROR(REGEXEXTRACT($M23,""^[^｜]+""),"""")&lt;IFERROR(REGEXEXTRACT($N23,""^[^｜]+""),""""),
       IFERROR(REGEXEXTRACT($M23,""^[^｜]+""),"""")&amp;""_"&amp;"""&amp;IFERROR(REGEXEXTRACT($N23,""^[^｜]+""),""""),
       IFERROR(REGEXEXTRACT($N23,""^[^｜]+""),"""")&amp;""_""&amp;IFERROR(REGEXEXTRACT($M23,""^[^｜]+""),"""")
      )
     ),
     sy_mst!$A:$A,
     sy_mst!$H:$H
    ),
    0
   )
  )
  *
  IFERROR(XLOOKUP(REGEXEXTR"&amp;"ACT($I23,""^[^｜]+""),ms_mst!$A:$A,ms_mst!$P:$P),1)
  *
  IF(
   $B23&gt;=IFERROR(XLOOKUP(REGEXEXTRACT($L23,""^[^｜]+""),sk_mst!$A:$A,sk_mst!$M:$M),999),
   IFERROR(XLOOKUP(REGEXEXTRACT($L23,""^[^｜]+""),sk_mst!$A:$A,sk_mst!$J:$J),1),
   1
  )
 )
)"),0.0)</f>
        <v>0</v>
      </c>
      <c r="T23" s="25">
        <f>IFERROR(__xludf.DUMMYFUNCTION("IF($A23="""","""",
 IF($F23=""market"",
  IFERROR(XLOOKUP(REGEXEXTRACT($J23,""^[^｜]+""),tr_mst!$A:$A,tr_mst!$I:$I),0)
  +IFERROR(XLOOKUP(REGEXEXTRACT($K23,""^[^｜]+""),tc_mst!$A:$A,tc_mst!$I:$I),0),
  IF($B23=0,
   IFERROR(XLOOKUP(REGEXEXTRACT($I23,""^[^｜]"&amp;"+""),ms_mst!$A:$A,ms_mst!$I:$I),0),
   IFERROR(XLOOKUP(""T""&amp;($B23-1)&amp;""_""&amp;$D23,$A:$A,$T:$T),0)
  )
  +IFERROR(XLOOKUP(REGEXEXTRACT($J23,""^[^｜]+""),tr_mst!$A:$A,tr_mst!$I:$I),0)
  +IFERROR(XLOOKUP(REGEXEXTRACT($K23,""^[^｜]+""),tc_mst!$A:$A,tc_mst!$I:$I)"&amp;",0)
  +
  (
   IFERROR(XLOOKUP(REGEXEXTRACT($M23,""^[^｜]+""),ac_mst!$A:$A,ac_mst!$L:$L),0)
   +IFERROR(XLOOKUP(REGEXEXTRACT($N23,""^[^｜]+""),ac_mst!$A:$A,ac_mst!$L:$L),0)
   +IFERROR(
    XLOOKUP(
     IF(
      OR(
       IFERROR(REGEXEXTRACT($M23,""^[^｜"&amp;"]+""),"""")="""",
       IFERROR(REGEXEXTRACT($N23,""^[^｜]+""),"""")=""""
      ),
      """",
      IF(
       IFERROR(REGEXEXTRACT($M23,""^[^｜]+""),"""")&lt;IFERROR(REGEXEXTRACT($N23,""^[^｜]+""),""""),
       IFERROR(REGEXEXTRACT($M23,""^[^｜]+""),"""")&amp;""_"&amp;"""&amp;IFERROR(REGEXEXTRACT($N23,""^[^｜]+""),""""),
       IFERROR(REGEXEXTRACT($N23,""^[^｜]+""),"""")&amp;""_""&amp;IFERROR(REGEXEXTRACT($M23,""^[^｜]+""),"""")
      )
     ),
     sy_mst!$A:$A,
     sy_mst!$I:$I
    ),
    0
   )
  )
  *
  IFERROR(XLOOKUP(REGEXEXTR"&amp;"ACT($I23,""^[^｜]+""),ms_mst!$A:$A,ms_mst!$Q:$Q),1)
  *
  IF(
   $B23&gt;=IFERROR(XLOOKUP(REGEXEXTRACT($L23,""^[^｜]+""),sk_mst!$A:$A,sk_mst!$M:$M),999),
   IFERROR(XLOOKUP(REGEXEXTRACT($L23,""^[^｜]+""),sk_mst!$A:$A,sk_mst!$K:$K),1),
   1
  )
 )
)"),0.0)</f>
        <v>0</v>
      </c>
      <c r="U23" s="25">
        <f>IFERROR(__xludf.DUMMYFUNCTION("IF($A23="""","""",
 IF($F23=""market"",
  IFERROR(XLOOKUP(REGEXEXTRACT($J23,""^[^｜]+""),tr_mst!$A:$A,tr_mst!$J:$J),0)
  +IFERROR(XLOOKUP(REGEXEXTRACT($K23,""^[^｜]+""),tc_mst!$A:$A,tc_mst!$J:$J),0),
  IF($B23=0,
   IFERROR(XLOOKUP(REGEXEXTRACT($I23,""^[^｜]"&amp;"+""),ms_mst!$A:$A,ms_mst!$J:$J),0),
   IFERROR(XLOOKUP(""T""&amp;($B23-1)&amp;""_""&amp;$D23,$A:$A,$U:$U),0)
  )
  +IFERROR(XLOOKUP(REGEXEXTRACT($J23,""^[^｜]+""),tr_mst!$A:$A,tr_mst!$J:$J),0)
  +IFERROR(XLOOKUP(REGEXEXTRACT($K23,""^[^｜]+""),tc_mst!$A:$A,tc_mst!$J:$J)"&amp;",0)
  +
  (
   IFERROR(XLOOKUP(REGEXEXTRACT($M23,""^[^｜]+""),ac_mst!$A:$A,ac_mst!$M:$M),0)
   +IFERROR(XLOOKUP(REGEXEXTRACT($N23,""^[^｜]+""),ac_mst!$A:$A,ac_mst!$M:$M),0)
   +IFERROR(
    XLOOKUP(
     IF(
      OR(
       IFERROR(REGEXEXTRACT($M23,""^[^｜"&amp;"]+""),"""")="""",
       IFERROR(REGEXEXTRACT($N23,""^[^｜]+""),"""")=""""
      ),
      """",
      IF(
       IFERROR(REGEXEXTRACT($M23,""^[^｜]+""),"""")&lt;IFERROR(REGEXEXTRACT($N23,""^[^｜]+""),""""),
       IFERROR(REGEXEXTRACT($M23,""^[^｜]+""),"""")&amp;""_"&amp;"""&amp;IFERROR(REGEXEXTRACT($N23,""^[^｜]+""),""""),
       IFERROR(REGEXEXTRACT($N23,""^[^｜]+""),"""")&amp;""_""&amp;IFERROR(REGEXEXTRACT($M23,""^[^｜]+""),"""")
      )
     ),
     sy_mst!$A:$A,
     sy_mst!$J:$J
    ),
    0
   )
  )
  *
  IFERROR(XLOOKUP(REGEXEXTR"&amp;"ACT($I23,""^[^｜]+""),ms_mst!$A:$A,ms_mst!$R:$R),1)
  *
  IF(
   $B23&gt;=IFERROR(XLOOKUP(REGEXEXTRACT($L23,""^[^｜]+""),sk_mst!$A:$A,sk_mst!$M:$M),999),
   IFERROR(XLOOKUP(REGEXEXTRACT($L23,""^[^｜]+""),sk_mst!$A:$A,sk_mst!$L:$L),1),
   1
  )
 )
)"),5.0)</f>
        <v>5</v>
      </c>
      <c r="V23" s="25">
        <f t="shared" si="1"/>
        <v>0</v>
      </c>
      <c r="W23" s="25">
        <f t="shared" si="2"/>
        <v>-1000</v>
      </c>
      <c r="X23" s="25">
        <f t="shared" si="3"/>
        <v>1000</v>
      </c>
      <c r="Y23" s="25">
        <f t="shared" si="4"/>
        <v>0</v>
      </c>
      <c r="Z23" s="25">
        <f>IFERROR(__xludf.DUMMYFUNCTION("IF($A23="""","""",
 IF($F23&lt;&gt;""player"","""",
  IFERROR(
   RANK(
    $X23,
    FILTER($X:$X,$B:$B=$B23,$F:$F=""player"",$X:$X&lt;&gt;""""),
    0
   ),
   """"
  )
 )
)"),8.0)</f>
        <v>8</v>
      </c>
      <c r="AA23" s="25" t="str">
        <f t="shared" si="5"/>
        <v>8位</v>
      </c>
      <c r="AB23" s="26">
        <f t="shared" si="6"/>
        <v>0</v>
      </c>
    </row>
    <row r="24">
      <c r="A24" s="14" t="s">
        <v>197</v>
      </c>
      <c r="B24" s="25">
        <v>1.0</v>
      </c>
      <c r="C24" s="14" t="s">
        <v>177</v>
      </c>
      <c r="D24" s="14" t="s">
        <v>178</v>
      </c>
      <c r="E24" s="25" t="s">
        <v>153</v>
      </c>
      <c r="F24" s="25" t="s">
        <v>154</v>
      </c>
      <c r="G24" s="25" t="str">
        <f>IFERROR(__xludf.DUMMYFUNCTION("IF($F24=""market"","""",IFERROR(FILTER(member_log!$B$10:$B947,member_log!$C$10:$C947=$C24,member_log!$D$10:$D947=$E24,member_log!$G$10:$G947=""active""),""""))"),"")</f>
        <v/>
      </c>
      <c r="H24" s="25" t="str">
        <f>IFERROR(__xludf.DUMMYFUNCTION("IF($F24=""market"","""",IFERROR(FILTER(member_log!$E$10:$E947,member_log!$C$10:$C947=$C24,member_log!$D$10:$D947=$E24,member_log!$G$10:$G947=""active""),""""))"),"")</f>
        <v/>
      </c>
      <c r="I24" s="25" t="str">
        <f>IFERROR(__xludf.DUMMYFUNCTION("IF($F24&lt;&gt;""player"","""",IFERROR(INDEX(FILTER(group_setup!$D$2:$D947,group_setup!$B$2:$B947=$C24,group_setup!$G$2:$G947=TRUE,group_setup!$H$2:$H947=""completed""),1),""""))"),"")</f>
        <v/>
      </c>
      <c r="J24" s="25" t="str">
        <f>IFERROR(__xludf.DUMMYFUNCTION("IFERROR(FILTER(market_event_log!$D$2:$D947,market_event_log!$C$2:$C947=$B24,market_event_log!$N$2:$N947=""active""),"""")"),"T01")</f>
        <v>T01</v>
      </c>
      <c r="K24" s="25" t="str">
        <f>IFERROR(__xludf.DUMMYFUNCTION("IFERROR(FILTER(market_event_log!$G$2:$G947,market_event_log!$C$2:$C947=$B24,market_event_log!$N$2:$N947=""active""),"""")"),"C01")</f>
        <v>C01</v>
      </c>
      <c r="L24" s="25" t="str">
        <f>IFERROR(__xludf.DUMMYFUNCTION("IF($F24&lt;&gt;""player"","""",IFERROR(INDEX(FILTER(group_setup!$E$2:$E947,group_setup!$B$2:$B947=$C24,group_setup!$G$2:$G947=TRUE,group_setup!$H$2:$H947=""completed""),1),""""))"),"")</f>
        <v/>
      </c>
      <c r="M24" s="25" t="str">
        <f>IFERROR(__xludf.DUMMYFUNCTION("IF($F24=""market"","""",IF($E24=""HUMAN"",IFERROR(FILTER(turn_log!$G$2:$G947,turn_log!$C$2:$C947=$B24,turn_log!$D$2:$D947=$C24,turn_log!$F$2:$F947=$E24),""""),IFERROR(FILTER(turn_log!$I$2:$I947,turn_log!$C$2:$C947=$B24,turn_log!$D$2:$D947=$C24,turn_log!$F"&amp;"$2:$F947=$E24),"""")))"),"")</f>
        <v/>
      </c>
      <c r="N24" s="25" t="str">
        <f>IFERROR(__xludf.DUMMYFUNCTION("IF($F24=""market"","""",IF($E24=""HUMAN"",IFERROR(FILTER(turn_log!$H$2:$H947,turn_log!$C$2:$C947=$B24,turn_log!$D$2:$D947=$C24,turn_log!$F$2:$F947=$E24),""""),IFERROR(FILTER(turn_log!$J$2:$J947,turn_log!$C$2:$C947=$B24,turn_log!$D$2:$D947=$C24,turn_log!$F"&amp;"$2:$F947=$E24),"""")))"),"")</f>
        <v/>
      </c>
      <c r="O24" s="25">
        <f>IFERROR(__xludf.DUMMYFUNCTION("IF($A24="""","""",
 IF($F24=""market"",
  IFERROR(XLOOKUP(REGEXEXTRACT($J24,""^[^｜]+""),tr_mst!$A:$A,tr_mst!$D:$D),0)
  +IFERROR(XLOOKUP(REGEXEXTRACT($K24,""^[^｜]+""),tc_mst!$A:$A,tc_mst!$D:$D),0),
  IF($B24=0,
   IFERROR(XLOOKUP(REGEXEXTRACT($I24,""^[^｜]"&amp;"+""),ms_mst!$A:$A,ms_mst!$D:$D),0),
   IFERROR(XLOOKUP(""T""&amp;($B24-1)&amp;""_""&amp;$D24,$A:$A,$O:$O),0)
  )
  +IFERROR(XLOOKUP(REGEXEXTRACT($J24,""^[^｜]+""),tr_mst!$A:$A,tr_mst!$D:$D),0)
  +IFERROR(XLOOKUP(REGEXEXTRACT($K24,""^[^｜]+""),tc_mst!$A:$A,tc_mst!$D:$D)"&amp;",0)
  +
  (
   IFERROR(XLOOKUP(REGEXEXTRACT($M24,""^[^｜]+""),ac_mst!$A:$A,ac_mst!$G:$G),0)
   +IFERROR(XLOOKUP(REGEXEXTRACT($N24,""^[^｜]+""),ac_mst!$A:$A,ac_mst!$G:$G),0)
   +IFERROR(
    XLOOKUP(
     IF(
      OR(
       IFERROR(REGEXEXTRACT($M24,""^[^｜"&amp;"]+""),"""")="""",
       IFERROR(REGEXEXTRACT($N24,""^[^｜]+""),"""")=""""
      ),
      """",
      IF(
       IFERROR(REGEXEXTRACT($M24,""^[^｜]+""),"""")&lt;IFERROR(REGEXEXTRACT($N24,""^[^｜]+""),""""),
       IFERROR(REGEXEXTRACT($M24,""^[^｜]+""),"""")&amp;""_"&amp;"""&amp;IFERROR(REGEXEXTRACT($N24,""^[^｜]+""),""""),
       IFERROR(REGEXEXTRACT($N24,""^[^｜]+""),"""")&amp;""_""&amp;IFERROR(REGEXEXTRACT($M24,""^[^｜]+""),"""")
      )
     ),
     sy_mst!$A:$A,
     sy_mst!$D:$D
    ),
    0
   )
  )
  *
  IFERROR(XLOOKUP(REGEXEXTR"&amp;"ACT($I24,""^[^｜]+""),ms_mst!$A:$A,ms_mst!$L:$L),1)
  *
  IF(
   $B24&gt;=IFERROR(XLOOKUP(REGEXEXTRACT($L24,""^[^｜]+""),sk_mst!$A:$A,sk_mst!$M:$M),999),
   IFERROR(XLOOKUP(REGEXEXTRACT($L24,""^[^｜]+""),sk_mst!$A:$A,sk_mst!$F:$F),1),
   1
  )
 )
)"),1200.0)</f>
        <v>1200</v>
      </c>
      <c r="P24" s="25">
        <f>IFERROR(__xludf.DUMMYFUNCTION("IF($A24="""","""",
 IF($F24=""market"",
  IFERROR(XLOOKUP(REGEXEXTRACT($J24,""^[^｜]+""),tr_mst!$A:$A,tr_mst!$E:$E),0)
  +IFERROR(XLOOKUP(REGEXEXTRACT($K24,""^[^｜]+""),tc_mst!$A:$A,tc_mst!$E:$E),0),
  IF($B24=0,
   IFERROR(XLOOKUP(REGEXEXTRACT($I24,""^[^｜]"&amp;"+""),ms_mst!$A:$A,ms_mst!$E:$E),0),
   IFERROR(XLOOKUP(""T""&amp;($B24-1)&amp;""_""&amp;$D24,$A:$A,$P:$P),0)
  )
  +IFERROR(XLOOKUP(REGEXEXTRACT($J24,""^[^｜]+""),tr_mst!$A:$A,tr_mst!$E:$E),0)
  +IFERROR(XLOOKUP(REGEXEXTRACT($K24,""^[^｜]+""),tc_mst!$A:$A,tc_mst!$E:$E)"&amp;",0)
  +
  (
   IFERROR(XLOOKUP(REGEXEXTRACT($M24,""^[^｜]+""),ac_mst!$A:$A,ac_mst!$H:$H),0)
   +IFERROR(XLOOKUP(REGEXEXTRACT($N24,""^[^｜]+""),ac_mst!$A:$A,ac_mst!$H:$H),0)
   +IFERROR(
    XLOOKUP(
     IF(
      OR(
       IFERROR(REGEXEXTRACT($M24,""^[^｜"&amp;"]+""),"""")="""",
       IFERROR(REGEXEXTRACT($N24,""^[^｜]+""),"""")=""""
      ),
      """",
      IF(
       IFERROR(REGEXEXTRACT($M24,""^[^｜]+""),"""")&lt;IFERROR(REGEXEXTRACT($N24,""^[^｜]+""),""""),
       IFERROR(REGEXEXTRACT($M24,""^[^｜]+""),"""")&amp;""_"&amp;"""&amp;IFERROR(REGEXEXTRACT($N24,""^[^｜]+""),""""),
       IFERROR(REGEXEXTRACT($N24,""^[^｜]+""),"""")&amp;""_""&amp;IFERROR(REGEXEXTRACT($M24,""^[^｜]+""),"""")
      )
     ),
     sy_mst!$A:$A,
     sy_mst!$E:$E
    ),
    0
   )
  )
  *
  IFERROR(XLOOKUP(REGEXEXTR"&amp;"ACT($I24,""^[^｜]+""),ms_mst!$A:$A,ms_mst!$M:$M),1)
  *
  IF(
   $B24&gt;=IFERROR(XLOOKUP(REGEXEXTRACT($L24,""^[^｜]+""),sk_mst!$A:$A,sk_mst!$M:$M),999),
   IFERROR(XLOOKUP(REGEXEXTRACT($L24,""^[^｜]+""),sk_mst!$A:$A,sk_mst!$G:$G),1),
   1
  )
 )
)"),-200.0)</f>
        <v>-200</v>
      </c>
      <c r="Q24" s="25">
        <f>IFERROR(__xludf.DUMMYFUNCTION("IF($A24="""","""",
 IF($F24=""market"",
  IFERROR(XLOOKUP(REGEXEXTRACT($J24,""^[^｜]+""),tr_mst!$A:$A,tr_mst!$F:$F),0)
  +IFERROR(XLOOKUP(REGEXEXTRACT($K24,""^[^｜]+""),tc_mst!$A:$A,tc_mst!$F:$F),0),
  IF($B24=0,
   IFERROR(XLOOKUP(REGEXEXTRACT($I24,""^[^｜]"&amp;"+""),ms_mst!$A:$A,ms_mst!$F:$F),0),
   IFERROR(XLOOKUP(""T""&amp;($B24-1)&amp;""_""&amp;$D24,$A:$A,$Q:$Q),0)
  )
  +IFERROR(XLOOKUP(REGEXEXTRACT($J24,""^[^｜]+""),tr_mst!$A:$A,tr_mst!$F:$F),0)
  +IFERROR(XLOOKUP(REGEXEXTRACT($K24,""^[^｜]+""),tc_mst!$A:$A,tc_mst!$F:$F)"&amp;",0)
  +
  (
   IFERROR(XLOOKUP(REGEXEXTRACT($M24,""^[^｜]+""),ac_mst!$A:$A,ac_mst!$I:$I),0)
   +IFERROR(XLOOKUP(REGEXEXTRACT($N24,""^[^｜]+""),ac_mst!$A:$A,ac_mst!$I:$I),0)
   +IFERROR(
    XLOOKUP(
     IF(
      OR(
       IFERROR(REGEXEXTRACT($M24,""^[^｜"&amp;"]+""),"""")="""",
       IFERROR(REGEXEXTRACT($N24,""^[^｜]+""),"""")=""""
      ),
      """",
      IF(
       IFERROR(REGEXEXTRACT($M24,""^[^｜]+""),"""")&lt;IFERROR(REGEXEXTRACT($N24,""^[^｜]+""),""""),
       IFERROR(REGEXEXTRACT($M24,""^[^｜]+""),"""")&amp;""_"&amp;"""&amp;IFERROR(REGEXEXTRACT($N24,""^[^｜]+""),""""),
       IFERROR(REGEXEXTRACT($N24,""^[^｜]+""),"""")&amp;""_""&amp;IFERROR(REGEXEXTRACT($M24,""^[^｜]+""),"""")
      )
     ),
     sy_mst!$A:$A,
     sy_mst!$F:$F
    ),
    0
   )
  )
  *
  IFERROR(XLOOKUP(REGEXEXTR"&amp;"ACT($I24,""^[^｜]+""),ms_mst!$A:$A,ms_mst!$N:$N),1)
  *
  IF(
   $B24&gt;=IFERROR(XLOOKUP(REGEXEXTRACT($L24,""^[^｜]+""),sk_mst!$A:$A,sk_mst!$M:$M),999),
   IFERROR(XLOOKUP(REGEXEXTRACT($L24,""^[^｜]+""),sk_mst!$A:$A,sk_mst!$H:$H),1),
   1
  )
 )
)"),0.0)</f>
        <v>0</v>
      </c>
      <c r="R24" s="25">
        <f>IFERROR(__xludf.DUMMYFUNCTION("IF($A24="""","""",
 IF($F24=""market"",
  IFERROR(XLOOKUP(REGEXEXTRACT($J24,""^[^｜]+""),tr_mst!$A:$A,tr_mst!$G:$G),0)
  +IFERROR(XLOOKUP(REGEXEXTRACT($K24,""^[^｜]+""),tc_mst!$A:$A,tc_mst!$G:$G),0),
  IF($B24=0,
   IFERROR(XLOOKUP(REGEXEXTRACT($I24,""^[^｜]"&amp;"+""),ms_mst!$A:$A,ms_mst!$G:$G),0),
   IFERROR(XLOOKUP(""T""&amp;($B24-1)&amp;""_""&amp;$D24,$A:$A,$R:$R),0)
  )
  +IFERROR(XLOOKUP(REGEXEXTRACT($J24,""^[^｜]+""),tr_mst!$A:$A,tr_mst!$G:$G),0)
  +IFERROR(XLOOKUP(REGEXEXTRACT($K24,""^[^｜]+""),tc_mst!$A:$A,tc_mst!$G:$G)"&amp;",0)
  +
  (
   IFERROR(XLOOKUP(REGEXEXTRACT($M24,""^[^｜]+""),ac_mst!$A:$A,ac_mst!$J:$J),0)
   +IFERROR(XLOOKUP(REGEXEXTRACT($N24,""^[^｜]+""),ac_mst!$A:$A,ac_mst!$J:$J),0)
   +IFERROR(
    XLOOKUP(
     IF(
      OR(
       IFERROR(REGEXEXTRACT($M24,""^[^｜"&amp;"]+""),"""")="""",
       IFERROR(REGEXEXTRACT($N24,""^[^｜]+""),"""")=""""
      ),
      """",
      IF(
       IFERROR(REGEXEXTRACT($M24,""^[^｜]+""),"""")&lt;IFERROR(REGEXEXTRACT($N24,""^[^｜]+""),""""),
       IFERROR(REGEXEXTRACT($M24,""^[^｜]+""),"""")&amp;""_"&amp;"""&amp;IFERROR(REGEXEXTRACT($N24,""^[^｜]+""),""""),
       IFERROR(REGEXEXTRACT($N24,""^[^｜]+""),"""")&amp;""_""&amp;IFERROR(REGEXEXTRACT($M24,""^[^｜]+""),"""")
      )
     ),
     sy_mst!$A:$A,
     sy_mst!$G:$G
    ),
    0
   )
  )
  *
  IFERROR(XLOOKUP(REGEXEXTR"&amp;"ACT($I24,""^[^｜]+""),ms_mst!$A:$A,ms_mst!$O:$O),1)
  *
  IF(
   $B24&gt;=IFERROR(XLOOKUP(REGEXEXTRACT($L24,""^[^｜]+""),sk_mst!$A:$A,sk_mst!$M:$M),999),
   IFERROR(XLOOKUP(REGEXEXTRACT($L24,""^[^｜]+""),sk_mst!$A:$A,sk_mst!$I:$I),1),
   1
  )
 )
)"),0.0)</f>
        <v>0</v>
      </c>
      <c r="S24" s="25">
        <f>IFERROR(__xludf.DUMMYFUNCTION("IF($A24="""","""",
 IF($F24=""market"",
  IFERROR(XLOOKUP(REGEXEXTRACT($J24,""^[^｜]+""),tr_mst!$A:$A,tr_mst!$H:$H),0)
  +IFERROR(XLOOKUP(REGEXEXTRACT($K24,""^[^｜]+""),tc_mst!$A:$A,tc_mst!$H:$H),0),
  IF($B24=0,
   IFERROR(XLOOKUP(REGEXEXTRACT($I24,""^[^｜]"&amp;"+""),ms_mst!$A:$A,ms_mst!$H:$H),0),
   IFERROR(XLOOKUP(""T""&amp;($B24-1)&amp;""_""&amp;$D24,$A:$A,$S:$S),0)
  )
  +IFERROR(XLOOKUP(REGEXEXTRACT($J24,""^[^｜]+""),tr_mst!$A:$A,tr_mst!$H:$H),0)
  +IFERROR(XLOOKUP(REGEXEXTRACT($K24,""^[^｜]+""),tc_mst!$A:$A,tc_mst!$H:$H)"&amp;",0)
  +
  (
   IFERROR(XLOOKUP(REGEXEXTRACT($M24,""^[^｜]+""),ac_mst!$A:$A,ac_mst!$K:$K),0)
   +IFERROR(XLOOKUP(REGEXEXTRACT($N24,""^[^｜]+""),ac_mst!$A:$A,ac_mst!$K:$K),0)
   +IFERROR(
    XLOOKUP(
     IF(
      OR(
       IFERROR(REGEXEXTRACT($M24,""^[^｜"&amp;"]+""),"""")="""",
       IFERROR(REGEXEXTRACT($N24,""^[^｜]+""),"""")=""""
      ),
      """",
      IF(
       IFERROR(REGEXEXTRACT($M24,""^[^｜]+""),"""")&lt;IFERROR(REGEXEXTRACT($N24,""^[^｜]+""),""""),
       IFERROR(REGEXEXTRACT($M24,""^[^｜]+""),"""")&amp;""_"&amp;"""&amp;IFERROR(REGEXEXTRACT($N24,""^[^｜]+""),""""),
       IFERROR(REGEXEXTRACT($N24,""^[^｜]+""),"""")&amp;""_""&amp;IFERROR(REGEXEXTRACT($M24,""^[^｜]+""),"""")
      )
     ),
     sy_mst!$A:$A,
     sy_mst!$H:$H
    ),
    0
   )
  )
  *
  IFERROR(XLOOKUP(REGEXEXTR"&amp;"ACT($I24,""^[^｜]+""),ms_mst!$A:$A,ms_mst!$P:$P),1)
  *
  IF(
   $B24&gt;=IFERROR(XLOOKUP(REGEXEXTRACT($L24,""^[^｜]+""),sk_mst!$A:$A,sk_mst!$M:$M),999),
   IFERROR(XLOOKUP(REGEXEXTRACT($L24,""^[^｜]+""),sk_mst!$A:$A,sk_mst!$J:$J),1),
   1
  )
 )
)"),0.0)</f>
        <v>0</v>
      </c>
      <c r="T24" s="25">
        <f>IFERROR(__xludf.DUMMYFUNCTION("IF($A24="""","""",
 IF($F24=""market"",
  IFERROR(XLOOKUP(REGEXEXTRACT($J24,""^[^｜]+""),tr_mst!$A:$A,tr_mst!$I:$I),0)
  +IFERROR(XLOOKUP(REGEXEXTRACT($K24,""^[^｜]+""),tc_mst!$A:$A,tc_mst!$I:$I),0),
  IF($B24=0,
   IFERROR(XLOOKUP(REGEXEXTRACT($I24,""^[^｜]"&amp;"+""),ms_mst!$A:$A,ms_mst!$I:$I),0),
   IFERROR(XLOOKUP(""T""&amp;($B24-1)&amp;""_""&amp;$D24,$A:$A,$T:$T),0)
  )
  +IFERROR(XLOOKUP(REGEXEXTRACT($J24,""^[^｜]+""),tr_mst!$A:$A,tr_mst!$I:$I),0)
  +IFERROR(XLOOKUP(REGEXEXTRACT($K24,""^[^｜]+""),tc_mst!$A:$A,tc_mst!$I:$I)"&amp;",0)
  +
  (
   IFERROR(XLOOKUP(REGEXEXTRACT($M24,""^[^｜]+""),ac_mst!$A:$A,ac_mst!$L:$L),0)
   +IFERROR(XLOOKUP(REGEXEXTRACT($N24,""^[^｜]+""),ac_mst!$A:$A,ac_mst!$L:$L),0)
   +IFERROR(
    XLOOKUP(
     IF(
      OR(
       IFERROR(REGEXEXTRACT($M24,""^[^｜"&amp;"]+""),"""")="""",
       IFERROR(REGEXEXTRACT($N24,""^[^｜]+""),"""")=""""
      ),
      """",
      IF(
       IFERROR(REGEXEXTRACT($M24,""^[^｜]+""),"""")&lt;IFERROR(REGEXEXTRACT($N24,""^[^｜]+""),""""),
       IFERROR(REGEXEXTRACT($M24,""^[^｜]+""),"""")&amp;""_"&amp;"""&amp;IFERROR(REGEXEXTRACT($N24,""^[^｜]+""),""""),
       IFERROR(REGEXEXTRACT($N24,""^[^｜]+""),"""")&amp;""_""&amp;IFERROR(REGEXEXTRACT($M24,""^[^｜]+""),"""")
      )
     ),
     sy_mst!$A:$A,
     sy_mst!$I:$I
    ),
    0
   )
  )
  *
  IFERROR(XLOOKUP(REGEXEXTR"&amp;"ACT($I24,""^[^｜]+""),ms_mst!$A:$A,ms_mst!$Q:$Q),1)
  *
  IF(
   $B24&gt;=IFERROR(XLOOKUP(REGEXEXTRACT($L24,""^[^｜]+""),sk_mst!$A:$A,sk_mst!$M:$M),999),
   IFERROR(XLOOKUP(REGEXEXTRACT($L24,""^[^｜]+""),sk_mst!$A:$A,sk_mst!$K:$K),1),
   1
  )
 )
)"),0.0)</f>
        <v>0</v>
      </c>
      <c r="U24" s="25">
        <f>IFERROR(__xludf.DUMMYFUNCTION("IF($A24="""","""",
 IF($F24=""market"",
  IFERROR(XLOOKUP(REGEXEXTRACT($J24,""^[^｜]+""),tr_mst!$A:$A,tr_mst!$J:$J),0)
  +IFERROR(XLOOKUP(REGEXEXTRACT($K24,""^[^｜]+""),tc_mst!$A:$A,tc_mst!$J:$J),0),
  IF($B24=0,
   IFERROR(XLOOKUP(REGEXEXTRACT($I24,""^[^｜]"&amp;"+""),ms_mst!$A:$A,ms_mst!$J:$J),0),
   IFERROR(XLOOKUP(""T""&amp;($B24-1)&amp;""_""&amp;$D24,$A:$A,$U:$U),0)
  )
  +IFERROR(XLOOKUP(REGEXEXTRACT($J24,""^[^｜]+""),tr_mst!$A:$A,tr_mst!$J:$J),0)
  +IFERROR(XLOOKUP(REGEXEXTRACT($K24,""^[^｜]+""),tc_mst!$A:$A,tc_mst!$J:$J)"&amp;",0)
  +
  (
   IFERROR(XLOOKUP(REGEXEXTRACT($M24,""^[^｜]+""),ac_mst!$A:$A,ac_mst!$M:$M),0)
   +IFERROR(XLOOKUP(REGEXEXTRACT($N24,""^[^｜]+""),ac_mst!$A:$A,ac_mst!$M:$M),0)
   +IFERROR(
    XLOOKUP(
     IF(
      OR(
       IFERROR(REGEXEXTRACT($M24,""^[^｜"&amp;"]+""),"""")="""",
       IFERROR(REGEXEXTRACT($N24,""^[^｜]+""),"""")=""""
      ),
      """",
      IF(
       IFERROR(REGEXEXTRACT($M24,""^[^｜]+""),"""")&lt;IFERROR(REGEXEXTRACT($N24,""^[^｜]+""),""""),
       IFERROR(REGEXEXTRACT($M24,""^[^｜]+""),"""")&amp;""_"&amp;"""&amp;IFERROR(REGEXEXTRACT($N24,""^[^｜]+""),""""),
       IFERROR(REGEXEXTRACT($N24,""^[^｜]+""),"""")&amp;""_""&amp;IFERROR(REGEXEXTRACT($M24,""^[^｜]+""),"""")
      )
     ),
     sy_mst!$A:$A,
     sy_mst!$J:$J
    ),
    0
   )
  )
  *
  IFERROR(XLOOKUP(REGEXEXTR"&amp;"ACT($I24,""^[^｜]+""),ms_mst!$A:$A,ms_mst!$R:$R),1)
  *
  IF(
   $B24&gt;=IFERROR(XLOOKUP(REGEXEXTRACT($L24,""^[^｜]+""),sk_mst!$A:$A,sk_mst!$M:$M),999),
   IFERROR(XLOOKUP(REGEXEXTRACT($L24,""^[^｜]+""),sk_mst!$A:$A,sk_mst!$L:$L),1),
   1
  )
 )
)"),5.0)</f>
        <v>5</v>
      </c>
      <c r="V24" s="25">
        <f t="shared" si="1"/>
        <v>0</v>
      </c>
      <c r="W24" s="25">
        <f t="shared" si="2"/>
        <v>-1000</v>
      </c>
      <c r="X24" s="25">
        <f t="shared" si="3"/>
        <v>1000</v>
      </c>
      <c r="Y24" s="25">
        <f t="shared" si="4"/>
        <v>0</v>
      </c>
      <c r="Z24" s="25">
        <f>IFERROR(__xludf.DUMMYFUNCTION("IF($A24="""","""",
 IF($F24&lt;&gt;""player"","""",
  IFERROR(
   RANK(
    $X24,
    FILTER($X:$X,$B:$B=$B24,$F:$F=""player"",$X:$X&lt;&gt;""""),
    0
   ),
   """"
  )
 )
)"),8.0)</f>
        <v>8</v>
      </c>
      <c r="AA24" s="25" t="str">
        <f t="shared" si="5"/>
        <v>8位</v>
      </c>
      <c r="AB24" s="26">
        <f t="shared" si="6"/>
        <v>0</v>
      </c>
    </row>
    <row r="25">
      <c r="A25" s="14" t="s">
        <v>198</v>
      </c>
      <c r="B25" s="25">
        <v>1.0</v>
      </c>
      <c r="C25" s="14" t="s">
        <v>180</v>
      </c>
      <c r="D25" s="14" t="s">
        <v>181</v>
      </c>
      <c r="E25" s="25" t="s">
        <v>153</v>
      </c>
      <c r="F25" s="25" t="s">
        <v>154</v>
      </c>
      <c r="G25" s="25" t="str">
        <f>IFERROR(__xludf.DUMMYFUNCTION("IF($F25=""market"","""",IFERROR(FILTER(member_log!$B$10:$B947,member_log!$C$10:$C947=$C25,member_log!$D$10:$D947=$E25,member_log!$G$10:$G947=""active""),""""))"),"")</f>
        <v/>
      </c>
      <c r="H25" s="25" t="str">
        <f>IFERROR(__xludf.DUMMYFUNCTION("IF($F25=""market"","""",IFERROR(FILTER(member_log!$E$10:$E947,member_log!$C$10:$C947=$C25,member_log!$D$10:$D947=$E25,member_log!$G$10:$G947=""active""),""""))"),"")</f>
        <v/>
      </c>
      <c r="I25" s="25" t="str">
        <f>IFERROR(__xludf.DUMMYFUNCTION("IF($F25&lt;&gt;""player"","""",IFERROR(INDEX(FILTER(group_setup!$D$2:$D947,group_setup!$B$2:$B947=$C25,group_setup!$G$2:$G947=TRUE,group_setup!$H$2:$H947=""completed""),1),""""))"),"")</f>
        <v/>
      </c>
      <c r="J25" s="25" t="str">
        <f>IFERROR(__xludf.DUMMYFUNCTION("IFERROR(FILTER(market_event_log!$D$2:$D947,market_event_log!$C$2:$C947=$B25,market_event_log!$N$2:$N947=""active""),"""")"),"T01")</f>
        <v>T01</v>
      </c>
      <c r="K25" s="25" t="str">
        <f>IFERROR(__xludf.DUMMYFUNCTION("IFERROR(FILTER(market_event_log!$G$2:$G947,market_event_log!$C$2:$C947=$B25,market_event_log!$N$2:$N947=""active""),"""")"),"C01")</f>
        <v>C01</v>
      </c>
      <c r="L25" s="25" t="str">
        <f>IFERROR(__xludf.DUMMYFUNCTION("IF($F25&lt;&gt;""player"","""",IFERROR(INDEX(FILTER(group_setup!$E$2:$E947,group_setup!$B$2:$B947=$C25,group_setup!$G$2:$G947=TRUE,group_setup!$H$2:$H947=""completed""),1),""""))"),"")</f>
        <v/>
      </c>
      <c r="M25" s="25" t="str">
        <f>IFERROR(__xludf.DUMMYFUNCTION("IF($F25=""market"","""",IF($E25=""HUMAN"",IFERROR(FILTER(turn_log!$G$2:$G947,turn_log!$C$2:$C947=$B25,turn_log!$D$2:$D947=$C25,turn_log!$F$2:$F947=$E25),""""),IFERROR(FILTER(turn_log!$I$2:$I947,turn_log!$C$2:$C947=$B25,turn_log!$D$2:$D947=$C25,turn_log!$F"&amp;"$2:$F947=$E25),"""")))"),"")</f>
        <v/>
      </c>
      <c r="N25" s="25" t="str">
        <f>IFERROR(__xludf.DUMMYFUNCTION("IF($F25=""market"","""",IF($E25=""HUMAN"",IFERROR(FILTER(turn_log!$H$2:$H947,turn_log!$C$2:$C947=$B25,turn_log!$D$2:$D947=$C25,turn_log!$F$2:$F947=$E25),""""),IFERROR(FILTER(turn_log!$J$2:$J947,turn_log!$C$2:$C947=$B25,turn_log!$D$2:$D947=$C25,turn_log!$F"&amp;"$2:$F947=$E25),"""")))"),"")</f>
        <v/>
      </c>
      <c r="O25" s="25">
        <f>IFERROR(__xludf.DUMMYFUNCTION("IF($A25="""","""",
 IF($F25=""market"",
  IFERROR(XLOOKUP(REGEXEXTRACT($J25,""^[^｜]+""),tr_mst!$A:$A,tr_mst!$D:$D),0)
  +IFERROR(XLOOKUP(REGEXEXTRACT($K25,""^[^｜]+""),tc_mst!$A:$A,tc_mst!$D:$D),0),
  IF($B25=0,
   IFERROR(XLOOKUP(REGEXEXTRACT($I25,""^[^｜]"&amp;"+""),ms_mst!$A:$A,ms_mst!$D:$D),0),
   IFERROR(XLOOKUP(""T""&amp;($B25-1)&amp;""_""&amp;$D25,$A:$A,$O:$O),0)
  )
  +IFERROR(XLOOKUP(REGEXEXTRACT($J25,""^[^｜]+""),tr_mst!$A:$A,tr_mst!$D:$D),0)
  +IFERROR(XLOOKUP(REGEXEXTRACT($K25,""^[^｜]+""),tc_mst!$A:$A,tc_mst!$D:$D)"&amp;",0)
  +
  (
   IFERROR(XLOOKUP(REGEXEXTRACT($M25,""^[^｜]+""),ac_mst!$A:$A,ac_mst!$G:$G),0)
   +IFERROR(XLOOKUP(REGEXEXTRACT($N25,""^[^｜]+""),ac_mst!$A:$A,ac_mst!$G:$G),0)
   +IFERROR(
    XLOOKUP(
     IF(
      OR(
       IFERROR(REGEXEXTRACT($M25,""^[^｜"&amp;"]+""),"""")="""",
       IFERROR(REGEXEXTRACT($N25,""^[^｜]+""),"""")=""""
      ),
      """",
      IF(
       IFERROR(REGEXEXTRACT($M25,""^[^｜]+""),"""")&lt;IFERROR(REGEXEXTRACT($N25,""^[^｜]+""),""""),
       IFERROR(REGEXEXTRACT($M25,""^[^｜]+""),"""")&amp;""_"&amp;"""&amp;IFERROR(REGEXEXTRACT($N25,""^[^｜]+""),""""),
       IFERROR(REGEXEXTRACT($N25,""^[^｜]+""),"""")&amp;""_""&amp;IFERROR(REGEXEXTRACT($M25,""^[^｜]+""),"""")
      )
     ),
     sy_mst!$A:$A,
     sy_mst!$D:$D
    ),
    0
   )
  )
  *
  IFERROR(XLOOKUP(REGEXEXTR"&amp;"ACT($I25,""^[^｜]+""),ms_mst!$A:$A,ms_mst!$L:$L),1)
  *
  IF(
   $B25&gt;=IFERROR(XLOOKUP(REGEXEXTRACT($L25,""^[^｜]+""),sk_mst!$A:$A,sk_mst!$M:$M),999),
   IFERROR(XLOOKUP(REGEXEXTRACT($L25,""^[^｜]+""),sk_mst!$A:$A,sk_mst!$F:$F),1),
   1
  )
 )
)"),1200.0)</f>
        <v>1200</v>
      </c>
      <c r="P25" s="25">
        <f>IFERROR(__xludf.DUMMYFUNCTION("IF($A25="""","""",
 IF($F25=""market"",
  IFERROR(XLOOKUP(REGEXEXTRACT($J25,""^[^｜]+""),tr_mst!$A:$A,tr_mst!$E:$E),0)
  +IFERROR(XLOOKUP(REGEXEXTRACT($K25,""^[^｜]+""),tc_mst!$A:$A,tc_mst!$E:$E),0),
  IF($B25=0,
   IFERROR(XLOOKUP(REGEXEXTRACT($I25,""^[^｜]"&amp;"+""),ms_mst!$A:$A,ms_mst!$E:$E),0),
   IFERROR(XLOOKUP(""T""&amp;($B25-1)&amp;""_""&amp;$D25,$A:$A,$P:$P),0)
  )
  +IFERROR(XLOOKUP(REGEXEXTRACT($J25,""^[^｜]+""),tr_mst!$A:$A,tr_mst!$E:$E),0)
  +IFERROR(XLOOKUP(REGEXEXTRACT($K25,""^[^｜]+""),tc_mst!$A:$A,tc_mst!$E:$E)"&amp;",0)
  +
  (
   IFERROR(XLOOKUP(REGEXEXTRACT($M25,""^[^｜]+""),ac_mst!$A:$A,ac_mst!$H:$H),0)
   +IFERROR(XLOOKUP(REGEXEXTRACT($N25,""^[^｜]+""),ac_mst!$A:$A,ac_mst!$H:$H),0)
   +IFERROR(
    XLOOKUP(
     IF(
      OR(
       IFERROR(REGEXEXTRACT($M25,""^[^｜"&amp;"]+""),"""")="""",
       IFERROR(REGEXEXTRACT($N25,""^[^｜]+""),"""")=""""
      ),
      """",
      IF(
       IFERROR(REGEXEXTRACT($M25,""^[^｜]+""),"""")&lt;IFERROR(REGEXEXTRACT($N25,""^[^｜]+""),""""),
       IFERROR(REGEXEXTRACT($M25,""^[^｜]+""),"""")&amp;""_"&amp;"""&amp;IFERROR(REGEXEXTRACT($N25,""^[^｜]+""),""""),
       IFERROR(REGEXEXTRACT($N25,""^[^｜]+""),"""")&amp;""_""&amp;IFERROR(REGEXEXTRACT($M25,""^[^｜]+""),"""")
      )
     ),
     sy_mst!$A:$A,
     sy_mst!$E:$E
    ),
    0
   )
  )
  *
  IFERROR(XLOOKUP(REGEXEXTR"&amp;"ACT($I25,""^[^｜]+""),ms_mst!$A:$A,ms_mst!$M:$M),1)
  *
  IF(
   $B25&gt;=IFERROR(XLOOKUP(REGEXEXTRACT($L25,""^[^｜]+""),sk_mst!$A:$A,sk_mst!$M:$M),999),
   IFERROR(XLOOKUP(REGEXEXTRACT($L25,""^[^｜]+""),sk_mst!$A:$A,sk_mst!$G:$G),1),
   1
  )
 )
)"),-200.0)</f>
        <v>-200</v>
      </c>
      <c r="Q25" s="25">
        <f>IFERROR(__xludf.DUMMYFUNCTION("IF($A25="""","""",
 IF($F25=""market"",
  IFERROR(XLOOKUP(REGEXEXTRACT($J25,""^[^｜]+""),tr_mst!$A:$A,tr_mst!$F:$F),0)
  +IFERROR(XLOOKUP(REGEXEXTRACT($K25,""^[^｜]+""),tc_mst!$A:$A,tc_mst!$F:$F),0),
  IF($B25=0,
   IFERROR(XLOOKUP(REGEXEXTRACT($I25,""^[^｜]"&amp;"+""),ms_mst!$A:$A,ms_mst!$F:$F),0),
   IFERROR(XLOOKUP(""T""&amp;($B25-1)&amp;""_""&amp;$D25,$A:$A,$Q:$Q),0)
  )
  +IFERROR(XLOOKUP(REGEXEXTRACT($J25,""^[^｜]+""),tr_mst!$A:$A,tr_mst!$F:$F),0)
  +IFERROR(XLOOKUP(REGEXEXTRACT($K25,""^[^｜]+""),tc_mst!$A:$A,tc_mst!$F:$F)"&amp;",0)
  +
  (
   IFERROR(XLOOKUP(REGEXEXTRACT($M25,""^[^｜]+""),ac_mst!$A:$A,ac_mst!$I:$I),0)
   +IFERROR(XLOOKUP(REGEXEXTRACT($N25,""^[^｜]+""),ac_mst!$A:$A,ac_mst!$I:$I),0)
   +IFERROR(
    XLOOKUP(
     IF(
      OR(
       IFERROR(REGEXEXTRACT($M25,""^[^｜"&amp;"]+""),"""")="""",
       IFERROR(REGEXEXTRACT($N25,""^[^｜]+""),"""")=""""
      ),
      """",
      IF(
       IFERROR(REGEXEXTRACT($M25,""^[^｜]+""),"""")&lt;IFERROR(REGEXEXTRACT($N25,""^[^｜]+""),""""),
       IFERROR(REGEXEXTRACT($M25,""^[^｜]+""),"""")&amp;""_"&amp;"""&amp;IFERROR(REGEXEXTRACT($N25,""^[^｜]+""),""""),
       IFERROR(REGEXEXTRACT($N25,""^[^｜]+""),"""")&amp;""_""&amp;IFERROR(REGEXEXTRACT($M25,""^[^｜]+""),"""")
      )
     ),
     sy_mst!$A:$A,
     sy_mst!$F:$F
    ),
    0
   )
  )
  *
  IFERROR(XLOOKUP(REGEXEXTR"&amp;"ACT($I25,""^[^｜]+""),ms_mst!$A:$A,ms_mst!$N:$N),1)
  *
  IF(
   $B25&gt;=IFERROR(XLOOKUP(REGEXEXTRACT($L25,""^[^｜]+""),sk_mst!$A:$A,sk_mst!$M:$M),999),
   IFERROR(XLOOKUP(REGEXEXTRACT($L25,""^[^｜]+""),sk_mst!$A:$A,sk_mst!$H:$H),1),
   1
  )
 )
)"),0.0)</f>
        <v>0</v>
      </c>
      <c r="R25" s="25">
        <f>IFERROR(__xludf.DUMMYFUNCTION("IF($A25="""","""",
 IF($F25=""market"",
  IFERROR(XLOOKUP(REGEXEXTRACT($J25,""^[^｜]+""),tr_mst!$A:$A,tr_mst!$G:$G),0)
  +IFERROR(XLOOKUP(REGEXEXTRACT($K25,""^[^｜]+""),tc_mst!$A:$A,tc_mst!$G:$G),0),
  IF($B25=0,
   IFERROR(XLOOKUP(REGEXEXTRACT($I25,""^[^｜]"&amp;"+""),ms_mst!$A:$A,ms_mst!$G:$G),0),
   IFERROR(XLOOKUP(""T""&amp;($B25-1)&amp;""_""&amp;$D25,$A:$A,$R:$R),0)
  )
  +IFERROR(XLOOKUP(REGEXEXTRACT($J25,""^[^｜]+""),tr_mst!$A:$A,tr_mst!$G:$G),0)
  +IFERROR(XLOOKUP(REGEXEXTRACT($K25,""^[^｜]+""),tc_mst!$A:$A,tc_mst!$G:$G)"&amp;",0)
  +
  (
   IFERROR(XLOOKUP(REGEXEXTRACT($M25,""^[^｜]+""),ac_mst!$A:$A,ac_mst!$J:$J),0)
   +IFERROR(XLOOKUP(REGEXEXTRACT($N25,""^[^｜]+""),ac_mst!$A:$A,ac_mst!$J:$J),0)
   +IFERROR(
    XLOOKUP(
     IF(
      OR(
       IFERROR(REGEXEXTRACT($M25,""^[^｜"&amp;"]+""),"""")="""",
       IFERROR(REGEXEXTRACT($N25,""^[^｜]+""),"""")=""""
      ),
      """",
      IF(
       IFERROR(REGEXEXTRACT($M25,""^[^｜]+""),"""")&lt;IFERROR(REGEXEXTRACT($N25,""^[^｜]+""),""""),
       IFERROR(REGEXEXTRACT($M25,""^[^｜]+""),"""")&amp;""_"&amp;"""&amp;IFERROR(REGEXEXTRACT($N25,""^[^｜]+""),""""),
       IFERROR(REGEXEXTRACT($N25,""^[^｜]+""),"""")&amp;""_""&amp;IFERROR(REGEXEXTRACT($M25,""^[^｜]+""),"""")
      )
     ),
     sy_mst!$A:$A,
     sy_mst!$G:$G
    ),
    0
   )
  )
  *
  IFERROR(XLOOKUP(REGEXEXTR"&amp;"ACT($I25,""^[^｜]+""),ms_mst!$A:$A,ms_mst!$O:$O),1)
  *
  IF(
   $B25&gt;=IFERROR(XLOOKUP(REGEXEXTRACT($L25,""^[^｜]+""),sk_mst!$A:$A,sk_mst!$M:$M),999),
   IFERROR(XLOOKUP(REGEXEXTRACT($L25,""^[^｜]+""),sk_mst!$A:$A,sk_mst!$I:$I),1),
   1
  )
 )
)"),0.0)</f>
        <v>0</v>
      </c>
      <c r="S25" s="25">
        <f>IFERROR(__xludf.DUMMYFUNCTION("IF($A25="""","""",
 IF($F25=""market"",
  IFERROR(XLOOKUP(REGEXEXTRACT($J25,""^[^｜]+""),tr_mst!$A:$A,tr_mst!$H:$H),0)
  +IFERROR(XLOOKUP(REGEXEXTRACT($K25,""^[^｜]+""),tc_mst!$A:$A,tc_mst!$H:$H),0),
  IF($B25=0,
   IFERROR(XLOOKUP(REGEXEXTRACT($I25,""^[^｜]"&amp;"+""),ms_mst!$A:$A,ms_mst!$H:$H),0),
   IFERROR(XLOOKUP(""T""&amp;($B25-1)&amp;""_""&amp;$D25,$A:$A,$S:$S),0)
  )
  +IFERROR(XLOOKUP(REGEXEXTRACT($J25,""^[^｜]+""),tr_mst!$A:$A,tr_mst!$H:$H),0)
  +IFERROR(XLOOKUP(REGEXEXTRACT($K25,""^[^｜]+""),tc_mst!$A:$A,tc_mst!$H:$H)"&amp;",0)
  +
  (
   IFERROR(XLOOKUP(REGEXEXTRACT($M25,""^[^｜]+""),ac_mst!$A:$A,ac_mst!$K:$K),0)
   +IFERROR(XLOOKUP(REGEXEXTRACT($N25,""^[^｜]+""),ac_mst!$A:$A,ac_mst!$K:$K),0)
   +IFERROR(
    XLOOKUP(
     IF(
      OR(
       IFERROR(REGEXEXTRACT($M25,""^[^｜"&amp;"]+""),"""")="""",
       IFERROR(REGEXEXTRACT($N25,""^[^｜]+""),"""")=""""
      ),
      """",
      IF(
       IFERROR(REGEXEXTRACT($M25,""^[^｜]+""),"""")&lt;IFERROR(REGEXEXTRACT($N25,""^[^｜]+""),""""),
       IFERROR(REGEXEXTRACT($M25,""^[^｜]+""),"""")&amp;""_"&amp;"""&amp;IFERROR(REGEXEXTRACT($N25,""^[^｜]+""),""""),
       IFERROR(REGEXEXTRACT($N25,""^[^｜]+""),"""")&amp;""_""&amp;IFERROR(REGEXEXTRACT($M25,""^[^｜]+""),"""")
      )
     ),
     sy_mst!$A:$A,
     sy_mst!$H:$H
    ),
    0
   )
  )
  *
  IFERROR(XLOOKUP(REGEXEXTR"&amp;"ACT($I25,""^[^｜]+""),ms_mst!$A:$A,ms_mst!$P:$P),1)
  *
  IF(
   $B25&gt;=IFERROR(XLOOKUP(REGEXEXTRACT($L25,""^[^｜]+""),sk_mst!$A:$A,sk_mst!$M:$M),999),
   IFERROR(XLOOKUP(REGEXEXTRACT($L25,""^[^｜]+""),sk_mst!$A:$A,sk_mst!$J:$J),1),
   1
  )
 )
)"),0.0)</f>
        <v>0</v>
      </c>
      <c r="T25" s="25">
        <f>IFERROR(__xludf.DUMMYFUNCTION("IF($A25="""","""",
 IF($F25=""market"",
  IFERROR(XLOOKUP(REGEXEXTRACT($J25,""^[^｜]+""),tr_mst!$A:$A,tr_mst!$I:$I),0)
  +IFERROR(XLOOKUP(REGEXEXTRACT($K25,""^[^｜]+""),tc_mst!$A:$A,tc_mst!$I:$I),0),
  IF($B25=0,
   IFERROR(XLOOKUP(REGEXEXTRACT($I25,""^[^｜]"&amp;"+""),ms_mst!$A:$A,ms_mst!$I:$I),0),
   IFERROR(XLOOKUP(""T""&amp;($B25-1)&amp;""_""&amp;$D25,$A:$A,$T:$T),0)
  )
  +IFERROR(XLOOKUP(REGEXEXTRACT($J25,""^[^｜]+""),tr_mst!$A:$A,tr_mst!$I:$I),0)
  +IFERROR(XLOOKUP(REGEXEXTRACT($K25,""^[^｜]+""),tc_mst!$A:$A,tc_mst!$I:$I)"&amp;",0)
  +
  (
   IFERROR(XLOOKUP(REGEXEXTRACT($M25,""^[^｜]+""),ac_mst!$A:$A,ac_mst!$L:$L),0)
   +IFERROR(XLOOKUP(REGEXEXTRACT($N25,""^[^｜]+""),ac_mst!$A:$A,ac_mst!$L:$L),0)
   +IFERROR(
    XLOOKUP(
     IF(
      OR(
       IFERROR(REGEXEXTRACT($M25,""^[^｜"&amp;"]+""),"""")="""",
       IFERROR(REGEXEXTRACT($N25,""^[^｜]+""),"""")=""""
      ),
      """",
      IF(
       IFERROR(REGEXEXTRACT($M25,""^[^｜]+""),"""")&lt;IFERROR(REGEXEXTRACT($N25,""^[^｜]+""),""""),
       IFERROR(REGEXEXTRACT($M25,""^[^｜]+""),"""")&amp;""_"&amp;"""&amp;IFERROR(REGEXEXTRACT($N25,""^[^｜]+""),""""),
       IFERROR(REGEXEXTRACT($N25,""^[^｜]+""),"""")&amp;""_""&amp;IFERROR(REGEXEXTRACT($M25,""^[^｜]+""),"""")
      )
     ),
     sy_mst!$A:$A,
     sy_mst!$I:$I
    ),
    0
   )
  )
  *
  IFERROR(XLOOKUP(REGEXEXTR"&amp;"ACT($I25,""^[^｜]+""),ms_mst!$A:$A,ms_mst!$Q:$Q),1)
  *
  IF(
   $B25&gt;=IFERROR(XLOOKUP(REGEXEXTRACT($L25,""^[^｜]+""),sk_mst!$A:$A,sk_mst!$M:$M),999),
   IFERROR(XLOOKUP(REGEXEXTRACT($L25,""^[^｜]+""),sk_mst!$A:$A,sk_mst!$K:$K),1),
   1
  )
 )
)"),0.0)</f>
        <v>0</v>
      </c>
      <c r="U25" s="25">
        <f>IFERROR(__xludf.DUMMYFUNCTION("IF($A25="""","""",
 IF($F25=""market"",
  IFERROR(XLOOKUP(REGEXEXTRACT($J25,""^[^｜]+""),tr_mst!$A:$A,tr_mst!$J:$J),0)
  +IFERROR(XLOOKUP(REGEXEXTRACT($K25,""^[^｜]+""),tc_mst!$A:$A,tc_mst!$J:$J),0),
  IF($B25=0,
   IFERROR(XLOOKUP(REGEXEXTRACT($I25,""^[^｜]"&amp;"+""),ms_mst!$A:$A,ms_mst!$J:$J),0),
   IFERROR(XLOOKUP(""T""&amp;($B25-1)&amp;""_""&amp;$D25,$A:$A,$U:$U),0)
  )
  +IFERROR(XLOOKUP(REGEXEXTRACT($J25,""^[^｜]+""),tr_mst!$A:$A,tr_mst!$J:$J),0)
  +IFERROR(XLOOKUP(REGEXEXTRACT($K25,""^[^｜]+""),tc_mst!$A:$A,tc_mst!$J:$J)"&amp;",0)
  +
  (
   IFERROR(XLOOKUP(REGEXEXTRACT($M25,""^[^｜]+""),ac_mst!$A:$A,ac_mst!$M:$M),0)
   +IFERROR(XLOOKUP(REGEXEXTRACT($N25,""^[^｜]+""),ac_mst!$A:$A,ac_mst!$M:$M),0)
   +IFERROR(
    XLOOKUP(
     IF(
      OR(
       IFERROR(REGEXEXTRACT($M25,""^[^｜"&amp;"]+""),"""")="""",
       IFERROR(REGEXEXTRACT($N25,""^[^｜]+""),"""")=""""
      ),
      """",
      IF(
       IFERROR(REGEXEXTRACT($M25,""^[^｜]+""),"""")&lt;IFERROR(REGEXEXTRACT($N25,""^[^｜]+""),""""),
       IFERROR(REGEXEXTRACT($M25,""^[^｜]+""),"""")&amp;""_"&amp;"""&amp;IFERROR(REGEXEXTRACT($N25,""^[^｜]+""),""""),
       IFERROR(REGEXEXTRACT($N25,""^[^｜]+""),"""")&amp;""_""&amp;IFERROR(REGEXEXTRACT($M25,""^[^｜]+""),"""")
      )
     ),
     sy_mst!$A:$A,
     sy_mst!$J:$J
    ),
    0
   )
  )
  *
  IFERROR(XLOOKUP(REGEXEXTR"&amp;"ACT($I25,""^[^｜]+""),ms_mst!$A:$A,ms_mst!$R:$R),1)
  *
  IF(
   $B25&gt;=IFERROR(XLOOKUP(REGEXEXTRACT($L25,""^[^｜]+""),sk_mst!$A:$A,sk_mst!$M:$M),999),
   IFERROR(XLOOKUP(REGEXEXTRACT($L25,""^[^｜]+""),sk_mst!$A:$A,sk_mst!$L:$L),1),
   1
  )
 )
)"),5.0)</f>
        <v>5</v>
      </c>
      <c r="V25" s="25">
        <f t="shared" si="1"/>
        <v>0</v>
      </c>
      <c r="W25" s="25">
        <f t="shared" si="2"/>
        <v>-1000</v>
      </c>
      <c r="X25" s="25">
        <f t="shared" si="3"/>
        <v>1000</v>
      </c>
      <c r="Y25" s="25">
        <f t="shared" si="4"/>
        <v>0</v>
      </c>
      <c r="Z25" s="25">
        <f>IFERROR(__xludf.DUMMYFUNCTION("IF($A25="""","""",
 IF($F25&lt;&gt;""player"","""",
  IFERROR(
   RANK(
    $X25,
    FILTER($X:$X,$B:$B=$B25,$F:$F=""player"",$X:$X&lt;&gt;""""),
    0
   ),
   """"
  )
 )
)"),8.0)</f>
        <v>8</v>
      </c>
      <c r="AA25" s="25" t="str">
        <f t="shared" si="5"/>
        <v>8位</v>
      </c>
      <c r="AB25" s="26">
        <f t="shared" si="6"/>
        <v>0</v>
      </c>
    </row>
    <row r="26">
      <c r="A26" s="14" t="s">
        <v>199</v>
      </c>
      <c r="B26" s="25">
        <v>1.0</v>
      </c>
      <c r="C26" s="14" t="s">
        <v>183</v>
      </c>
      <c r="D26" s="14" t="s">
        <v>184</v>
      </c>
      <c r="E26" s="25" t="s">
        <v>153</v>
      </c>
      <c r="F26" s="25" t="s">
        <v>154</v>
      </c>
      <c r="G26" s="25" t="str">
        <f>IFERROR(__xludf.DUMMYFUNCTION("IF($F26=""market"","""",IFERROR(FILTER(member_log!$B$10:$B947,member_log!$C$10:$C947=$C26,member_log!$D$10:$D947=$E26,member_log!$G$10:$G947=""active""),""""))"),"")</f>
        <v/>
      </c>
      <c r="H26" s="25" t="str">
        <f>IFERROR(__xludf.DUMMYFUNCTION("IF($F26=""market"","""",IFERROR(FILTER(member_log!$E$10:$E947,member_log!$C$10:$C947=$C26,member_log!$D$10:$D947=$E26,member_log!$G$10:$G947=""active""),""""))"),"")</f>
        <v/>
      </c>
      <c r="I26" s="25" t="str">
        <f>IFERROR(__xludf.DUMMYFUNCTION("IF($F26&lt;&gt;""player"","""",IFERROR(INDEX(FILTER(group_setup!$D$2:$D947,group_setup!$B$2:$B947=$C26,group_setup!$G$2:$G947=TRUE,group_setup!$H$2:$H947=""completed""),1),""""))"),"")</f>
        <v/>
      </c>
      <c r="J26" s="25" t="str">
        <f>IFERROR(__xludf.DUMMYFUNCTION("IFERROR(FILTER(market_event_log!$D$2:$D947,market_event_log!$C$2:$C947=$B26,market_event_log!$N$2:$N947=""active""),"""")"),"T01")</f>
        <v>T01</v>
      </c>
      <c r="K26" s="25" t="str">
        <f>IFERROR(__xludf.DUMMYFUNCTION("IFERROR(FILTER(market_event_log!$G$2:$G947,market_event_log!$C$2:$C947=$B26,market_event_log!$N$2:$N947=""active""),"""")"),"C01")</f>
        <v>C01</v>
      </c>
      <c r="L26" s="25" t="str">
        <f>IFERROR(__xludf.DUMMYFUNCTION("IF($F26&lt;&gt;""player"","""",IFERROR(INDEX(FILTER(group_setup!$E$2:$E947,group_setup!$B$2:$B947=$C26,group_setup!$G$2:$G947=TRUE,group_setup!$H$2:$H947=""completed""),1),""""))"),"")</f>
        <v/>
      </c>
      <c r="M26" s="25" t="str">
        <f>IFERROR(__xludf.DUMMYFUNCTION("IF($F26=""market"","""",IF($E26=""HUMAN"",IFERROR(FILTER(turn_log!$G$2:$G947,turn_log!$C$2:$C947=$B26,turn_log!$D$2:$D947=$C26,turn_log!$F$2:$F947=$E26),""""),IFERROR(FILTER(turn_log!$I$2:$I947,turn_log!$C$2:$C947=$B26,turn_log!$D$2:$D947=$C26,turn_log!$F"&amp;"$2:$F947=$E26),"""")))"),"")</f>
        <v/>
      </c>
      <c r="N26" s="25" t="str">
        <f>IFERROR(__xludf.DUMMYFUNCTION("IF($F26=""market"","""",IF($E26=""HUMAN"",IFERROR(FILTER(turn_log!$H$2:$H947,turn_log!$C$2:$C947=$B26,turn_log!$D$2:$D947=$C26,turn_log!$F$2:$F947=$E26),""""),IFERROR(FILTER(turn_log!$J$2:$J947,turn_log!$C$2:$C947=$B26,turn_log!$D$2:$D947=$C26,turn_log!$F"&amp;"$2:$F947=$E26),"""")))"),"")</f>
        <v/>
      </c>
      <c r="O26" s="25">
        <f>IFERROR(__xludf.DUMMYFUNCTION("IF($A26="""","""",
 IF($F26=""market"",
  IFERROR(XLOOKUP(REGEXEXTRACT($J26,""^[^｜]+""),tr_mst!$A:$A,tr_mst!$D:$D),0)
  +IFERROR(XLOOKUP(REGEXEXTRACT($K26,""^[^｜]+""),tc_mst!$A:$A,tc_mst!$D:$D),0),
  IF($B26=0,
   IFERROR(XLOOKUP(REGEXEXTRACT($I26,""^[^｜]"&amp;"+""),ms_mst!$A:$A,ms_mst!$D:$D),0),
   IFERROR(XLOOKUP(""T""&amp;($B26-1)&amp;""_""&amp;$D26,$A:$A,$O:$O),0)
  )
  +IFERROR(XLOOKUP(REGEXEXTRACT($J26,""^[^｜]+""),tr_mst!$A:$A,tr_mst!$D:$D),0)
  +IFERROR(XLOOKUP(REGEXEXTRACT($K26,""^[^｜]+""),tc_mst!$A:$A,tc_mst!$D:$D)"&amp;",0)
  +
  (
   IFERROR(XLOOKUP(REGEXEXTRACT($M26,""^[^｜]+""),ac_mst!$A:$A,ac_mst!$G:$G),0)
   +IFERROR(XLOOKUP(REGEXEXTRACT($N26,""^[^｜]+""),ac_mst!$A:$A,ac_mst!$G:$G),0)
   +IFERROR(
    XLOOKUP(
     IF(
      OR(
       IFERROR(REGEXEXTRACT($M26,""^[^｜"&amp;"]+""),"""")="""",
       IFERROR(REGEXEXTRACT($N26,""^[^｜]+""),"""")=""""
      ),
      """",
      IF(
       IFERROR(REGEXEXTRACT($M26,""^[^｜]+""),"""")&lt;IFERROR(REGEXEXTRACT($N26,""^[^｜]+""),""""),
       IFERROR(REGEXEXTRACT($M26,""^[^｜]+""),"""")&amp;""_"&amp;"""&amp;IFERROR(REGEXEXTRACT($N26,""^[^｜]+""),""""),
       IFERROR(REGEXEXTRACT($N26,""^[^｜]+""),"""")&amp;""_""&amp;IFERROR(REGEXEXTRACT($M26,""^[^｜]+""),"""")
      )
     ),
     sy_mst!$A:$A,
     sy_mst!$D:$D
    ),
    0
   )
  )
  *
  IFERROR(XLOOKUP(REGEXEXTR"&amp;"ACT($I26,""^[^｜]+""),ms_mst!$A:$A,ms_mst!$L:$L),1)
  *
  IF(
   $B26&gt;=IFERROR(XLOOKUP(REGEXEXTRACT($L26,""^[^｜]+""),sk_mst!$A:$A,sk_mst!$M:$M),999),
   IFERROR(XLOOKUP(REGEXEXTRACT($L26,""^[^｜]+""),sk_mst!$A:$A,sk_mst!$F:$F),1),
   1
  )
 )
)"),1200.0)</f>
        <v>1200</v>
      </c>
      <c r="P26" s="25">
        <f>IFERROR(__xludf.DUMMYFUNCTION("IF($A26="""","""",
 IF($F26=""market"",
  IFERROR(XLOOKUP(REGEXEXTRACT($J26,""^[^｜]+""),tr_mst!$A:$A,tr_mst!$E:$E),0)
  +IFERROR(XLOOKUP(REGEXEXTRACT($K26,""^[^｜]+""),tc_mst!$A:$A,tc_mst!$E:$E),0),
  IF($B26=0,
   IFERROR(XLOOKUP(REGEXEXTRACT($I26,""^[^｜]"&amp;"+""),ms_mst!$A:$A,ms_mst!$E:$E),0),
   IFERROR(XLOOKUP(""T""&amp;($B26-1)&amp;""_""&amp;$D26,$A:$A,$P:$P),0)
  )
  +IFERROR(XLOOKUP(REGEXEXTRACT($J26,""^[^｜]+""),tr_mst!$A:$A,tr_mst!$E:$E),0)
  +IFERROR(XLOOKUP(REGEXEXTRACT($K26,""^[^｜]+""),tc_mst!$A:$A,tc_mst!$E:$E)"&amp;",0)
  +
  (
   IFERROR(XLOOKUP(REGEXEXTRACT($M26,""^[^｜]+""),ac_mst!$A:$A,ac_mst!$H:$H),0)
   +IFERROR(XLOOKUP(REGEXEXTRACT($N26,""^[^｜]+""),ac_mst!$A:$A,ac_mst!$H:$H),0)
   +IFERROR(
    XLOOKUP(
     IF(
      OR(
       IFERROR(REGEXEXTRACT($M26,""^[^｜"&amp;"]+""),"""")="""",
       IFERROR(REGEXEXTRACT($N26,""^[^｜]+""),"""")=""""
      ),
      """",
      IF(
       IFERROR(REGEXEXTRACT($M26,""^[^｜]+""),"""")&lt;IFERROR(REGEXEXTRACT($N26,""^[^｜]+""),""""),
       IFERROR(REGEXEXTRACT($M26,""^[^｜]+""),"""")&amp;""_"&amp;"""&amp;IFERROR(REGEXEXTRACT($N26,""^[^｜]+""),""""),
       IFERROR(REGEXEXTRACT($N26,""^[^｜]+""),"""")&amp;""_""&amp;IFERROR(REGEXEXTRACT($M26,""^[^｜]+""),"""")
      )
     ),
     sy_mst!$A:$A,
     sy_mst!$E:$E
    ),
    0
   )
  )
  *
  IFERROR(XLOOKUP(REGEXEXTR"&amp;"ACT($I26,""^[^｜]+""),ms_mst!$A:$A,ms_mst!$M:$M),1)
  *
  IF(
   $B26&gt;=IFERROR(XLOOKUP(REGEXEXTRACT($L26,""^[^｜]+""),sk_mst!$A:$A,sk_mst!$M:$M),999),
   IFERROR(XLOOKUP(REGEXEXTRACT($L26,""^[^｜]+""),sk_mst!$A:$A,sk_mst!$G:$G),1),
   1
  )
 )
)"),-200.0)</f>
        <v>-200</v>
      </c>
      <c r="Q26" s="25">
        <f>IFERROR(__xludf.DUMMYFUNCTION("IF($A26="""","""",
 IF($F26=""market"",
  IFERROR(XLOOKUP(REGEXEXTRACT($J26,""^[^｜]+""),tr_mst!$A:$A,tr_mst!$F:$F),0)
  +IFERROR(XLOOKUP(REGEXEXTRACT($K26,""^[^｜]+""),tc_mst!$A:$A,tc_mst!$F:$F),0),
  IF($B26=0,
   IFERROR(XLOOKUP(REGEXEXTRACT($I26,""^[^｜]"&amp;"+""),ms_mst!$A:$A,ms_mst!$F:$F),0),
   IFERROR(XLOOKUP(""T""&amp;($B26-1)&amp;""_""&amp;$D26,$A:$A,$Q:$Q),0)
  )
  +IFERROR(XLOOKUP(REGEXEXTRACT($J26,""^[^｜]+""),tr_mst!$A:$A,tr_mst!$F:$F),0)
  +IFERROR(XLOOKUP(REGEXEXTRACT($K26,""^[^｜]+""),tc_mst!$A:$A,tc_mst!$F:$F)"&amp;",0)
  +
  (
   IFERROR(XLOOKUP(REGEXEXTRACT($M26,""^[^｜]+""),ac_mst!$A:$A,ac_mst!$I:$I),0)
   +IFERROR(XLOOKUP(REGEXEXTRACT($N26,""^[^｜]+""),ac_mst!$A:$A,ac_mst!$I:$I),0)
   +IFERROR(
    XLOOKUP(
     IF(
      OR(
       IFERROR(REGEXEXTRACT($M26,""^[^｜"&amp;"]+""),"""")="""",
       IFERROR(REGEXEXTRACT($N26,""^[^｜]+""),"""")=""""
      ),
      """",
      IF(
       IFERROR(REGEXEXTRACT($M26,""^[^｜]+""),"""")&lt;IFERROR(REGEXEXTRACT($N26,""^[^｜]+""),""""),
       IFERROR(REGEXEXTRACT($M26,""^[^｜]+""),"""")&amp;""_"&amp;"""&amp;IFERROR(REGEXEXTRACT($N26,""^[^｜]+""),""""),
       IFERROR(REGEXEXTRACT($N26,""^[^｜]+""),"""")&amp;""_""&amp;IFERROR(REGEXEXTRACT($M26,""^[^｜]+""),"""")
      )
     ),
     sy_mst!$A:$A,
     sy_mst!$F:$F
    ),
    0
   )
  )
  *
  IFERROR(XLOOKUP(REGEXEXTR"&amp;"ACT($I26,""^[^｜]+""),ms_mst!$A:$A,ms_mst!$N:$N),1)
  *
  IF(
   $B26&gt;=IFERROR(XLOOKUP(REGEXEXTRACT($L26,""^[^｜]+""),sk_mst!$A:$A,sk_mst!$M:$M),999),
   IFERROR(XLOOKUP(REGEXEXTRACT($L26,""^[^｜]+""),sk_mst!$A:$A,sk_mst!$H:$H),1),
   1
  )
 )
)"),0.0)</f>
        <v>0</v>
      </c>
      <c r="R26" s="25">
        <f>IFERROR(__xludf.DUMMYFUNCTION("IF($A26="""","""",
 IF($F26=""market"",
  IFERROR(XLOOKUP(REGEXEXTRACT($J26,""^[^｜]+""),tr_mst!$A:$A,tr_mst!$G:$G),0)
  +IFERROR(XLOOKUP(REGEXEXTRACT($K26,""^[^｜]+""),tc_mst!$A:$A,tc_mst!$G:$G),0),
  IF($B26=0,
   IFERROR(XLOOKUP(REGEXEXTRACT($I26,""^[^｜]"&amp;"+""),ms_mst!$A:$A,ms_mst!$G:$G),0),
   IFERROR(XLOOKUP(""T""&amp;($B26-1)&amp;""_""&amp;$D26,$A:$A,$R:$R),0)
  )
  +IFERROR(XLOOKUP(REGEXEXTRACT($J26,""^[^｜]+""),tr_mst!$A:$A,tr_mst!$G:$G),0)
  +IFERROR(XLOOKUP(REGEXEXTRACT($K26,""^[^｜]+""),tc_mst!$A:$A,tc_mst!$G:$G)"&amp;",0)
  +
  (
   IFERROR(XLOOKUP(REGEXEXTRACT($M26,""^[^｜]+""),ac_mst!$A:$A,ac_mst!$J:$J),0)
   +IFERROR(XLOOKUP(REGEXEXTRACT($N26,""^[^｜]+""),ac_mst!$A:$A,ac_mst!$J:$J),0)
   +IFERROR(
    XLOOKUP(
     IF(
      OR(
       IFERROR(REGEXEXTRACT($M26,""^[^｜"&amp;"]+""),"""")="""",
       IFERROR(REGEXEXTRACT($N26,""^[^｜]+""),"""")=""""
      ),
      """",
      IF(
       IFERROR(REGEXEXTRACT($M26,""^[^｜]+""),"""")&lt;IFERROR(REGEXEXTRACT($N26,""^[^｜]+""),""""),
       IFERROR(REGEXEXTRACT($M26,""^[^｜]+""),"""")&amp;""_"&amp;"""&amp;IFERROR(REGEXEXTRACT($N26,""^[^｜]+""),""""),
       IFERROR(REGEXEXTRACT($N26,""^[^｜]+""),"""")&amp;""_""&amp;IFERROR(REGEXEXTRACT($M26,""^[^｜]+""),"""")
      )
     ),
     sy_mst!$A:$A,
     sy_mst!$G:$G
    ),
    0
   )
  )
  *
  IFERROR(XLOOKUP(REGEXEXTR"&amp;"ACT($I26,""^[^｜]+""),ms_mst!$A:$A,ms_mst!$O:$O),1)
  *
  IF(
   $B26&gt;=IFERROR(XLOOKUP(REGEXEXTRACT($L26,""^[^｜]+""),sk_mst!$A:$A,sk_mst!$M:$M),999),
   IFERROR(XLOOKUP(REGEXEXTRACT($L26,""^[^｜]+""),sk_mst!$A:$A,sk_mst!$I:$I),1),
   1
  )
 )
)"),0.0)</f>
        <v>0</v>
      </c>
      <c r="S26" s="25">
        <f>IFERROR(__xludf.DUMMYFUNCTION("IF($A26="""","""",
 IF($F26=""market"",
  IFERROR(XLOOKUP(REGEXEXTRACT($J26,""^[^｜]+""),tr_mst!$A:$A,tr_mst!$H:$H),0)
  +IFERROR(XLOOKUP(REGEXEXTRACT($K26,""^[^｜]+""),tc_mst!$A:$A,tc_mst!$H:$H),0),
  IF($B26=0,
   IFERROR(XLOOKUP(REGEXEXTRACT($I26,""^[^｜]"&amp;"+""),ms_mst!$A:$A,ms_mst!$H:$H),0),
   IFERROR(XLOOKUP(""T""&amp;($B26-1)&amp;""_""&amp;$D26,$A:$A,$S:$S),0)
  )
  +IFERROR(XLOOKUP(REGEXEXTRACT($J26,""^[^｜]+""),tr_mst!$A:$A,tr_mst!$H:$H),0)
  +IFERROR(XLOOKUP(REGEXEXTRACT($K26,""^[^｜]+""),tc_mst!$A:$A,tc_mst!$H:$H)"&amp;",0)
  +
  (
   IFERROR(XLOOKUP(REGEXEXTRACT($M26,""^[^｜]+""),ac_mst!$A:$A,ac_mst!$K:$K),0)
   +IFERROR(XLOOKUP(REGEXEXTRACT($N26,""^[^｜]+""),ac_mst!$A:$A,ac_mst!$K:$K),0)
   +IFERROR(
    XLOOKUP(
     IF(
      OR(
       IFERROR(REGEXEXTRACT($M26,""^[^｜"&amp;"]+""),"""")="""",
       IFERROR(REGEXEXTRACT($N26,""^[^｜]+""),"""")=""""
      ),
      """",
      IF(
       IFERROR(REGEXEXTRACT($M26,""^[^｜]+""),"""")&lt;IFERROR(REGEXEXTRACT($N26,""^[^｜]+""),""""),
       IFERROR(REGEXEXTRACT($M26,""^[^｜]+""),"""")&amp;""_"&amp;"""&amp;IFERROR(REGEXEXTRACT($N26,""^[^｜]+""),""""),
       IFERROR(REGEXEXTRACT($N26,""^[^｜]+""),"""")&amp;""_""&amp;IFERROR(REGEXEXTRACT($M26,""^[^｜]+""),"""")
      )
     ),
     sy_mst!$A:$A,
     sy_mst!$H:$H
    ),
    0
   )
  )
  *
  IFERROR(XLOOKUP(REGEXEXTR"&amp;"ACT($I26,""^[^｜]+""),ms_mst!$A:$A,ms_mst!$P:$P),1)
  *
  IF(
   $B26&gt;=IFERROR(XLOOKUP(REGEXEXTRACT($L26,""^[^｜]+""),sk_mst!$A:$A,sk_mst!$M:$M),999),
   IFERROR(XLOOKUP(REGEXEXTRACT($L26,""^[^｜]+""),sk_mst!$A:$A,sk_mst!$J:$J),1),
   1
  )
 )
)"),0.0)</f>
        <v>0</v>
      </c>
      <c r="T26" s="25">
        <f>IFERROR(__xludf.DUMMYFUNCTION("IF($A26="""","""",
 IF($F26=""market"",
  IFERROR(XLOOKUP(REGEXEXTRACT($J26,""^[^｜]+""),tr_mst!$A:$A,tr_mst!$I:$I),0)
  +IFERROR(XLOOKUP(REGEXEXTRACT($K26,""^[^｜]+""),tc_mst!$A:$A,tc_mst!$I:$I),0),
  IF($B26=0,
   IFERROR(XLOOKUP(REGEXEXTRACT($I26,""^[^｜]"&amp;"+""),ms_mst!$A:$A,ms_mst!$I:$I),0),
   IFERROR(XLOOKUP(""T""&amp;($B26-1)&amp;""_""&amp;$D26,$A:$A,$T:$T),0)
  )
  +IFERROR(XLOOKUP(REGEXEXTRACT($J26,""^[^｜]+""),tr_mst!$A:$A,tr_mst!$I:$I),0)
  +IFERROR(XLOOKUP(REGEXEXTRACT($K26,""^[^｜]+""),tc_mst!$A:$A,tc_mst!$I:$I)"&amp;",0)
  +
  (
   IFERROR(XLOOKUP(REGEXEXTRACT($M26,""^[^｜]+""),ac_mst!$A:$A,ac_mst!$L:$L),0)
   +IFERROR(XLOOKUP(REGEXEXTRACT($N26,""^[^｜]+""),ac_mst!$A:$A,ac_mst!$L:$L),0)
   +IFERROR(
    XLOOKUP(
     IF(
      OR(
       IFERROR(REGEXEXTRACT($M26,""^[^｜"&amp;"]+""),"""")="""",
       IFERROR(REGEXEXTRACT($N26,""^[^｜]+""),"""")=""""
      ),
      """",
      IF(
       IFERROR(REGEXEXTRACT($M26,""^[^｜]+""),"""")&lt;IFERROR(REGEXEXTRACT($N26,""^[^｜]+""),""""),
       IFERROR(REGEXEXTRACT($M26,""^[^｜]+""),"""")&amp;""_"&amp;"""&amp;IFERROR(REGEXEXTRACT($N26,""^[^｜]+""),""""),
       IFERROR(REGEXEXTRACT($N26,""^[^｜]+""),"""")&amp;""_""&amp;IFERROR(REGEXEXTRACT($M26,""^[^｜]+""),"""")
      )
     ),
     sy_mst!$A:$A,
     sy_mst!$I:$I
    ),
    0
   )
  )
  *
  IFERROR(XLOOKUP(REGEXEXTR"&amp;"ACT($I26,""^[^｜]+""),ms_mst!$A:$A,ms_mst!$Q:$Q),1)
  *
  IF(
   $B26&gt;=IFERROR(XLOOKUP(REGEXEXTRACT($L26,""^[^｜]+""),sk_mst!$A:$A,sk_mst!$M:$M),999),
   IFERROR(XLOOKUP(REGEXEXTRACT($L26,""^[^｜]+""),sk_mst!$A:$A,sk_mst!$K:$K),1),
   1
  )
 )
)"),0.0)</f>
        <v>0</v>
      </c>
      <c r="U26" s="25">
        <f>IFERROR(__xludf.DUMMYFUNCTION("IF($A26="""","""",
 IF($F26=""market"",
  IFERROR(XLOOKUP(REGEXEXTRACT($J26,""^[^｜]+""),tr_mst!$A:$A,tr_mst!$J:$J),0)
  +IFERROR(XLOOKUP(REGEXEXTRACT($K26,""^[^｜]+""),tc_mst!$A:$A,tc_mst!$J:$J),0),
  IF($B26=0,
   IFERROR(XLOOKUP(REGEXEXTRACT($I26,""^[^｜]"&amp;"+""),ms_mst!$A:$A,ms_mst!$J:$J),0),
   IFERROR(XLOOKUP(""T""&amp;($B26-1)&amp;""_""&amp;$D26,$A:$A,$U:$U),0)
  )
  +IFERROR(XLOOKUP(REGEXEXTRACT($J26,""^[^｜]+""),tr_mst!$A:$A,tr_mst!$J:$J),0)
  +IFERROR(XLOOKUP(REGEXEXTRACT($K26,""^[^｜]+""),tc_mst!$A:$A,tc_mst!$J:$J)"&amp;",0)
  +
  (
   IFERROR(XLOOKUP(REGEXEXTRACT($M26,""^[^｜]+""),ac_mst!$A:$A,ac_mst!$M:$M),0)
   +IFERROR(XLOOKUP(REGEXEXTRACT($N26,""^[^｜]+""),ac_mst!$A:$A,ac_mst!$M:$M),0)
   +IFERROR(
    XLOOKUP(
     IF(
      OR(
       IFERROR(REGEXEXTRACT($M26,""^[^｜"&amp;"]+""),"""")="""",
       IFERROR(REGEXEXTRACT($N26,""^[^｜]+""),"""")=""""
      ),
      """",
      IF(
       IFERROR(REGEXEXTRACT($M26,""^[^｜]+""),"""")&lt;IFERROR(REGEXEXTRACT($N26,""^[^｜]+""),""""),
       IFERROR(REGEXEXTRACT($M26,""^[^｜]+""),"""")&amp;""_"&amp;"""&amp;IFERROR(REGEXEXTRACT($N26,""^[^｜]+""),""""),
       IFERROR(REGEXEXTRACT($N26,""^[^｜]+""),"""")&amp;""_""&amp;IFERROR(REGEXEXTRACT($M26,""^[^｜]+""),"""")
      )
     ),
     sy_mst!$A:$A,
     sy_mst!$J:$J
    ),
    0
   )
  )
  *
  IFERROR(XLOOKUP(REGEXEXTR"&amp;"ACT($I26,""^[^｜]+""),ms_mst!$A:$A,ms_mst!$R:$R),1)
  *
  IF(
   $B26&gt;=IFERROR(XLOOKUP(REGEXEXTRACT($L26,""^[^｜]+""),sk_mst!$A:$A,sk_mst!$M:$M),999),
   IFERROR(XLOOKUP(REGEXEXTRACT($L26,""^[^｜]+""),sk_mst!$A:$A,sk_mst!$L:$L),1),
   1
  )
 )
)"),5.0)</f>
        <v>5</v>
      </c>
      <c r="V26" s="25">
        <f t="shared" si="1"/>
        <v>0</v>
      </c>
      <c r="W26" s="25">
        <f t="shared" si="2"/>
        <v>-1000</v>
      </c>
      <c r="X26" s="25">
        <f t="shared" si="3"/>
        <v>1000</v>
      </c>
      <c r="Y26" s="25">
        <f t="shared" si="4"/>
        <v>0</v>
      </c>
      <c r="Z26" s="25">
        <f>IFERROR(__xludf.DUMMYFUNCTION("IF($A26="""","""",
 IF($F26&lt;&gt;""player"","""",
  IFERROR(
   RANK(
    $X26,
    FILTER($X:$X,$B:$B=$B26,$F:$F=""player"",$X:$X&lt;&gt;""""),
    0
   ),
   """"
  )
 )
)"),8.0)</f>
        <v>8</v>
      </c>
      <c r="AA26" s="25" t="str">
        <f t="shared" si="5"/>
        <v>8位</v>
      </c>
      <c r="AB26" s="26">
        <f t="shared" si="6"/>
        <v>0</v>
      </c>
    </row>
    <row r="27">
      <c r="A27" s="14" t="s">
        <v>200</v>
      </c>
      <c r="B27" s="25">
        <v>1.0</v>
      </c>
      <c r="C27" s="14" t="s">
        <v>186</v>
      </c>
      <c r="D27" s="14" t="s">
        <v>187</v>
      </c>
      <c r="E27" s="25" t="s">
        <v>153</v>
      </c>
      <c r="F27" s="25" t="s">
        <v>154</v>
      </c>
      <c r="G27" s="25" t="str">
        <f>IFERROR(__xludf.DUMMYFUNCTION("IF($F27=""market"","""",IFERROR(FILTER(member_log!$B$10:$B947,member_log!$C$10:$C947=$C27,member_log!$D$10:$D947=$E27,member_log!$G$10:$G947=""active""),""""))"),"")</f>
        <v/>
      </c>
      <c r="H27" s="25" t="str">
        <f>IFERROR(__xludf.DUMMYFUNCTION("IF($F27=""market"","""",IFERROR(FILTER(member_log!$E$10:$E947,member_log!$C$10:$C947=$C27,member_log!$D$10:$D947=$E27,member_log!$G$10:$G947=""active""),""""))"),"")</f>
        <v/>
      </c>
      <c r="I27" s="25" t="str">
        <f>IFERROR(__xludf.DUMMYFUNCTION("IF($F27&lt;&gt;""player"","""",IFERROR(INDEX(FILTER(group_setup!$D$2:$D947,group_setup!$B$2:$B947=$C27,group_setup!$G$2:$G947=TRUE,group_setup!$H$2:$H947=""completed""),1),""""))"),"")</f>
        <v/>
      </c>
      <c r="J27" s="25" t="str">
        <f>IFERROR(__xludf.DUMMYFUNCTION("IFERROR(FILTER(market_event_log!$D$2:$D947,market_event_log!$C$2:$C947=$B27,market_event_log!$N$2:$N947=""active""),"""")"),"T01")</f>
        <v>T01</v>
      </c>
      <c r="K27" s="25" t="str">
        <f>IFERROR(__xludf.DUMMYFUNCTION("IFERROR(FILTER(market_event_log!$G$2:$G947,market_event_log!$C$2:$C947=$B27,market_event_log!$N$2:$N947=""active""),"""")"),"C01")</f>
        <v>C01</v>
      </c>
      <c r="L27" s="25" t="str">
        <f>IFERROR(__xludf.DUMMYFUNCTION("IF($F27&lt;&gt;""player"","""",IFERROR(INDEX(FILTER(group_setup!$E$2:$E947,group_setup!$B$2:$B947=$C27,group_setup!$G$2:$G947=TRUE,group_setup!$H$2:$H947=""completed""),1),""""))"),"")</f>
        <v/>
      </c>
      <c r="M27" s="25" t="str">
        <f>IFERROR(__xludf.DUMMYFUNCTION("IF($F27=""market"","""",IF($E27=""HUMAN"",IFERROR(FILTER(turn_log!$G$2:$G947,turn_log!$C$2:$C947=$B27,turn_log!$D$2:$D947=$C27,turn_log!$F$2:$F947=$E27),""""),IFERROR(FILTER(turn_log!$I$2:$I947,turn_log!$C$2:$C947=$B27,turn_log!$D$2:$D947=$C27,turn_log!$F"&amp;"$2:$F947=$E27),"""")))"),"")</f>
        <v/>
      </c>
      <c r="N27" s="25" t="str">
        <f>IFERROR(__xludf.DUMMYFUNCTION("IF($F27=""market"","""",IF($E27=""HUMAN"",IFERROR(FILTER(turn_log!$H$2:$H947,turn_log!$C$2:$C947=$B27,turn_log!$D$2:$D947=$C27,turn_log!$F$2:$F947=$E27),""""),IFERROR(FILTER(turn_log!$J$2:$J947,turn_log!$C$2:$C947=$B27,turn_log!$D$2:$D947=$C27,turn_log!$F"&amp;"$2:$F947=$E27),"""")))"),"")</f>
        <v/>
      </c>
      <c r="O27" s="25">
        <f>IFERROR(__xludf.DUMMYFUNCTION("IF($A27="""","""",
 IF($F27=""market"",
  IFERROR(XLOOKUP(REGEXEXTRACT($J27,""^[^｜]+""),tr_mst!$A:$A,tr_mst!$D:$D),0)
  +IFERROR(XLOOKUP(REGEXEXTRACT($K27,""^[^｜]+""),tc_mst!$A:$A,tc_mst!$D:$D),0),
  IF($B27=0,
   IFERROR(XLOOKUP(REGEXEXTRACT($I27,""^[^｜]"&amp;"+""),ms_mst!$A:$A,ms_mst!$D:$D),0),
   IFERROR(XLOOKUP(""T""&amp;($B27-1)&amp;""_""&amp;$D27,$A:$A,$O:$O),0)
  )
  +IFERROR(XLOOKUP(REGEXEXTRACT($J27,""^[^｜]+""),tr_mst!$A:$A,tr_mst!$D:$D),0)
  +IFERROR(XLOOKUP(REGEXEXTRACT($K27,""^[^｜]+""),tc_mst!$A:$A,tc_mst!$D:$D)"&amp;",0)
  +
  (
   IFERROR(XLOOKUP(REGEXEXTRACT($M27,""^[^｜]+""),ac_mst!$A:$A,ac_mst!$G:$G),0)
   +IFERROR(XLOOKUP(REGEXEXTRACT($N27,""^[^｜]+""),ac_mst!$A:$A,ac_mst!$G:$G),0)
   +IFERROR(
    XLOOKUP(
     IF(
      OR(
       IFERROR(REGEXEXTRACT($M27,""^[^｜"&amp;"]+""),"""")="""",
       IFERROR(REGEXEXTRACT($N27,""^[^｜]+""),"""")=""""
      ),
      """",
      IF(
       IFERROR(REGEXEXTRACT($M27,""^[^｜]+""),"""")&lt;IFERROR(REGEXEXTRACT($N27,""^[^｜]+""),""""),
       IFERROR(REGEXEXTRACT($M27,""^[^｜]+""),"""")&amp;""_"&amp;"""&amp;IFERROR(REGEXEXTRACT($N27,""^[^｜]+""),""""),
       IFERROR(REGEXEXTRACT($N27,""^[^｜]+""),"""")&amp;""_""&amp;IFERROR(REGEXEXTRACT($M27,""^[^｜]+""),"""")
      )
     ),
     sy_mst!$A:$A,
     sy_mst!$D:$D
    ),
    0
   )
  )
  *
  IFERROR(XLOOKUP(REGEXEXTR"&amp;"ACT($I27,""^[^｜]+""),ms_mst!$A:$A,ms_mst!$L:$L),1)
  *
  IF(
   $B27&gt;=IFERROR(XLOOKUP(REGEXEXTRACT($L27,""^[^｜]+""),sk_mst!$A:$A,sk_mst!$M:$M),999),
   IFERROR(XLOOKUP(REGEXEXTRACT($L27,""^[^｜]+""),sk_mst!$A:$A,sk_mst!$F:$F),1),
   1
  )
 )
)"),1200.0)</f>
        <v>1200</v>
      </c>
      <c r="P27" s="25">
        <f>IFERROR(__xludf.DUMMYFUNCTION("IF($A27="""","""",
 IF($F27=""market"",
  IFERROR(XLOOKUP(REGEXEXTRACT($J27,""^[^｜]+""),tr_mst!$A:$A,tr_mst!$E:$E),0)
  +IFERROR(XLOOKUP(REGEXEXTRACT($K27,""^[^｜]+""),tc_mst!$A:$A,tc_mst!$E:$E),0),
  IF($B27=0,
   IFERROR(XLOOKUP(REGEXEXTRACT($I27,""^[^｜]"&amp;"+""),ms_mst!$A:$A,ms_mst!$E:$E),0),
   IFERROR(XLOOKUP(""T""&amp;($B27-1)&amp;""_""&amp;$D27,$A:$A,$P:$P),0)
  )
  +IFERROR(XLOOKUP(REGEXEXTRACT($J27,""^[^｜]+""),tr_mst!$A:$A,tr_mst!$E:$E),0)
  +IFERROR(XLOOKUP(REGEXEXTRACT($K27,""^[^｜]+""),tc_mst!$A:$A,tc_mst!$E:$E)"&amp;",0)
  +
  (
   IFERROR(XLOOKUP(REGEXEXTRACT($M27,""^[^｜]+""),ac_mst!$A:$A,ac_mst!$H:$H),0)
   +IFERROR(XLOOKUP(REGEXEXTRACT($N27,""^[^｜]+""),ac_mst!$A:$A,ac_mst!$H:$H),0)
   +IFERROR(
    XLOOKUP(
     IF(
      OR(
       IFERROR(REGEXEXTRACT($M27,""^[^｜"&amp;"]+""),"""")="""",
       IFERROR(REGEXEXTRACT($N27,""^[^｜]+""),"""")=""""
      ),
      """",
      IF(
       IFERROR(REGEXEXTRACT($M27,""^[^｜]+""),"""")&lt;IFERROR(REGEXEXTRACT($N27,""^[^｜]+""),""""),
       IFERROR(REGEXEXTRACT($M27,""^[^｜]+""),"""")&amp;""_"&amp;"""&amp;IFERROR(REGEXEXTRACT($N27,""^[^｜]+""),""""),
       IFERROR(REGEXEXTRACT($N27,""^[^｜]+""),"""")&amp;""_""&amp;IFERROR(REGEXEXTRACT($M27,""^[^｜]+""),"""")
      )
     ),
     sy_mst!$A:$A,
     sy_mst!$E:$E
    ),
    0
   )
  )
  *
  IFERROR(XLOOKUP(REGEXEXTR"&amp;"ACT($I27,""^[^｜]+""),ms_mst!$A:$A,ms_mst!$M:$M),1)
  *
  IF(
   $B27&gt;=IFERROR(XLOOKUP(REGEXEXTRACT($L27,""^[^｜]+""),sk_mst!$A:$A,sk_mst!$M:$M),999),
   IFERROR(XLOOKUP(REGEXEXTRACT($L27,""^[^｜]+""),sk_mst!$A:$A,sk_mst!$G:$G),1),
   1
  )
 )
)"),-200.0)</f>
        <v>-200</v>
      </c>
      <c r="Q27" s="25">
        <f>IFERROR(__xludf.DUMMYFUNCTION("IF($A27="""","""",
 IF($F27=""market"",
  IFERROR(XLOOKUP(REGEXEXTRACT($J27,""^[^｜]+""),tr_mst!$A:$A,tr_mst!$F:$F),0)
  +IFERROR(XLOOKUP(REGEXEXTRACT($K27,""^[^｜]+""),tc_mst!$A:$A,tc_mst!$F:$F),0),
  IF($B27=0,
   IFERROR(XLOOKUP(REGEXEXTRACT($I27,""^[^｜]"&amp;"+""),ms_mst!$A:$A,ms_mst!$F:$F),0),
   IFERROR(XLOOKUP(""T""&amp;($B27-1)&amp;""_""&amp;$D27,$A:$A,$Q:$Q),0)
  )
  +IFERROR(XLOOKUP(REGEXEXTRACT($J27,""^[^｜]+""),tr_mst!$A:$A,tr_mst!$F:$F),0)
  +IFERROR(XLOOKUP(REGEXEXTRACT($K27,""^[^｜]+""),tc_mst!$A:$A,tc_mst!$F:$F)"&amp;",0)
  +
  (
   IFERROR(XLOOKUP(REGEXEXTRACT($M27,""^[^｜]+""),ac_mst!$A:$A,ac_mst!$I:$I),0)
   +IFERROR(XLOOKUP(REGEXEXTRACT($N27,""^[^｜]+""),ac_mst!$A:$A,ac_mst!$I:$I),0)
   +IFERROR(
    XLOOKUP(
     IF(
      OR(
       IFERROR(REGEXEXTRACT($M27,""^[^｜"&amp;"]+""),"""")="""",
       IFERROR(REGEXEXTRACT($N27,""^[^｜]+""),"""")=""""
      ),
      """",
      IF(
       IFERROR(REGEXEXTRACT($M27,""^[^｜]+""),"""")&lt;IFERROR(REGEXEXTRACT($N27,""^[^｜]+""),""""),
       IFERROR(REGEXEXTRACT($M27,""^[^｜]+""),"""")&amp;""_"&amp;"""&amp;IFERROR(REGEXEXTRACT($N27,""^[^｜]+""),""""),
       IFERROR(REGEXEXTRACT($N27,""^[^｜]+""),"""")&amp;""_""&amp;IFERROR(REGEXEXTRACT($M27,""^[^｜]+""),"""")
      )
     ),
     sy_mst!$A:$A,
     sy_mst!$F:$F
    ),
    0
   )
  )
  *
  IFERROR(XLOOKUP(REGEXEXTR"&amp;"ACT($I27,""^[^｜]+""),ms_mst!$A:$A,ms_mst!$N:$N),1)
  *
  IF(
   $B27&gt;=IFERROR(XLOOKUP(REGEXEXTRACT($L27,""^[^｜]+""),sk_mst!$A:$A,sk_mst!$M:$M),999),
   IFERROR(XLOOKUP(REGEXEXTRACT($L27,""^[^｜]+""),sk_mst!$A:$A,sk_mst!$H:$H),1),
   1
  )
 )
)"),0.0)</f>
        <v>0</v>
      </c>
      <c r="R27" s="25">
        <f>IFERROR(__xludf.DUMMYFUNCTION("IF($A27="""","""",
 IF($F27=""market"",
  IFERROR(XLOOKUP(REGEXEXTRACT($J27,""^[^｜]+""),tr_mst!$A:$A,tr_mst!$G:$G),0)
  +IFERROR(XLOOKUP(REGEXEXTRACT($K27,""^[^｜]+""),tc_mst!$A:$A,tc_mst!$G:$G),0),
  IF($B27=0,
   IFERROR(XLOOKUP(REGEXEXTRACT($I27,""^[^｜]"&amp;"+""),ms_mst!$A:$A,ms_mst!$G:$G),0),
   IFERROR(XLOOKUP(""T""&amp;($B27-1)&amp;""_""&amp;$D27,$A:$A,$R:$R),0)
  )
  +IFERROR(XLOOKUP(REGEXEXTRACT($J27,""^[^｜]+""),tr_mst!$A:$A,tr_mst!$G:$G),0)
  +IFERROR(XLOOKUP(REGEXEXTRACT($K27,""^[^｜]+""),tc_mst!$A:$A,tc_mst!$G:$G)"&amp;",0)
  +
  (
   IFERROR(XLOOKUP(REGEXEXTRACT($M27,""^[^｜]+""),ac_mst!$A:$A,ac_mst!$J:$J),0)
   +IFERROR(XLOOKUP(REGEXEXTRACT($N27,""^[^｜]+""),ac_mst!$A:$A,ac_mst!$J:$J),0)
   +IFERROR(
    XLOOKUP(
     IF(
      OR(
       IFERROR(REGEXEXTRACT($M27,""^[^｜"&amp;"]+""),"""")="""",
       IFERROR(REGEXEXTRACT($N27,""^[^｜]+""),"""")=""""
      ),
      """",
      IF(
       IFERROR(REGEXEXTRACT($M27,""^[^｜]+""),"""")&lt;IFERROR(REGEXEXTRACT($N27,""^[^｜]+""),""""),
       IFERROR(REGEXEXTRACT($M27,""^[^｜]+""),"""")&amp;""_"&amp;"""&amp;IFERROR(REGEXEXTRACT($N27,""^[^｜]+""),""""),
       IFERROR(REGEXEXTRACT($N27,""^[^｜]+""),"""")&amp;""_""&amp;IFERROR(REGEXEXTRACT($M27,""^[^｜]+""),"""")
      )
     ),
     sy_mst!$A:$A,
     sy_mst!$G:$G
    ),
    0
   )
  )
  *
  IFERROR(XLOOKUP(REGEXEXTR"&amp;"ACT($I27,""^[^｜]+""),ms_mst!$A:$A,ms_mst!$O:$O),1)
  *
  IF(
   $B27&gt;=IFERROR(XLOOKUP(REGEXEXTRACT($L27,""^[^｜]+""),sk_mst!$A:$A,sk_mst!$M:$M),999),
   IFERROR(XLOOKUP(REGEXEXTRACT($L27,""^[^｜]+""),sk_mst!$A:$A,sk_mst!$I:$I),1),
   1
  )
 )
)"),0.0)</f>
        <v>0</v>
      </c>
      <c r="S27" s="25">
        <f>IFERROR(__xludf.DUMMYFUNCTION("IF($A27="""","""",
 IF($F27=""market"",
  IFERROR(XLOOKUP(REGEXEXTRACT($J27,""^[^｜]+""),tr_mst!$A:$A,tr_mst!$H:$H),0)
  +IFERROR(XLOOKUP(REGEXEXTRACT($K27,""^[^｜]+""),tc_mst!$A:$A,tc_mst!$H:$H),0),
  IF($B27=0,
   IFERROR(XLOOKUP(REGEXEXTRACT($I27,""^[^｜]"&amp;"+""),ms_mst!$A:$A,ms_mst!$H:$H),0),
   IFERROR(XLOOKUP(""T""&amp;($B27-1)&amp;""_""&amp;$D27,$A:$A,$S:$S),0)
  )
  +IFERROR(XLOOKUP(REGEXEXTRACT($J27,""^[^｜]+""),tr_mst!$A:$A,tr_mst!$H:$H),0)
  +IFERROR(XLOOKUP(REGEXEXTRACT($K27,""^[^｜]+""),tc_mst!$A:$A,tc_mst!$H:$H)"&amp;",0)
  +
  (
   IFERROR(XLOOKUP(REGEXEXTRACT($M27,""^[^｜]+""),ac_mst!$A:$A,ac_mst!$K:$K),0)
   +IFERROR(XLOOKUP(REGEXEXTRACT($N27,""^[^｜]+""),ac_mst!$A:$A,ac_mst!$K:$K),0)
   +IFERROR(
    XLOOKUP(
     IF(
      OR(
       IFERROR(REGEXEXTRACT($M27,""^[^｜"&amp;"]+""),"""")="""",
       IFERROR(REGEXEXTRACT($N27,""^[^｜]+""),"""")=""""
      ),
      """",
      IF(
       IFERROR(REGEXEXTRACT($M27,""^[^｜]+""),"""")&lt;IFERROR(REGEXEXTRACT($N27,""^[^｜]+""),""""),
       IFERROR(REGEXEXTRACT($M27,""^[^｜]+""),"""")&amp;""_"&amp;"""&amp;IFERROR(REGEXEXTRACT($N27,""^[^｜]+""),""""),
       IFERROR(REGEXEXTRACT($N27,""^[^｜]+""),"""")&amp;""_""&amp;IFERROR(REGEXEXTRACT($M27,""^[^｜]+""),"""")
      )
     ),
     sy_mst!$A:$A,
     sy_mst!$H:$H
    ),
    0
   )
  )
  *
  IFERROR(XLOOKUP(REGEXEXTR"&amp;"ACT($I27,""^[^｜]+""),ms_mst!$A:$A,ms_mst!$P:$P),1)
  *
  IF(
   $B27&gt;=IFERROR(XLOOKUP(REGEXEXTRACT($L27,""^[^｜]+""),sk_mst!$A:$A,sk_mst!$M:$M),999),
   IFERROR(XLOOKUP(REGEXEXTRACT($L27,""^[^｜]+""),sk_mst!$A:$A,sk_mst!$J:$J),1),
   1
  )
 )
)"),0.0)</f>
        <v>0</v>
      </c>
      <c r="T27" s="25">
        <f>IFERROR(__xludf.DUMMYFUNCTION("IF($A27="""","""",
 IF($F27=""market"",
  IFERROR(XLOOKUP(REGEXEXTRACT($J27,""^[^｜]+""),tr_mst!$A:$A,tr_mst!$I:$I),0)
  +IFERROR(XLOOKUP(REGEXEXTRACT($K27,""^[^｜]+""),tc_mst!$A:$A,tc_mst!$I:$I),0),
  IF($B27=0,
   IFERROR(XLOOKUP(REGEXEXTRACT($I27,""^[^｜]"&amp;"+""),ms_mst!$A:$A,ms_mst!$I:$I),0),
   IFERROR(XLOOKUP(""T""&amp;($B27-1)&amp;""_""&amp;$D27,$A:$A,$T:$T),0)
  )
  +IFERROR(XLOOKUP(REGEXEXTRACT($J27,""^[^｜]+""),tr_mst!$A:$A,tr_mst!$I:$I),0)
  +IFERROR(XLOOKUP(REGEXEXTRACT($K27,""^[^｜]+""),tc_mst!$A:$A,tc_mst!$I:$I)"&amp;",0)
  +
  (
   IFERROR(XLOOKUP(REGEXEXTRACT($M27,""^[^｜]+""),ac_mst!$A:$A,ac_mst!$L:$L),0)
   +IFERROR(XLOOKUP(REGEXEXTRACT($N27,""^[^｜]+""),ac_mst!$A:$A,ac_mst!$L:$L),0)
   +IFERROR(
    XLOOKUP(
     IF(
      OR(
       IFERROR(REGEXEXTRACT($M27,""^[^｜"&amp;"]+""),"""")="""",
       IFERROR(REGEXEXTRACT($N27,""^[^｜]+""),"""")=""""
      ),
      """",
      IF(
       IFERROR(REGEXEXTRACT($M27,""^[^｜]+""),"""")&lt;IFERROR(REGEXEXTRACT($N27,""^[^｜]+""),""""),
       IFERROR(REGEXEXTRACT($M27,""^[^｜]+""),"""")&amp;""_"&amp;"""&amp;IFERROR(REGEXEXTRACT($N27,""^[^｜]+""),""""),
       IFERROR(REGEXEXTRACT($N27,""^[^｜]+""),"""")&amp;""_""&amp;IFERROR(REGEXEXTRACT($M27,""^[^｜]+""),"""")
      )
     ),
     sy_mst!$A:$A,
     sy_mst!$I:$I
    ),
    0
   )
  )
  *
  IFERROR(XLOOKUP(REGEXEXTR"&amp;"ACT($I27,""^[^｜]+""),ms_mst!$A:$A,ms_mst!$Q:$Q),1)
  *
  IF(
   $B27&gt;=IFERROR(XLOOKUP(REGEXEXTRACT($L27,""^[^｜]+""),sk_mst!$A:$A,sk_mst!$M:$M),999),
   IFERROR(XLOOKUP(REGEXEXTRACT($L27,""^[^｜]+""),sk_mst!$A:$A,sk_mst!$K:$K),1),
   1
  )
 )
)"),0.0)</f>
        <v>0</v>
      </c>
      <c r="U27" s="25">
        <f>IFERROR(__xludf.DUMMYFUNCTION("IF($A27="""","""",
 IF($F27=""market"",
  IFERROR(XLOOKUP(REGEXEXTRACT($J27,""^[^｜]+""),tr_mst!$A:$A,tr_mst!$J:$J),0)
  +IFERROR(XLOOKUP(REGEXEXTRACT($K27,""^[^｜]+""),tc_mst!$A:$A,tc_mst!$J:$J),0),
  IF($B27=0,
   IFERROR(XLOOKUP(REGEXEXTRACT($I27,""^[^｜]"&amp;"+""),ms_mst!$A:$A,ms_mst!$J:$J),0),
   IFERROR(XLOOKUP(""T""&amp;($B27-1)&amp;""_""&amp;$D27,$A:$A,$U:$U),0)
  )
  +IFERROR(XLOOKUP(REGEXEXTRACT($J27,""^[^｜]+""),tr_mst!$A:$A,tr_mst!$J:$J),0)
  +IFERROR(XLOOKUP(REGEXEXTRACT($K27,""^[^｜]+""),tc_mst!$A:$A,tc_mst!$J:$J)"&amp;",0)
  +
  (
   IFERROR(XLOOKUP(REGEXEXTRACT($M27,""^[^｜]+""),ac_mst!$A:$A,ac_mst!$M:$M),0)
   +IFERROR(XLOOKUP(REGEXEXTRACT($N27,""^[^｜]+""),ac_mst!$A:$A,ac_mst!$M:$M),0)
   +IFERROR(
    XLOOKUP(
     IF(
      OR(
       IFERROR(REGEXEXTRACT($M27,""^[^｜"&amp;"]+""),"""")="""",
       IFERROR(REGEXEXTRACT($N27,""^[^｜]+""),"""")=""""
      ),
      """",
      IF(
       IFERROR(REGEXEXTRACT($M27,""^[^｜]+""),"""")&lt;IFERROR(REGEXEXTRACT($N27,""^[^｜]+""),""""),
       IFERROR(REGEXEXTRACT($M27,""^[^｜]+""),"""")&amp;""_"&amp;"""&amp;IFERROR(REGEXEXTRACT($N27,""^[^｜]+""),""""),
       IFERROR(REGEXEXTRACT($N27,""^[^｜]+""),"""")&amp;""_""&amp;IFERROR(REGEXEXTRACT($M27,""^[^｜]+""),"""")
      )
     ),
     sy_mst!$A:$A,
     sy_mst!$J:$J
    ),
    0
   )
  )
  *
  IFERROR(XLOOKUP(REGEXEXTR"&amp;"ACT($I27,""^[^｜]+""),ms_mst!$A:$A,ms_mst!$R:$R),1)
  *
  IF(
   $B27&gt;=IFERROR(XLOOKUP(REGEXEXTRACT($L27,""^[^｜]+""),sk_mst!$A:$A,sk_mst!$M:$M),999),
   IFERROR(XLOOKUP(REGEXEXTRACT($L27,""^[^｜]+""),sk_mst!$A:$A,sk_mst!$L:$L),1),
   1
  )
 )
)"),5.0)</f>
        <v>5</v>
      </c>
      <c r="V27" s="25">
        <f t="shared" si="1"/>
        <v>0</v>
      </c>
      <c r="W27" s="25">
        <f t="shared" si="2"/>
        <v>-1000</v>
      </c>
      <c r="X27" s="25">
        <f t="shared" si="3"/>
        <v>1000</v>
      </c>
      <c r="Y27" s="25">
        <f t="shared" si="4"/>
        <v>0</v>
      </c>
      <c r="Z27" s="25">
        <f>IFERROR(__xludf.DUMMYFUNCTION("IF($A27="""","""",
 IF($F27&lt;&gt;""player"","""",
  IFERROR(
   RANK(
    $X27,
    FILTER($X:$X,$B:$B=$B27,$F:$F=""player"",$X:$X&lt;&gt;""""),
    0
   ),
   """"
  )
 )
)"),8.0)</f>
        <v>8</v>
      </c>
      <c r="AA27" s="25" t="str">
        <f t="shared" si="5"/>
        <v>8位</v>
      </c>
      <c r="AB27" s="26">
        <f t="shared" si="6"/>
        <v>0</v>
      </c>
    </row>
    <row r="28">
      <c r="A28" s="14" t="s">
        <v>201</v>
      </c>
      <c r="B28" s="25">
        <v>2.0</v>
      </c>
      <c r="C28" s="14" t="s">
        <v>147</v>
      </c>
      <c r="D28" s="14" t="s">
        <v>148</v>
      </c>
      <c r="F28" s="14" t="s">
        <v>149</v>
      </c>
      <c r="G28" s="25" t="str">
        <f>IFERROR(__xludf.DUMMYFUNCTION("IF($F28=""market"","""",IFERROR(FILTER(member_log!$B$10:$B947,member_log!$C$10:$C947=$C28,member_log!$D$10:$D947=$E28,member_log!$G$10:$G947=""active""),""""))"),"")</f>
        <v/>
      </c>
      <c r="H28" s="25" t="str">
        <f>IFERROR(__xludf.DUMMYFUNCTION("IF($F28=""market"","""",IFERROR(FILTER(member_log!$E$10:$E947,member_log!$C$10:$C947=$C28,member_log!$D$10:$D947=$E28,member_log!$G$10:$G947=""active""),""""))"),"")</f>
        <v/>
      </c>
      <c r="I28" s="25" t="str">
        <f>IFERROR(__xludf.DUMMYFUNCTION("IF($F28&lt;&gt;""player"","""",IFERROR(INDEX(FILTER(group_setup!$D$2:$D947,group_setup!$B$2:$B947=$C28,group_setup!$G$2:$G947=TRUE,group_setup!$H$2:$H947=""completed""),1),""""))"),"")</f>
        <v/>
      </c>
      <c r="J28" s="25" t="str">
        <f>IFERROR(__xludf.DUMMYFUNCTION("IFERROR(FILTER(market_event_log!$D$2:$D947,market_event_log!$C$2:$C947=$B28,market_event_log!$N$2:$N947=""active""),"""")"),"T01")</f>
        <v>T01</v>
      </c>
      <c r="K28" s="25" t="str">
        <f>IFERROR(__xludf.DUMMYFUNCTION("IFERROR(FILTER(market_event_log!$G$2:$G947,market_event_log!$C$2:$C947=$B28,market_event_log!$N$2:$N947=""active""),"""")"),"C03")</f>
        <v>C03</v>
      </c>
      <c r="L28" s="25" t="str">
        <f>IFERROR(__xludf.DUMMYFUNCTION("IF($F28&lt;&gt;""player"","""",IFERROR(INDEX(FILTER(group_setup!$E$2:$E947,group_setup!$B$2:$B947=$C28,group_setup!$G$2:$G947=TRUE,group_setup!$H$2:$H947=""completed""),1),""""))"),"")</f>
        <v/>
      </c>
      <c r="M28" s="25" t="str">
        <f>IFERROR(__xludf.DUMMYFUNCTION("IF($F28=""market"","""",IF($E28=""HUMAN"",IFERROR(FILTER(turn_log!$G$2:$G947,turn_log!$C$2:$C947=$B28,turn_log!$D$2:$D947=$C28,turn_log!$F$2:$F947=$E28),""""),IFERROR(FILTER(turn_log!$I$2:$I947,turn_log!$C$2:$C947=$B28,turn_log!$D$2:$D947=$C28,turn_log!$F"&amp;"$2:$F947=$E28),"""")))"),"")</f>
        <v/>
      </c>
      <c r="N28" s="25" t="str">
        <f>IFERROR(__xludf.DUMMYFUNCTION("IF($F28=""market"","""",IF($E28=""HUMAN"",IFERROR(FILTER(turn_log!$H$2:$H947,turn_log!$C$2:$C947=$B28,turn_log!$D$2:$D947=$C28,turn_log!$F$2:$F947=$E28),""""),IFERROR(FILTER(turn_log!$J$2:$J947,turn_log!$C$2:$C947=$B28,turn_log!$D$2:$D947=$C28,turn_log!$F"&amp;"$2:$F947=$E28),"""")))"),"")</f>
        <v/>
      </c>
      <c r="O28" s="25">
        <f>IFERROR(__xludf.DUMMYFUNCTION("IF($A28="""","""",
 IF($F28=""market"",
  IFERROR(XLOOKUP(REGEXEXTRACT($J28,""^[^｜]+""),tr_mst!$A:$A,tr_mst!$D:$D),0)
  +IFERROR(XLOOKUP(REGEXEXTRACT($K28,""^[^｜]+""),tc_mst!$A:$A,tc_mst!$D:$D),0),
  IF($B28=0,
   IFERROR(XLOOKUP(REGEXEXTRACT($I28,""^[^｜]"&amp;"+""),ms_mst!$A:$A,ms_mst!$D:$D),0),
   IFERROR(XLOOKUP(""T""&amp;($B28-1)&amp;""_""&amp;$D28,$A:$A,$O:$O),0)
  )
  +IFERROR(XLOOKUP(REGEXEXTRACT($J28,""^[^｜]+""),tr_mst!$A:$A,tr_mst!$D:$D),0)
  +IFERROR(XLOOKUP(REGEXEXTRACT($K28,""^[^｜]+""),tc_mst!$A:$A,tc_mst!$D:$D)"&amp;",0)
  +
  (
   IFERROR(XLOOKUP(REGEXEXTRACT($M28,""^[^｜]+""),ac_mst!$A:$A,ac_mst!$G:$G),0)
   +IFERROR(XLOOKUP(REGEXEXTRACT($N28,""^[^｜]+""),ac_mst!$A:$A,ac_mst!$G:$G),0)
   +IFERROR(
    XLOOKUP(
     IF(
      OR(
       IFERROR(REGEXEXTRACT($M28,""^[^｜"&amp;"]+""),"""")="""",
       IFERROR(REGEXEXTRACT($N28,""^[^｜]+""),"""")=""""
      ),
      """",
      IF(
       IFERROR(REGEXEXTRACT($M28,""^[^｜]+""),"""")&lt;IFERROR(REGEXEXTRACT($N28,""^[^｜]+""),""""),
       IFERROR(REGEXEXTRACT($M28,""^[^｜]+""),"""")&amp;""_"&amp;"""&amp;IFERROR(REGEXEXTRACT($N28,""^[^｜]+""),""""),
       IFERROR(REGEXEXTRACT($N28,""^[^｜]+""),"""")&amp;""_""&amp;IFERROR(REGEXEXTRACT($M28,""^[^｜]+""),"""")
      )
     ),
     sy_mst!$A:$A,
     sy_mst!$D:$D
    ),
    0
   )
  )
  *
  IFERROR(XLOOKUP(REGEXEXTR"&amp;"ACT($I28,""^[^｜]+""),ms_mst!$A:$A,ms_mst!$L:$L),1)
  *
  IF(
   $B28&gt;=IFERROR(XLOOKUP(REGEXEXTRACT($L28,""^[^｜]+""),sk_mst!$A:$A,sk_mst!$M:$M),999),
   IFERROR(XLOOKUP(REGEXEXTRACT($L28,""^[^｜]+""),sk_mst!$A:$A,sk_mst!$F:$F),1),
   1
  )
 )
)"),1600.0)</f>
        <v>1600</v>
      </c>
      <c r="P28" s="25">
        <f>IFERROR(__xludf.DUMMYFUNCTION("IF($A28="""","""",
 IF($F28=""market"",
  IFERROR(XLOOKUP(REGEXEXTRACT($J28,""^[^｜]+""),tr_mst!$A:$A,tr_mst!$E:$E),0)
  +IFERROR(XLOOKUP(REGEXEXTRACT($K28,""^[^｜]+""),tc_mst!$A:$A,tc_mst!$E:$E),0),
  IF($B28=0,
   IFERROR(XLOOKUP(REGEXEXTRACT($I28,""^[^｜]"&amp;"+""),ms_mst!$A:$A,ms_mst!$E:$E),0),
   IFERROR(XLOOKUP(""T""&amp;($B28-1)&amp;""_""&amp;$D28,$A:$A,$P:$P),0)
  )
  +IFERROR(XLOOKUP(REGEXEXTRACT($J28,""^[^｜]+""),tr_mst!$A:$A,tr_mst!$E:$E),0)
  +IFERROR(XLOOKUP(REGEXEXTRACT($K28,""^[^｜]+""),tc_mst!$A:$A,tc_mst!$E:$E)"&amp;",0)
  +
  (
   IFERROR(XLOOKUP(REGEXEXTRACT($M28,""^[^｜]+""),ac_mst!$A:$A,ac_mst!$H:$H),0)
   +IFERROR(XLOOKUP(REGEXEXTRACT($N28,""^[^｜]+""),ac_mst!$A:$A,ac_mst!$H:$H),0)
   +IFERROR(
    XLOOKUP(
     IF(
      OR(
       IFERROR(REGEXEXTRACT($M28,""^[^｜"&amp;"]+""),"""")="""",
       IFERROR(REGEXEXTRACT($N28,""^[^｜]+""),"""")=""""
      ),
      """",
      IF(
       IFERROR(REGEXEXTRACT($M28,""^[^｜]+""),"""")&lt;IFERROR(REGEXEXTRACT($N28,""^[^｜]+""),""""),
       IFERROR(REGEXEXTRACT($M28,""^[^｜]+""),"""")&amp;""_"&amp;"""&amp;IFERROR(REGEXEXTRACT($N28,""^[^｜]+""),""""),
       IFERROR(REGEXEXTRACT($N28,""^[^｜]+""),"""")&amp;""_""&amp;IFERROR(REGEXEXTRACT($M28,""^[^｜]+""),"""")
      )
     ),
     sy_mst!$A:$A,
     sy_mst!$E:$E
    ),
    0
   )
  )
  *
  IFERROR(XLOOKUP(REGEXEXTR"&amp;"ACT($I28,""^[^｜]+""),ms_mst!$A:$A,ms_mst!$M:$M),1)
  *
  IF(
   $B28&gt;=IFERROR(XLOOKUP(REGEXEXTRACT($L28,""^[^｜]+""),sk_mst!$A:$A,sk_mst!$M:$M),999),
   IFERROR(XLOOKUP(REGEXEXTRACT($L28,""^[^｜]+""),sk_mst!$A:$A,sk_mst!$G:$G),1),
   1
  )
 )
)"),100.0)</f>
        <v>100</v>
      </c>
      <c r="Q28" s="25">
        <f>IFERROR(__xludf.DUMMYFUNCTION("IF($A28="""","""",
 IF($F28=""market"",
  IFERROR(XLOOKUP(REGEXEXTRACT($J28,""^[^｜]+""),tr_mst!$A:$A,tr_mst!$F:$F),0)
  +IFERROR(XLOOKUP(REGEXEXTRACT($K28,""^[^｜]+""),tc_mst!$A:$A,tc_mst!$F:$F),0),
  IF($B28=0,
   IFERROR(XLOOKUP(REGEXEXTRACT($I28,""^[^｜]"&amp;"+""),ms_mst!$A:$A,ms_mst!$F:$F),0),
   IFERROR(XLOOKUP(""T""&amp;($B28-1)&amp;""_""&amp;$D28,$A:$A,$Q:$Q),0)
  )
  +IFERROR(XLOOKUP(REGEXEXTRACT($J28,""^[^｜]+""),tr_mst!$A:$A,tr_mst!$F:$F),0)
  +IFERROR(XLOOKUP(REGEXEXTRACT($K28,""^[^｜]+""),tc_mst!$A:$A,tc_mst!$F:$F)"&amp;",0)
  +
  (
   IFERROR(XLOOKUP(REGEXEXTRACT($M28,""^[^｜]+""),ac_mst!$A:$A,ac_mst!$I:$I),0)
   +IFERROR(XLOOKUP(REGEXEXTRACT($N28,""^[^｜]+""),ac_mst!$A:$A,ac_mst!$I:$I),0)
   +IFERROR(
    XLOOKUP(
     IF(
      OR(
       IFERROR(REGEXEXTRACT($M28,""^[^｜"&amp;"]+""),"""")="""",
       IFERROR(REGEXEXTRACT($N28,""^[^｜]+""),"""")=""""
      ),
      """",
      IF(
       IFERROR(REGEXEXTRACT($M28,""^[^｜]+""),"""")&lt;IFERROR(REGEXEXTRACT($N28,""^[^｜]+""),""""),
       IFERROR(REGEXEXTRACT($M28,""^[^｜]+""),"""")&amp;""_"&amp;"""&amp;IFERROR(REGEXEXTRACT($N28,""^[^｜]+""),""""),
       IFERROR(REGEXEXTRACT($N28,""^[^｜]+""),"""")&amp;""_""&amp;IFERROR(REGEXEXTRACT($M28,""^[^｜]+""),"""")
      )
     ),
     sy_mst!$A:$A,
     sy_mst!$F:$F
    ),
    0
   )
  )
  *
  IFERROR(XLOOKUP(REGEXEXTR"&amp;"ACT($I28,""^[^｜]+""),ms_mst!$A:$A,ms_mst!$N:$N),1)
  *
  IF(
   $B28&gt;=IFERROR(XLOOKUP(REGEXEXTRACT($L28,""^[^｜]+""),sk_mst!$A:$A,sk_mst!$M:$M),999),
   IFERROR(XLOOKUP(REGEXEXTRACT($L28,""^[^｜]+""),sk_mst!$A:$A,sk_mst!$H:$H),1),
   1
  )
 )
)"),0.0)</f>
        <v>0</v>
      </c>
      <c r="R28" s="25">
        <f>IFERROR(__xludf.DUMMYFUNCTION("IF($A28="""","""",
 IF($F28=""market"",
  IFERROR(XLOOKUP(REGEXEXTRACT($J28,""^[^｜]+""),tr_mst!$A:$A,tr_mst!$G:$G),0)
  +IFERROR(XLOOKUP(REGEXEXTRACT($K28,""^[^｜]+""),tc_mst!$A:$A,tc_mst!$G:$G),0),
  IF($B28=0,
   IFERROR(XLOOKUP(REGEXEXTRACT($I28,""^[^｜]"&amp;"+""),ms_mst!$A:$A,ms_mst!$G:$G),0),
   IFERROR(XLOOKUP(""T""&amp;($B28-1)&amp;""_""&amp;$D28,$A:$A,$R:$R),0)
  )
  +IFERROR(XLOOKUP(REGEXEXTRACT($J28,""^[^｜]+""),tr_mst!$A:$A,tr_mst!$G:$G),0)
  +IFERROR(XLOOKUP(REGEXEXTRACT($K28,""^[^｜]+""),tc_mst!$A:$A,tc_mst!$G:$G)"&amp;",0)
  +
  (
   IFERROR(XLOOKUP(REGEXEXTRACT($M28,""^[^｜]+""),ac_mst!$A:$A,ac_mst!$J:$J),0)
   +IFERROR(XLOOKUP(REGEXEXTRACT($N28,""^[^｜]+""),ac_mst!$A:$A,ac_mst!$J:$J),0)
   +IFERROR(
    XLOOKUP(
     IF(
      OR(
       IFERROR(REGEXEXTRACT($M28,""^[^｜"&amp;"]+""),"""")="""",
       IFERROR(REGEXEXTRACT($N28,""^[^｜]+""),"""")=""""
      ),
      """",
      IF(
       IFERROR(REGEXEXTRACT($M28,""^[^｜]+""),"""")&lt;IFERROR(REGEXEXTRACT($N28,""^[^｜]+""),""""),
       IFERROR(REGEXEXTRACT($M28,""^[^｜]+""),"""")&amp;""_"&amp;"""&amp;IFERROR(REGEXEXTRACT($N28,""^[^｜]+""),""""),
       IFERROR(REGEXEXTRACT($N28,""^[^｜]+""),"""")&amp;""_""&amp;IFERROR(REGEXEXTRACT($M28,""^[^｜]+""),"""")
      )
     ),
     sy_mst!$A:$A,
     sy_mst!$G:$G
    ),
    0
   )
  )
  *
  IFERROR(XLOOKUP(REGEXEXTR"&amp;"ACT($I28,""^[^｜]+""),ms_mst!$A:$A,ms_mst!$O:$O),1)
  *
  IF(
   $B28&gt;=IFERROR(XLOOKUP(REGEXEXTRACT($L28,""^[^｜]+""),sk_mst!$A:$A,sk_mst!$M:$M),999),
   IFERROR(XLOOKUP(REGEXEXTRACT($L28,""^[^｜]+""),sk_mst!$A:$A,sk_mst!$I:$I),1),
   1
  )
 )
)"),0.01)</f>
        <v>0.01</v>
      </c>
      <c r="S28" s="25">
        <f>IFERROR(__xludf.DUMMYFUNCTION("IF($A28="""","""",
 IF($F28=""market"",
  IFERROR(XLOOKUP(REGEXEXTRACT($J28,""^[^｜]+""),tr_mst!$A:$A,tr_mst!$H:$H),0)
  +IFERROR(XLOOKUP(REGEXEXTRACT($K28,""^[^｜]+""),tc_mst!$A:$A,tc_mst!$H:$H),0),
  IF($B28=0,
   IFERROR(XLOOKUP(REGEXEXTRACT($I28,""^[^｜]"&amp;"+""),ms_mst!$A:$A,ms_mst!$H:$H),0),
   IFERROR(XLOOKUP(""T""&amp;($B28-1)&amp;""_""&amp;$D28,$A:$A,$S:$S),0)
  )
  +IFERROR(XLOOKUP(REGEXEXTRACT($J28,""^[^｜]+""),tr_mst!$A:$A,tr_mst!$H:$H),0)
  +IFERROR(XLOOKUP(REGEXEXTRACT($K28,""^[^｜]+""),tc_mst!$A:$A,tc_mst!$H:$H)"&amp;",0)
  +
  (
   IFERROR(XLOOKUP(REGEXEXTRACT($M28,""^[^｜]+""),ac_mst!$A:$A,ac_mst!$K:$K),0)
   +IFERROR(XLOOKUP(REGEXEXTRACT($N28,""^[^｜]+""),ac_mst!$A:$A,ac_mst!$K:$K),0)
   +IFERROR(
    XLOOKUP(
     IF(
      OR(
       IFERROR(REGEXEXTRACT($M28,""^[^｜"&amp;"]+""),"""")="""",
       IFERROR(REGEXEXTRACT($N28,""^[^｜]+""),"""")=""""
      ),
      """",
      IF(
       IFERROR(REGEXEXTRACT($M28,""^[^｜]+""),"""")&lt;IFERROR(REGEXEXTRACT($N28,""^[^｜]+""),""""),
       IFERROR(REGEXEXTRACT($M28,""^[^｜]+""),"""")&amp;""_"&amp;"""&amp;IFERROR(REGEXEXTRACT($N28,""^[^｜]+""),""""),
       IFERROR(REGEXEXTRACT($N28,""^[^｜]+""),"""")&amp;""_""&amp;IFERROR(REGEXEXTRACT($M28,""^[^｜]+""),"""")
      )
     ),
     sy_mst!$A:$A,
     sy_mst!$H:$H
    ),
    0
   )
  )
  *
  IFERROR(XLOOKUP(REGEXEXTR"&amp;"ACT($I28,""^[^｜]+""),ms_mst!$A:$A,ms_mst!$P:$P),1)
  *
  IF(
   $B28&gt;=IFERROR(XLOOKUP(REGEXEXTRACT($L28,""^[^｜]+""),sk_mst!$A:$A,sk_mst!$M:$M),999),
   IFERROR(XLOOKUP(REGEXEXTRACT($L28,""^[^｜]+""),sk_mst!$A:$A,sk_mst!$J:$J),1),
   1
  )
 )
)"),3.0E-4)</f>
        <v>0.0003</v>
      </c>
      <c r="T28" s="25">
        <f>IFERROR(__xludf.DUMMYFUNCTION("IF($A28="""","""",
 IF($F28=""market"",
  IFERROR(XLOOKUP(REGEXEXTRACT($J28,""^[^｜]+""),tr_mst!$A:$A,tr_mst!$I:$I),0)
  +IFERROR(XLOOKUP(REGEXEXTRACT($K28,""^[^｜]+""),tc_mst!$A:$A,tc_mst!$I:$I),0),
  IF($B28=0,
   IFERROR(XLOOKUP(REGEXEXTRACT($I28,""^[^｜]"&amp;"+""),ms_mst!$A:$A,ms_mst!$I:$I),0),
   IFERROR(XLOOKUP(""T""&amp;($B28-1)&amp;""_""&amp;$D28,$A:$A,$T:$T),0)
  )
  +IFERROR(XLOOKUP(REGEXEXTRACT($J28,""^[^｜]+""),tr_mst!$A:$A,tr_mst!$I:$I),0)
  +IFERROR(XLOOKUP(REGEXEXTRACT($K28,""^[^｜]+""),tc_mst!$A:$A,tc_mst!$I:$I)"&amp;",0)
  +
  (
   IFERROR(XLOOKUP(REGEXEXTRACT($M28,""^[^｜]+""),ac_mst!$A:$A,ac_mst!$L:$L),0)
   +IFERROR(XLOOKUP(REGEXEXTRACT($N28,""^[^｜]+""),ac_mst!$A:$A,ac_mst!$L:$L),0)
   +IFERROR(
    XLOOKUP(
     IF(
      OR(
       IFERROR(REGEXEXTRACT($M28,""^[^｜"&amp;"]+""),"""")="""",
       IFERROR(REGEXEXTRACT($N28,""^[^｜]+""),"""")=""""
      ),
      """",
      IF(
       IFERROR(REGEXEXTRACT($M28,""^[^｜]+""),"""")&lt;IFERROR(REGEXEXTRACT($N28,""^[^｜]+""),""""),
       IFERROR(REGEXEXTRACT($M28,""^[^｜]+""),"""")&amp;""_"&amp;"""&amp;IFERROR(REGEXEXTRACT($N28,""^[^｜]+""),""""),
       IFERROR(REGEXEXTRACT($N28,""^[^｜]+""),"""")&amp;""_""&amp;IFERROR(REGEXEXTRACT($M28,""^[^｜]+""),"""")
      )
     ),
     sy_mst!$A:$A,
     sy_mst!$I:$I
    ),
    0
   )
  )
  *
  IFERROR(XLOOKUP(REGEXEXTR"&amp;"ACT($I28,""^[^｜]+""),ms_mst!$A:$A,ms_mst!$Q:$Q),1)
  *
  IF(
   $B28&gt;=IFERROR(XLOOKUP(REGEXEXTRACT($L28,""^[^｜]+""),sk_mst!$A:$A,sk_mst!$M:$M),999),
   IFERROR(XLOOKUP(REGEXEXTRACT($L28,""^[^｜]+""),sk_mst!$A:$A,sk_mst!$K:$K),1),
   1
  )
 )
)"),0.0)</f>
        <v>0</v>
      </c>
      <c r="U28" s="25">
        <f>IFERROR(__xludf.DUMMYFUNCTION("IF($A28="""","""",
 IF($F28=""market"",
  IFERROR(XLOOKUP(REGEXEXTRACT($J28,""^[^｜]+""),tr_mst!$A:$A,tr_mst!$J:$J),0)
  +IFERROR(XLOOKUP(REGEXEXTRACT($K28,""^[^｜]+""),tc_mst!$A:$A,tc_mst!$J:$J),0),
  IF($B28=0,
   IFERROR(XLOOKUP(REGEXEXTRACT($I28,""^[^｜]"&amp;"+""),ms_mst!$A:$A,ms_mst!$J:$J),0),
   IFERROR(XLOOKUP(""T""&amp;($B28-1)&amp;""_""&amp;$D28,$A:$A,$U:$U),0)
  )
  +IFERROR(XLOOKUP(REGEXEXTRACT($J28,""^[^｜]+""),tr_mst!$A:$A,tr_mst!$J:$J),0)
  +IFERROR(XLOOKUP(REGEXEXTRACT($K28,""^[^｜]+""),tc_mst!$A:$A,tc_mst!$J:$J)"&amp;",0)
  +
  (
   IFERROR(XLOOKUP(REGEXEXTRACT($M28,""^[^｜]+""),ac_mst!$A:$A,ac_mst!$M:$M),0)
   +IFERROR(XLOOKUP(REGEXEXTRACT($N28,""^[^｜]+""),ac_mst!$A:$A,ac_mst!$M:$M),0)
   +IFERROR(
    XLOOKUP(
     IF(
      OR(
       IFERROR(REGEXEXTRACT($M28,""^[^｜"&amp;"]+""),"""")="""",
       IFERROR(REGEXEXTRACT($N28,""^[^｜]+""),"""")=""""
      ),
      """",
      IF(
       IFERROR(REGEXEXTRACT($M28,""^[^｜]+""),"""")&lt;IFERROR(REGEXEXTRACT($N28,""^[^｜]+""),""""),
       IFERROR(REGEXEXTRACT($M28,""^[^｜]+""),"""")&amp;""_"&amp;"""&amp;IFERROR(REGEXEXTRACT($N28,""^[^｜]+""),""""),
       IFERROR(REGEXEXTRACT($N28,""^[^｜]+""),"""")&amp;""_""&amp;IFERROR(REGEXEXTRACT($M28,""^[^｜]+""),"""")
      )
     ),
     sy_mst!$A:$A,
     sy_mst!$J:$J
    ),
    0
   )
  )
  *
  IFERROR(XLOOKUP(REGEXEXTR"&amp;"ACT($I28,""^[^｜]+""),ms_mst!$A:$A,ms_mst!$R:$R),1)
  *
  IF(
   $B28&gt;=IFERROR(XLOOKUP(REGEXEXTRACT($L28,""^[^｜]+""),sk_mst!$A:$A,sk_mst!$M:$M),999),
   IFERROR(XLOOKUP(REGEXEXTRACT($L28,""^[^｜]+""),sk_mst!$A:$A,sk_mst!$L:$L),1),
   1
  )
 )
)"),0.0)</f>
        <v>0</v>
      </c>
      <c r="V28" s="25" t="str">
        <f t="shared" si="1"/>
        <v/>
      </c>
      <c r="W28" s="25" t="str">
        <f t="shared" si="2"/>
        <v/>
      </c>
      <c r="X28" s="25" t="str">
        <f t="shared" si="3"/>
        <v/>
      </c>
      <c r="Y28" s="25" t="str">
        <f t="shared" si="4"/>
        <v/>
      </c>
      <c r="Z28" s="25" t="str">
        <f>IFERROR(__xludf.DUMMYFUNCTION("IF($A28="""","""",
 IF($F28&lt;&gt;""player"","""",
  IFERROR(
   RANK(
    $X28,
    FILTER($X:$X,$B:$B=$B28,$F:$F=""player"",$X:$X&lt;&gt;""""),
    0
   ),
   """"
  )
 )
)"),"")</f>
        <v/>
      </c>
      <c r="AA28" s="25" t="str">
        <f t="shared" si="5"/>
        <v/>
      </c>
      <c r="AB28" s="26" t="str">
        <f t="shared" si="6"/>
        <v/>
      </c>
    </row>
    <row r="29">
      <c r="A29" s="14" t="s">
        <v>202</v>
      </c>
      <c r="B29" s="25">
        <v>2.0</v>
      </c>
      <c r="C29" s="14" t="s">
        <v>151</v>
      </c>
      <c r="D29" s="14" t="s">
        <v>152</v>
      </c>
      <c r="E29" s="25" t="s">
        <v>153</v>
      </c>
      <c r="F29" s="25" t="s">
        <v>154</v>
      </c>
      <c r="G29" s="25" t="str">
        <f>IFERROR(__xludf.DUMMYFUNCTION("IF($F29=""market"","""",IFERROR(FILTER(member_log!$B$10:$B947,member_log!$C$10:$C947=$C29,member_log!$D$10:$D947=$E29,member_log!$G$10:$G947=""active""),""""))"),"")</f>
        <v/>
      </c>
      <c r="H29" s="25" t="str">
        <f>IFERROR(__xludf.DUMMYFUNCTION("IF($F29=""market"","""",IFERROR(FILTER(member_log!$E$10:$E947,member_log!$C$10:$C947=$C29,member_log!$D$10:$D947=$E29,member_log!$G$10:$G947=""active""),""""))"),"")</f>
        <v/>
      </c>
      <c r="I29" s="25" t="str">
        <f>IFERROR(__xludf.DUMMYFUNCTION("IF($F29&lt;&gt;""player"","""",IFERROR(INDEX(FILTER(group_setup!$D$2:$D947,group_setup!$B$2:$B947=$C29,group_setup!$G$2:$G947=TRUE,group_setup!$H$2:$H947=""completed""),1),""""))"),"M03")</f>
        <v>M03</v>
      </c>
      <c r="J29" s="25" t="str">
        <f>IFERROR(__xludf.DUMMYFUNCTION("IFERROR(FILTER(market_event_log!$D$2:$D947,market_event_log!$C$2:$C947=$B29,market_event_log!$N$2:$N947=""active""),"""")"),"T01")</f>
        <v>T01</v>
      </c>
      <c r="K29" s="25" t="str">
        <f>IFERROR(__xludf.DUMMYFUNCTION("IFERROR(FILTER(market_event_log!$G$2:$G947,market_event_log!$C$2:$C947=$B29,market_event_log!$N$2:$N947=""active""),"""")"),"C03")</f>
        <v>C03</v>
      </c>
      <c r="L29" s="25" t="str">
        <f>IFERROR(__xludf.DUMMYFUNCTION("IF($F29&lt;&gt;""player"","""",IFERROR(INDEX(FILTER(group_setup!$E$2:$E947,group_setup!$B$2:$B947=$C29,group_setup!$G$2:$G947=TRUE,group_setup!$H$2:$H947=""completed""),1),""""))"),"S02")</f>
        <v>S02</v>
      </c>
      <c r="M29" s="25" t="str">
        <f>IFERROR(__xludf.DUMMYFUNCTION("IF($F29=""market"","""",IF($E29=""HUMAN"",IFERROR(FILTER(turn_log!$G$2:$G947,turn_log!$C$2:$C947=$B29,turn_log!$D$2:$D947=$C29,turn_log!$F$2:$F947=$E29),""""),IFERROR(FILTER(turn_log!$I$2:$I947,turn_log!$C$2:$C947=$B29,turn_log!$D$2:$D947=$C29,turn_log!$F"&amp;"$2:$F947=$E29),"""")))"),"A14")</f>
        <v>A14</v>
      </c>
      <c r="N29" s="25" t="str">
        <f>IFERROR(__xludf.DUMMYFUNCTION("IF($F29=""market"","""",IF($E29=""HUMAN"",IFERROR(FILTER(turn_log!$H$2:$H947,turn_log!$C$2:$C947=$B29,turn_log!$D$2:$D947=$C29,turn_log!$F$2:$F947=$E29),""""),IFERROR(FILTER(turn_log!$J$2:$J947,turn_log!$C$2:$C947=$B29,turn_log!$D$2:$D947=$C29,turn_log!$F"&amp;"$2:$F947=$E29),"""")))"),"A12")</f>
        <v>A12</v>
      </c>
      <c r="O29" s="25">
        <f>IFERROR(__xludf.DUMMYFUNCTION("IF($A29="""","""",
 IF($F29=""market"",
  IFERROR(XLOOKUP(REGEXEXTRACT($J29,""^[^｜]+""),tr_mst!$A:$A,tr_mst!$D:$D),0)
  +IFERROR(XLOOKUP(REGEXEXTRACT($K29,""^[^｜]+""),tc_mst!$A:$A,tc_mst!$D:$D),0),
  IF($B29=0,
   IFERROR(XLOOKUP(REGEXEXTRACT($I29,""^[^｜]"&amp;"+""),ms_mst!$A:$A,ms_mst!$D:$D),0),
   IFERROR(XLOOKUP(""T""&amp;($B29-1)&amp;""_""&amp;$D29,$A:$A,$O:$O),0)
  )
  +IFERROR(XLOOKUP(REGEXEXTRACT($J29,""^[^｜]+""),tr_mst!$A:$A,tr_mst!$D:$D),0)
  +IFERROR(XLOOKUP(REGEXEXTRACT($K29,""^[^｜]+""),tc_mst!$A:$A,tc_mst!$D:$D)"&amp;",0)
  +
  (
   IFERROR(XLOOKUP(REGEXEXTRACT($M29,""^[^｜]+""),ac_mst!$A:$A,ac_mst!$G:$G),0)
   +IFERROR(XLOOKUP(REGEXEXTRACT($N29,""^[^｜]+""),ac_mst!$A:$A,ac_mst!$G:$G),0)
   +IFERROR(
    XLOOKUP(
     IF(
      OR(
       IFERROR(REGEXEXTRACT($M29,""^[^｜"&amp;"]+""),"""")="""",
       IFERROR(REGEXEXTRACT($N29,""^[^｜]+""),"""")=""""
      ),
      """",
      IF(
       IFERROR(REGEXEXTRACT($M29,""^[^｜]+""),"""")&lt;IFERROR(REGEXEXTRACT($N29,""^[^｜]+""),""""),
       IFERROR(REGEXEXTRACT($M29,""^[^｜]+""),"""")&amp;""_"&amp;"""&amp;IFERROR(REGEXEXTRACT($N29,""^[^｜]+""),""""),
       IFERROR(REGEXEXTRACT($N29,""^[^｜]+""),"""")&amp;""_""&amp;IFERROR(REGEXEXTRACT($M29,""^[^｜]+""),"""")
      )
     ),
     sy_mst!$A:$A,
     sy_mst!$D:$D
    ),
    0
   )
  )
  *
  IFERROR(XLOOKUP(REGEXEXTR"&amp;"ACT($I29,""^[^｜]+""),ms_mst!$A:$A,ms_mst!$L:$L),1)
  *
  IF(
   $B29&gt;=IFERROR(XLOOKUP(REGEXEXTRACT($L29,""^[^｜]+""),sk_mst!$A:$A,sk_mst!$M:$M),999),
   IFERROR(XLOOKUP(REGEXEXTRACT($L29,""^[^｜]+""),sk_mst!$A:$A,sk_mst!$F:$F),1),
   1
  )
 )
)"),11875.0)</f>
        <v>11875</v>
      </c>
      <c r="P29" s="25">
        <f>IFERROR(__xludf.DUMMYFUNCTION("IF($A29="""","""",
 IF($F29=""market"",
  IFERROR(XLOOKUP(REGEXEXTRACT($J29,""^[^｜]+""),tr_mst!$A:$A,tr_mst!$E:$E),0)
  +IFERROR(XLOOKUP(REGEXEXTRACT($K29,""^[^｜]+""),tc_mst!$A:$A,tc_mst!$E:$E),0),
  IF($B29=0,
   IFERROR(XLOOKUP(REGEXEXTRACT($I29,""^[^｜]"&amp;"+""),ms_mst!$A:$A,ms_mst!$E:$E),0),
   IFERROR(XLOOKUP(""T""&amp;($B29-1)&amp;""_""&amp;$D29,$A:$A,$P:$P),0)
  )
  +IFERROR(XLOOKUP(REGEXEXTRACT($J29,""^[^｜]+""),tr_mst!$A:$A,tr_mst!$E:$E),0)
  +IFERROR(XLOOKUP(REGEXEXTRACT($K29,""^[^｜]+""),tc_mst!$A:$A,tc_mst!$E:$E)"&amp;",0)
  +
  (
   IFERROR(XLOOKUP(REGEXEXTRACT($M29,""^[^｜]+""),ac_mst!$A:$A,ac_mst!$H:$H),0)
   +IFERROR(XLOOKUP(REGEXEXTRACT($N29,""^[^｜]+""),ac_mst!$A:$A,ac_mst!$H:$H),0)
   +IFERROR(
    XLOOKUP(
     IF(
      OR(
       IFERROR(REGEXEXTRACT($M29,""^[^｜"&amp;"]+""),"""")="""",
       IFERROR(REGEXEXTRACT($N29,""^[^｜]+""),"""")=""""
      ),
      """",
      IF(
       IFERROR(REGEXEXTRACT($M29,""^[^｜]+""),"""")&lt;IFERROR(REGEXEXTRACT($N29,""^[^｜]+""),""""),
       IFERROR(REGEXEXTRACT($M29,""^[^｜]+""),"""")&amp;""_"&amp;"""&amp;IFERROR(REGEXEXTRACT($N29,""^[^｜]+""),""""),
       IFERROR(REGEXEXTRACT($N29,""^[^｜]+""),"""")&amp;""_""&amp;IFERROR(REGEXEXTRACT($M29,""^[^｜]+""),"""")
      )
     ),
     sy_mst!$A:$A,
     sy_mst!$E:$E
    ),
    0
   )
  )
  *
  IFERROR(XLOOKUP(REGEXEXTR"&amp;"ACT($I29,""^[^｜]+""),ms_mst!$A:$A,ms_mst!$M:$M),1)
  *
  IF(
   $B29&gt;=IFERROR(XLOOKUP(REGEXEXTRACT($L29,""^[^｜]+""),sk_mst!$A:$A,sk_mst!$M:$M),999),
   IFERROR(XLOOKUP(REGEXEXTRACT($L29,""^[^｜]+""),sk_mst!$A:$A,sk_mst!$G:$G),1),
   1
  )
 )
)"),1400.0)</f>
        <v>1400</v>
      </c>
      <c r="Q29" s="25">
        <f>IFERROR(__xludf.DUMMYFUNCTION("IF($A29="""","""",
 IF($F29=""market"",
  IFERROR(XLOOKUP(REGEXEXTRACT($J29,""^[^｜]+""),tr_mst!$A:$A,tr_mst!$F:$F),0)
  +IFERROR(XLOOKUP(REGEXEXTRACT($K29,""^[^｜]+""),tc_mst!$A:$A,tc_mst!$F:$F),0),
  IF($B29=0,
   IFERROR(XLOOKUP(REGEXEXTRACT($I29,""^[^｜]"&amp;"+""),ms_mst!$A:$A,ms_mst!$F:$F),0),
   IFERROR(XLOOKUP(""T""&amp;($B29-1)&amp;""_""&amp;$D29,$A:$A,$Q:$Q),0)
  )
  +IFERROR(XLOOKUP(REGEXEXTRACT($J29,""^[^｜]+""),tr_mst!$A:$A,tr_mst!$F:$F),0)
  +IFERROR(XLOOKUP(REGEXEXTRACT($K29,""^[^｜]+""),tc_mst!$A:$A,tc_mst!$F:$F)"&amp;",0)
  +
  (
   IFERROR(XLOOKUP(REGEXEXTRACT($M29,""^[^｜]+""),ac_mst!$A:$A,ac_mst!$I:$I),0)
   +IFERROR(XLOOKUP(REGEXEXTRACT($N29,""^[^｜]+""),ac_mst!$A:$A,ac_mst!$I:$I),0)
   +IFERROR(
    XLOOKUP(
     IF(
      OR(
       IFERROR(REGEXEXTRACT($M29,""^[^｜"&amp;"]+""),"""")="""",
       IFERROR(REGEXEXTRACT($N29,""^[^｜]+""),"""")=""""
      ),
      """",
      IF(
       IFERROR(REGEXEXTRACT($M29,""^[^｜]+""),"""")&lt;IFERROR(REGEXEXTRACT($N29,""^[^｜]+""),""""),
       IFERROR(REGEXEXTRACT($M29,""^[^｜]+""),"""")&amp;""_"&amp;"""&amp;IFERROR(REGEXEXTRACT($N29,""^[^｜]+""),""""),
       IFERROR(REGEXEXTRACT($N29,""^[^｜]+""),"""")&amp;""_""&amp;IFERROR(REGEXEXTRACT($M29,""^[^｜]+""),"""")
      )
     ),
     sy_mst!$A:$A,
     sy_mst!$F:$F
    ),
    0
   )
  )
  *
  IFERROR(XLOOKUP(REGEXEXTR"&amp;"ACT($I29,""^[^｜]+""),ms_mst!$A:$A,ms_mst!$N:$N),1)
  *
  IF(
   $B29&gt;=IFERROR(XLOOKUP(REGEXEXTRACT($L29,""^[^｜]+""),sk_mst!$A:$A,sk_mst!$M:$M),999),
   IFERROR(XLOOKUP(REGEXEXTRACT($L29,""^[^｜]+""),sk_mst!$A:$A,sk_mst!$H:$H),1),
   1
  )
 )
)"),0.5)</f>
        <v>0.5</v>
      </c>
      <c r="R29" s="25">
        <f>IFERROR(__xludf.DUMMYFUNCTION("IF($A29="""","""",
 IF($F29=""market"",
  IFERROR(XLOOKUP(REGEXEXTRACT($J29,""^[^｜]+""),tr_mst!$A:$A,tr_mst!$G:$G),0)
  +IFERROR(XLOOKUP(REGEXEXTRACT($K29,""^[^｜]+""),tc_mst!$A:$A,tc_mst!$G:$G),0),
  IF($B29=0,
   IFERROR(XLOOKUP(REGEXEXTRACT($I29,""^[^｜]"&amp;"+""),ms_mst!$A:$A,ms_mst!$G:$G),0),
   IFERROR(XLOOKUP(""T""&amp;($B29-1)&amp;""_""&amp;$D29,$A:$A,$R:$R),0)
  )
  +IFERROR(XLOOKUP(REGEXEXTRACT($J29,""^[^｜]+""),tr_mst!$A:$A,tr_mst!$G:$G),0)
  +IFERROR(XLOOKUP(REGEXEXTRACT($K29,""^[^｜]+""),tc_mst!$A:$A,tc_mst!$G:$G)"&amp;",0)
  +
  (
   IFERROR(XLOOKUP(REGEXEXTRACT($M29,""^[^｜]+""),ac_mst!$A:$A,ac_mst!$J:$J),0)
   +IFERROR(XLOOKUP(REGEXEXTRACT($N29,""^[^｜]+""),ac_mst!$A:$A,ac_mst!$J:$J),0)
   +IFERROR(
    XLOOKUP(
     IF(
      OR(
       IFERROR(REGEXEXTRACT($M29,""^[^｜"&amp;"]+""),"""")="""",
       IFERROR(REGEXEXTRACT($N29,""^[^｜]+""),"""")=""""
      ),
      """",
      IF(
       IFERROR(REGEXEXTRACT($M29,""^[^｜]+""),"""")&lt;IFERROR(REGEXEXTRACT($N29,""^[^｜]+""),""""),
       IFERROR(REGEXEXTRACT($M29,""^[^｜]+""),"""")&amp;""_"&amp;"""&amp;IFERROR(REGEXEXTRACT($N29,""^[^｜]+""),""""),
       IFERROR(REGEXEXTRACT($N29,""^[^｜]+""),"""")&amp;""_""&amp;IFERROR(REGEXEXTRACT($M29,""^[^｜]+""),"""")
      )
     ),
     sy_mst!$A:$A,
     sy_mst!$G:$G
    ),
    0
   )
  )
  *
  IFERROR(XLOOKUP(REGEXEXTR"&amp;"ACT($I29,""^[^｜]+""),ms_mst!$A:$A,ms_mst!$O:$O),1)
  *
  IF(
   $B29&gt;=IFERROR(XLOOKUP(REGEXEXTRACT($L29,""^[^｜]+""),sk_mst!$A:$A,sk_mst!$M:$M),999),
   IFERROR(XLOOKUP(REGEXEXTRACT($L29,""^[^｜]+""),sk_mst!$A:$A,sk_mst!$I:$I),1),
   1
  )
 )
)"),1.8519999999999999)</f>
        <v>1.852</v>
      </c>
      <c r="S29" s="25">
        <f>IFERROR(__xludf.DUMMYFUNCTION("IF($A29="""","""",
 IF($F29=""market"",
  IFERROR(XLOOKUP(REGEXEXTRACT($J29,""^[^｜]+""),tr_mst!$A:$A,tr_mst!$H:$H),0)
  +IFERROR(XLOOKUP(REGEXEXTRACT($K29,""^[^｜]+""),tc_mst!$A:$A,tc_mst!$H:$H),0),
  IF($B29=0,
   IFERROR(XLOOKUP(REGEXEXTRACT($I29,""^[^｜]"&amp;"+""),ms_mst!$A:$A,ms_mst!$H:$H),0),
   IFERROR(XLOOKUP(""T""&amp;($B29-1)&amp;""_""&amp;$D29,$A:$A,$S:$S),0)
  )
  +IFERROR(XLOOKUP(REGEXEXTRACT($J29,""^[^｜]+""),tr_mst!$A:$A,tr_mst!$H:$H),0)
  +IFERROR(XLOOKUP(REGEXEXTRACT($K29,""^[^｜]+""),tc_mst!$A:$A,tc_mst!$H:$H)"&amp;",0)
  +
  (
   IFERROR(XLOOKUP(REGEXEXTRACT($M29,""^[^｜]+""),ac_mst!$A:$A,ac_mst!$K:$K),0)
   +IFERROR(XLOOKUP(REGEXEXTRACT($N29,""^[^｜]+""),ac_mst!$A:$A,ac_mst!$K:$K),0)
   +IFERROR(
    XLOOKUP(
     IF(
      OR(
       IFERROR(REGEXEXTRACT($M29,""^[^｜"&amp;"]+""),"""")="""",
       IFERROR(REGEXEXTRACT($N29,""^[^｜]+""),"""")=""""
      ),
      """",
      IF(
       IFERROR(REGEXEXTRACT($M29,""^[^｜]+""),"""")&lt;IFERROR(REGEXEXTRACT($N29,""^[^｜]+""),""""),
       IFERROR(REGEXEXTRACT($M29,""^[^｜]+""),"""")&amp;""_"&amp;"""&amp;IFERROR(REGEXEXTRACT($N29,""^[^｜]+""),""""),
       IFERROR(REGEXEXTRACT($N29,""^[^｜]+""),"""")&amp;""_""&amp;IFERROR(REGEXEXTRACT($M29,""^[^｜]+""),"""")
      )
     ),
     sy_mst!$A:$A,
     sy_mst!$H:$H
    ),
    0
   )
  )
  *
  IFERROR(XLOOKUP(REGEXEXTR"&amp;"ACT($I29,""^[^｜]+""),ms_mst!$A:$A,ms_mst!$P:$P),1)
  *
  IF(
   $B29&gt;=IFERROR(XLOOKUP(REGEXEXTRACT($L29,""^[^｜]+""),sk_mst!$A:$A,sk_mst!$M:$M),999),
   IFERROR(XLOOKUP(REGEXEXTRACT($L29,""^[^｜]+""),sk_mst!$A:$A,sk_mst!$J:$J),1),
   1
  )
 )
)"),0.0133)</f>
        <v>0.0133</v>
      </c>
      <c r="T29" s="25">
        <f>IFERROR(__xludf.DUMMYFUNCTION("IF($A29="""","""",
 IF($F29=""market"",
  IFERROR(XLOOKUP(REGEXEXTRACT($J29,""^[^｜]+""),tr_mst!$A:$A,tr_mst!$I:$I),0)
  +IFERROR(XLOOKUP(REGEXEXTRACT($K29,""^[^｜]+""),tc_mst!$A:$A,tc_mst!$I:$I),0),
  IF($B29=0,
   IFERROR(XLOOKUP(REGEXEXTRACT($I29,""^[^｜]"&amp;"+""),ms_mst!$A:$A,ms_mst!$I:$I),0),
   IFERROR(XLOOKUP(""T""&amp;($B29-1)&amp;""_""&amp;$D29,$A:$A,$T:$T),0)
  )
  +IFERROR(XLOOKUP(REGEXEXTRACT($J29,""^[^｜]+""),tr_mst!$A:$A,tr_mst!$I:$I),0)
  +IFERROR(XLOOKUP(REGEXEXTRACT($K29,""^[^｜]+""),tc_mst!$A:$A,tc_mst!$I:$I)"&amp;",0)
  +
  (
   IFERROR(XLOOKUP(REGEXEXTRACT($M29,""^[^｜]+""),ac_mst!$A:$A,ac_mst!$L:$L),0)
   +IFERROR(XLOOKUP(REGEXEXTRACT($N29,""^[^｜]+""),ac_mst!$A:$A,ac_mst!$L:$L),0)
   +IFERROR(
    XLOOKUP(
     IF(
      OR(
       IFERROR(REGEXEXTRACT($M29,""^[^｜"&amp;"]+""),"""")="""",
       IFERROR(REGEXEXTRACT($N29,""^[^｜]+""),"""")=""""
      ),
      """",
      IF(
       IFERROR(REGEXEXTRACT($M29,""^[^｜]+""),"""")&lt;IFERROR(REGEXEXTRACT($N29,""^[^｜]+""),""""),
       IFERROR(REGEXEXTRACT($M29,""^[^｜]+""),"""")&amp;""_"&amp;"""&amp;IFERROR(REGEXEXTRACT($N29,""^[^｜]+""),""""),
       IFERROR(REGEXEXTRACT($N29,""^[^｜]+""),"""")&amp;""_""&amp;IFERROR(REGEXEXTRACT($M29,""^[^｜]+""),"""")
      )
     ),
     sy_mst!$A:$A,
     sy_mst!$I:$I
    ),
    0
   )
  )
  *
  IFERROR(XLOOKUP(REGEXEXTR"&amp;"ACT($I29,""^[^｜]+""),ms_mst!$A:$A,ms_mst!$Q:$Q),1)
  *
  IF(
   $B29&gt;=IFERROR(XLOOKUP(REGEXEXTRACT($L29,""^[^｜]+""),sk_mst!$A:$A,sk_mst!$M:$M),999),
   IFERROR(XLOOKUP(REGEXEXTRACT($L29,""^[^｜]+""),sk_mst!$A:$A,sk_mst!$K:$K),1),
   1
  )
 )
)"),4000.0)</f>
        <v>4000</v>
      </c>
      <c r="U29" s="25">
        <f>IFERROR(__xludf.DUMMYFUNCTION("IF($A29="""","""",
 IF($F29=""market"",
  IFERROR(XLOOKUP(REGEXEXTRACT($J29,""^[^｜]+""),tr_mst!$A:$A,tr_mst!$J:$J),0)
  +IFERROR(XLOOKUP(REGEXEXTRACT($K29,""^[^｜]+""),tc_mst!$A:$A,tc_mst!$J:$J),0),
  IF($B29=0,
   IFERROR(XLOOKUP(REGEXEXTRACT($I29,""^[^｜]"&amp;"+""),ms_mst!$A:$A,ms_mst!$J:$J),0),
   IFERROR(XLOOKUP(""T""&amp;($B29-1)&amp;""_""&amp;$D29,$A:$A,$U:$U),0)
  )
  +IFERROR(XLOOKUP(REGEXEXTRACT($J29,""^[^｜]+""),tr_mst!$A:$A,tr_mst!$J:$J),0)
  +IFERROR(XLOOKUP(REGEXEXTRACT($K29,""^[^｜]+""),tc_mst!$A:$A,tc_mst!$J:$J)"&amp;",0)
  +
  (
   IFERROR(XLOOKUP(REGEXEXTRACT($M29,""^[^｜]+""),ac_mst!$A:$A,ac_mst!$M:$M),0)
   +IFERROR(XLOOKUP(REGEXEXTRACT($N29,""^[^｜]+""),ac_mst!$A:$A,ac_mst!$M:$M),0)
   +IFERROR(
    XLOOKUP(
     IF(
      OR(
       IFERROR(REGEXEXTRACT($M29,""^[^｜"&amp;"]+""),"""")="""",
       IFERROR(REGEXEXTRACT($N29,""^[^｜]+""),"""")=""""
      ),
      """",
      IF(
       IFERROR(REGEXEXTRACT($M29,""^[^｜]+""),"""")&lt;IFERROR(REGEXEXTRACT($N29,""^[^｜]+""),""""),
       IFERROR(REGEXEXTRACT($M29,""^[^｜]+""),"""")&amp;""_"&amp;"""&amp;IFERROR(REGEXEXTRACT($N29,""^[^｜]+""),""""),
       IFERROR(REGEXEXTRACT($N29,""^[^｜]+""),"""")&amp;""_""&amp;IFERROR(REGEXEXTRACT($M29,""^[^｜]+""),"""")
      )
     ),
     sy_mst!$A:$A,
     sy_mst!$J:$J
    ),
    0
   )
  )
  *
  IFERROR(XLOOKUP(REGEXEXTR"&amp;"ACT($I29,""^[^｜]+""),ms_mst!$A:$A,ms_mst!$R:$R),1)
  *
  IF(
   $B29&gt;=IFERROR(XLOOKUP(REGEXEXTRACT($L29,""^[^｜]+""),sk_mst!$A:$A,sk_mst!$M:$M),999),
   IFERROR(XLOOKUP(REGEXEXTRACT($L29,""^[^｜]+""),sk_mst!$A:$A,sk_mst!$L:$L),1),
   1
  )
 )
)"),45.0)</f>
        <v>45</v>
      </c>
      <c r="V29" s="25">
        <f t="shared" si="1"/>
        <v>653969</v>
      </c>
      <c r="W29" s="25">
        <f t="shared" si="2"/>
        <v>63000</v>
      </c>
      <c r="X29" s="25">
        <f t="shared" si="3"/>
        <v>590969</v>
      </c>
      <c r="Y29" s="25">
        <f t="shared" si="4"/>
        <v>10.38</v>
      </c>
      <c r="Z29" s="25">
        <f>IFERROR(__xludf.DUMMYFUNCTION("IF($A29="""","""",
 IF($F29&lt;&gt;""player"","""",
  IFERROR(
   RANK(
    $X29,
    FILTER($X:$X,$B:$B=$B29,$F:$F=""player"",$X:$X&lt;&gt;""""),
    0
   ),
   """"
  )
 )
)"),3.0)</f>
        <v>3</v>
      </c>
      <c r="AA29" s="25" t="str">
        <f t="shared" si="5"/>
        <v>3位</v>
      </c>
      <c r="AB29" s="26">
        <f t="shared" si="6"/>
        <v>0.8105667892</v>
      </c>
    </row>
    <row r="30">
      <c r="A30" s="14" t="s">
        <v>203</v>
      </c>
      <c r="B30" s="25">
        <v>2.0</v>
      </c>
      <c r="C30" s="14" t="s">
        <v>156</v>
      </c>
      <c r="D30" s="14" t="s">
        <v>157</v>
      </c>
      <c r="E30" s="25" t="s">
        <v>153</v>
      </c>
      <c r="F30" s="25" t="s">
        <v>154</v>
      </c>
      <c r="G30" s="25" t="str">
        <f>IFERROR(__xludf.DUMMYFUNCTION("IF($F30=""market"","""",IFERROR(FILTER(member_log!$B$10:$B947,member_log!$C$10:$C947=$C30,member_log!$D$10:$D947=$E30,member_log!$G$10:$G947=""active""),""""))"),"")</f>
        <v/>
      </c>
      <c r="H30" s="25" t="str">
        <f>IFERROR(__xludf.DUMMYFUNCTION("IF($F30=""market"","""",IFERROR(FILTER(member_log!$E$10:$E947,member_log!$C$10:$C947=$C30,member_log!$D$10:$D947=$E30,member_log!$G$10:$G947=""active""),""""))"),"")</f>
        <v/>
      </c>
      <c r="I30" s="25" t="str">
        <f>IFERROR(__xludf.DUMMYFUNCTION("IF($F30&lt;&gt;""player"","""",IFERROR(INDEX(FILTER(group_setup!$D$2:$D947,group_setup!$B$2:$B947=$C30,group_setup!$G$2:$G947=TRUE,group_setup!$H$2:$H947=""completed""),1),""""))"),"M12")</f>
        <v>M12</v>
      </c>
      <c r="J30" s="25" t="str">
        <f>IFERROR(__xludf.DUMMYFUNCTION("IFERROR(FILTER(market_event_log!$D$2:$D947,market_event_log!$C$2:$C947=$B30,market_event_log!$N$2:$N947=""active""),"""")"),"T01")</f>
        <v>T01</v>
      </c>
      <c r="K30" s="25" t="str">
        <f>IFERROR(__xludf.DUMMYFUNCTION("IFERROR(FILTER(market_event_log!$G$2:$G947,market_event_log!$C$2:$C947=$B30,market_event_log!$N$2:$N947=""active""),"""")"),"C03")</f>
        <v>C03</v>
      </c>
      <c r="L30" s="25" t="str">
        <f>IFERROR(__xludf.DUMMYFUNCTION("IF($F30&lt;&gt;""player"","""",IFERROR(INDEX(FILTER(group_setup!$E$2:$E947,group_setup!$B$2:$B947=$C30,group_setup!$G$2:$G947=TRUE,group_setup!$H$2:$H947=""completed""),1),""""))"),"S02")</f>
        <v>S02</v>
      </c>
      <c r="M30" s="25" t="str">
        <f>IFERROR(__xludf.DUMMYFUNCTION("IF($F30=""market"","""",IF($E30=""HUMAN"",IFERROR(FILTER(turn_log!$G$2:$G947,turn_log!$C$2:$C947=$B30,turn_log!$D$2:$D947=$C30,turn_log!$F$2:$F947=$E30),""""),IFERROR(FILTER(turn_log!$I$2:$I947,turn_log!$C$2:$C947=$B30,turn_log!$D$2:$D947=$C30,turn_log!$F"&amp;"$2:$F947=$E30),"""")))"),"A08")</f>
        <v>A08</v>
      </c>
      <c r="N30" s="25" t="str">
        <f>IFERROR(__xludf.DUMMYFUNCTION("IF($F30=""market"","""",IF($E30=""HUMAN"",IFERROR(FILTER(turn_log!$H$2:$H947,turn_log!$C$2:$C947=$B30,turn_log!$D$2:$D947=$C30,turn_log!$F$2:$F947=$E30),""""),IFERROR(FILTER(turn_log!$J$2:$J947,turn_log!$C$2:$C947=$B30,turn_log!$D$2:$D947=$C30,turn_log!$F"&amp;"$2:$F947=$E30),"""")))"),"A09")</f>
        <v>A09</v>
      </c>
      <c r="O30" s="25">
        <f>IFERROR(__xludf.DUMMYFUNCTION("IF($A30="""","""",
 IF($F30=""market"",
  IFERROR(XLOOKUP(REGEXEXTRACT($J30,""^[^｜]+""),tr_mst!$A:$A,tr_mst!$D:$D),0)
  +IFERROR(XLOOKUP(REGEXEXTRACT($K30,""^[^｜]+""),tc_mst!$A:$A,tc_mst!$D:$D),0),
  IF($B30=0,
   IFERROR(XLOOKUP(REGEXEXTRACT($I30,""^[^｜]"&amp;"+""),ms_mst!$A:$A,ms_mst!$D:$D),0),
   IFERROR(XLOOKUP(""T""&amp;($B30-1)&amp;""_""&amp;$D30,$A:$A,$O:$O),0)
  )
  +IFERROR(XLOOKUP(REGEXEXTRACT($J30,""^[^｜]+""),tr_mst!$A:$A,tr_mst!$D:$D),0)
  +IFERROR(XLOOKUP(REGEXEXTRACT($K30,""^[^｜]+""),tc_mst!$A:$A,tc_mst!$D:$D)"&amp;",0)
  +
  (
   IFERROR(XLOOKUP(REGEXEXTRACT($M30,""^[^｜]+""),ac_mst!$A:$A,ac_mst!$G:$G),0)
   +IFERROR(XLOOKUP(REGEXEXTRACT($N30,""^[^｜]+""),ac_mst!$A:$A,ac_mst!$G:$G),0)
   +IFERROR(
    XLOOKUP(
     IF(
      OR(
       IFERROR(REGEXEXTRACT($M30,""^[^｜"&amp;"]+""),"""")="""",
       IFERROR(REGEXEXTRACT($N30,""^[^｜]+""),"""")=""""
      ),
      """",
      IF(
       IFERROR(REGEXEXTRACT($M30,""^[^｜]+""),"""")&lt;IFERROR(REGEXEXTRACT($N30,""^[^｜]+""),""""),
       IFERROR(REGEXEXTRACT($M30,""^[^｜]+""),"""")&amp;""_"&amp;"""&amp;IFERROR(REGEXEXTRACT($N30,""^[^｜]+""),""""),
       IFERROR(REGEXEXTRACT($N30,""^[^｜]+""),"""")&amp;""_""&amp;IFERROR(REGEXEXTRACT($M30,""^[^｜]+""),"""")
      )
     ),
     sy_mst!$A:$A,
     sy_mst!$D:$D
    ),
    0
   )
  )
  *
  IFERROR(XLOOKUP(REGEXEXTR"&amp;"ACT($I30,""^[^｜]+""),ms_mst!$A:$A,ms_mst!$L:$L),1)
  *
  IF(
   $B30&gt;=IFERROR(XLOOKUP(REGEXEXTRACT($L30,""^[^｜]+""),sk_mst!$A:$A,sk_mst!$M:$M),999),
   IFERROR(XLOOKUP(REGEXEXTRACT($L30,""^[^｜]+""),sk_mst!$A:$A,sk_mst!$F:$F),1),
   1
  )
 )
)"),10800.0)</f>
        <v>10800</v>
      </c>
      <c r="P30" s="25">
        <f>IFERROR(__xludf.DUMMYFUNCTION("IF($A30="""","""",
 IF($F30=""market"",
  IFERROR(XLOOKUP(REGEXEXTRACT($J30,""^[^｜]+""),tr_mst!$A:$A,tr_mst!$E:$E),0)
  +IFERROR(XLOOKUP(REGEXEXTRACT($K30,""^[^｜]+""),tc_mst!$A:$A,tc_mst!$E:$E),0),
  IF($B30=0,
   IFERROR(XLOOKUP(REGEXEXTRACT($I30,""^[^｜]"&amp;"+""),ms_mst!$A:$A,ms_mst!$E:$E),0),
   IFERROR(XLOOKUP(""T""&amp;($B30-1)&amp;""_""&amp;$D30,$A:$A,$P:$P),0)
  )
  +IFERROR(XLOOKUP(REGEXEXTRACT($J30,""^[^｜]+""),tr_mst!$A:$A,tr_mst!$E:$E),0)
  +IFERROR(XLOOKUP(REGEXEXTRACT($K30,""^[^｜]+""),tc_mst!$A:$A,tc_mst!$E:$E)"&amp;",0)
  +
  (
   IFERROR(XLOOKUP(REGEXEXTRACT($M30,""^[^｜]+""),ac_mst!$A:$A,ac_mst!$H:$H),0)
   +IFERROR(XLOOKUP(REGEXEXTRACT($N30,""^[^｜]+""),ac_mst!$A:$A,ac_mst!$H:$H),0)
   +IFERROR(
    XLOOKUP(
     IF(
      OR(
       IFERROR(REGEXEXTRACT($M30,""^[^｜"&amp;"]+""),"""")="""",
       IFERROR(REGEXEXTRACT($N30,""^[^｜]+""),"""")=""""
      ),
      """",
      IF(
       IFERROR(REGEXEXTRACT($M30,""^[^｜]+""),"""")&lt;IFERROR(REGEXEXTRACT($N30,""^[^｜]+""),""""),
       IFERROR(REGEXEXTRACT($M30,""^[^｜]+""),"""")&amp;""_"&amp;"""&amp;IFERROR(REGEXEXTRACT($N30,""^[^｜]+""),""""),
       IFERROR(REGEXEXTRACT($N30,""^[^｜]+""),"""")&amp;""_""&amp;IFERROR(REGEXEXTRACT($M30,""^[^｜]+""),"""")
      )
     ),
     sy_mst!$A:$A,
     sy_mst!$E:$E
    ),
    0
   )
  )
  *
  IFERROR(XLOOKUP(REGEXEXTR"&amp;"ACT($I30,""^[^｜]+""),ms_mst!$A:$A,ms_mst!$M:$M),1)
  *
  IF(
   $B30&gt;=IFERROR(XLOOKUP(REGEXEXTRACT($L30,""^[^｜]+""),sk_mst!$A:$A,sk_mst!$M:$M),999),
   IFERROR(XLOOKUP(REGEXEXTRACT($L30,""^[^｜]+""),sk_mst!$A:$A,sk_mst!$G:$G),1),
   1
  )
 )
)"),2400.0)</f>
        <v>2400</v>
      </c>
      <c r="Q30" s="25">
        <f>IFERROR(__xludf.DUMMYFUNCTION("IF($A30="""","""",
 IF($F30=""market"",
  IFERROR(XLOOKUP(REGEXEXTRACT($J30,""^[^｜]+""),tr_mst!$A:$A,tr_mst!$F:$F),0)
  +IFERROR(XLOOKUP(REGEXEXTRACT($K30,""^[^｜]+""),tc_mst!$A:$A,tc_mst!$F:$F),0),
  IF($B30=0,
   IFERROR(XLOOKUP(REGEXEXTRACT($I30,""^[^｜]"&amp;"+""),ms_mst!$A:$A,ms_mst!$F:$F),0),
   IFERROR(XLOOKUP(""T""&amp;($B30-1)&amp;""_""&amp;$D30,$A:$A,$Q:$Q),0)
  )
  +IFERROR(XLOOKUP(REGEXEXTRACT($J30,""^[^｜]+""),tr_mst!$A:$A,tr_mst!$F:$F),0)
  +IFERROR(XLOOKUP(REGEXEXTRACT($K30,""^[^｜]+""),tc_mst!$A:$A,tc_mst!$F:$F)"&amp;",0)
  +
  (
   IFERROR(XLOOKUP(REGEXEXTRACT($M30,""^[^｜]+""),ac_mst!$A:$A,ac_mst!$I:$I),0)
   +IFERROR(XLOOKUP(REGEXEXTRACT($N30,""^[^｜]+""),ac_mst!$A:$A,ac_mst!$I:$I),0)
   +IFERROR(
    XLOOKUP(
     IF(
      OR(
       IFERROR(REGEXEXTRACT($M30,""^[^｜"&amp;"]+""),"""")="""",
       IFERROR(REGEXEXTRACT($N30,""^[^｜]+""),"""")=""""
      ),
      """",
      IF(
       IFERROR(REGEXEXTRACT($M30,""^[^｜]+""),"""")&lt;IFERROR(REGEXEXTRACT($N30,""^[^｜]+""),""""),
       IFERROR(REGEXEXTRACT($M30,""^[^｜]+""),"""")&amp;""_"&amp;"""&amp;IFERROR(REGEXEXTRACT($N30,""^[^｜]+""),""""),
       IFERROR(REGEXEXTRACT($N30,""^[^｜]+""),"""")&amp;""_""&amp;IFERROR(REGEXEXTRACT($M30,""^[^｜]+""),"""")
      )
     ),
     sy_mst!$A:$A,
     sy_mst!$F:$F
    ),
    0
   )
  )
  *
  IFERROR(XLOOKUP(REGEXEXTR"&amp;"ACT($I30,""^[^｜]+""),ms_mst!$A:$A,ms_mst!$N:$N),1)
  *
  IF(
   $B30&gt;=IFERROR(XLOOKUP(REGEXEXTRACT($L30,""^[^｜]+""),sk_mst!$A:$A,sk_mst!$M:$M),999),
   IFERROR(XLOOKUP(REGEXEXTRACT($L30,""^[^｜]+""),sk_mst!$A:$A,sk_mst!$H:$H),1),
   1
  )
 )
)"),0.5069999999999999)</f>
        <v>0.507</v>
      </c>
      <c r="R30" s="25">
        <f>IFERROR(__xludf.DUMMYFUNCTION("IF($A30="""","""",
 IF($F30=""market"",
  IFERROR(XLOOKUP(REGEXEXTRACT($J30,""^[^｜]+""),tr_mst!$A:$A,tr_mst!$G:$G),0)
  +IFERROR(XLOOKUP(REGEXEXTRACT($K30,""^[^｜]+""),tc_mst!$A:$A,tc_mst!$G:$G),0),
  IF($B30=0,
   IFERROR(XLOOKUP(REGEXEXTRACT($I30,""^[^｜]"&amp;"+""),ms_mst!$A:$A,ms_mst!$G:$G),0),
   IFERROR(XLOOKUP(""T""&amp;($B30-1)&amp;""_""&amp;$D30,$A:$A,$R:$R),0)
  )
  +IFERROR(XLOOKUP(REGEXEXTRACT($J30,""^[^｜]+""),tr_mst!$A:$A,tr_mst!$G:$G),0)
  +IFERROR(XLOOKUP(REGEXEXTRACT($K30,""^[^｜]+""),tc_mst!$A:$A,tc_mst!$G:$G)"&amp;",0)
  +
  (
   IFERROR(XLOOKUP(REGEXEXTRACT($M30,""^[^｜]+""),ac_mst!$A:$A,ac_mst!$J:$J),0)
   +IFERROR(XLOOKUP(REGEXEXTRACT($N30,""^[^｜]+""),ac_mst!$A:$A,ac_mst!$J:$J),0)
   +IFERROR(
    XLOOKUP(
     IF(
      OR(
       IFERROR(REGEXEXTRACT($M30,""^[^｜"&amp;"]+""),"""")="""",
       IFERROR(REGEXEXTRACT($N30,""^[^｜]+""),"""")=""""
      ),
      """",
      IF(
       IFERROR(REGEXEXTRACT($M30,""^[^｜]+""),"""")&lt;IFERROR(REGEXEXTRACT($N30,""^[^｜]+""),""""),
       IFERROR(REGEXEXTRACT($M30,""^[^｜]+""),"""")&amp;""_"&amp;"""&amp;IFERROR(REGEXEXTRACT($N30,""^[^｜]+""),""""),
       IFERROR(REGEXEXTRACT($N30,""^[^｜]+""),"""")&amp;""_""&amp;IFERROR(REGEXEXTRACT($M30,""^[^｜]+""),"""")
      )
     ),
     sy_mst!$A:$A,
     sy_mst!$G:$G
    ),
    0
   )
  )
  *
  IFERROR(XLOOKUP(REGEXEXTR"&amp;"ACT($I30,""^[^｜]+""),ms_mst!$A:$A,ms_mst!$O:$O),1)
  *
  IF(
   $B30&gt;=IFERROR(XLOOKUP(REGEXEXTRACT($L30,""^[^｜]+""),sk_mst!$A:$A,sk_mst!$M:$M),999),
   IFERROR(XLOOKUP(REGEXEXTRACT($L30,""^[^｜]+""),sk_mst!$A:$A,sk_mst!$I:$I),1),
   1
  )
 )
)"),1.60725)</f>
        <v>1.60725</v>
      </c>
      <c r="S30" s="25">
        <f>IFERROR(__xludf.DUMMYFUNCTION("IF($A30="""","""",
 IF($F30=""market"",
  IFERROR(XLOOKUP(REGEXEXTRACT($J30,""^[^｜]+""),tr_mst!$A:$A,tr_mst!$H:$H),0)
  +IFERROR(XLOOKUP(REGEXEXTRACT($K30,""^[^｜]+""),tc_mst!$A:$A,tc_mst!$H:$H),0),
  IF($B30=0,
   IFERROR(XLOOKUP(REGEXEXTRACT($I30,""^[^｜]"&amp;"+""),ms_mst!$A:$A,ms_mst!$H:$H),0),
   IFERROR(XLOOKUP(""T""&amp;($B30-1)&amp;""_""&amp;$D30,$A:$A,$S:$S),0)
  )
  +IFERROR(XLOOKUP(REGEXEXTRACT($J30,""^[^｜]+""),tr_mst!$A:$A,tr_mst!$H:$H),0)
  +IFERROR(XLOOKUP(REGEXEXTRACT($K30,""^[^｜]+""),tc_mst!$A:$A,tc_mst!$H:$H)"&amp;",0)
  +
  (
   IFERROR(XLOOKUP(REGEXEXTRACT($M30,""^[^｜]+""),ac_mst!$A:$A,ac_mst!$K:$K),0)
   +IFERROR(XLOOKUP(REGEXEXTRACT($N30,""^[^｜]+""),ac_mst!$A:$A,ac_mst!$K:$K),0)
   +IFERROR(
    XLOOKUP(
     IF(
      OR(
       IFERROR(REGEXEXTRACT($M30,""^[^｜"&amp;"]+""),"""")="""",
       IFERROR(REGEXEXTRACT($N30,""^[^｜]+""),"""")=""""
      ),
      """",
      IF(
       IFERROR(REGEXEXTRACT($M30,""^[^｜]+""),"""")&lt;IFERROR(REGEXEXTRACT($N30,""^[^｜]+""),""""),
       IFERROR(REGEXEXTRACT($M30,""^[^｜]+""),"""")&amp;""_"&amp;"""&amp;IFERROR(REGEXEXTRACT($N30,""^[^｜]+""),""""),
       IFERROR(REGEXEXTRACT($N30,""^[^｜]+""),"""")&amp;""_""&amp;IFERROR(REGEXEXTRACT($M30,""^[^｜]+""),"""")
      )
     ),
     sy_mst!$A:$A,
     sy_mst!$H:$H
    ),
    0
   )
  )
  *
  IFERROR(XLOOKUP(REGEXEXTR"&amp;"ACT($I30,""^[^｜]+""),ms_mst!$A:$A,ms_mst!$P:$P),1)
  *
  IF(
   $B30&gt;=IFERROR(XLOOKUP(REGEXEXTRACT($L30,""^[^｜]+""),sk_mst!$A:$A,sk_mst!$M:$M),999),
   IFERROR(XLOOKUP(REGEXEXTRACT($L30,""^[^｜]+""),sk_mst!$A:$A,sk_mst!$J:$J),1),
   1
  )
 )
)"),0.012349999999999998)</f>
        <v>0.01235</v>
      </c>
      <c r="T30" s="25">
        <f>IFERROR(__xludf.DUMMYFUNCTION("IF($A30="""","""",
 IF($F30=""market"",
  IFERROR(XLOOKUP(REGEXEXTRACT($J30,""^[^｜]+""),tr_mst!$A:$A,tr_mst!$I:$I),0)
  +IFERROR(XLOOKUP(REGEXEXTRACT($K30,""^[^｜]+""),tc_mst!$A:$A,tc_mst!$I:$I),0),
  IF($B30=0,
   IFERROR(XLOOKUP(REGEXEXTRACT($I30,""^[^｜]"&amp;"+""),ms_mst!$A:$A,ms_mst!$I:$I),0),
   IFERROR(XLOOKUP(""T""&amp;($B30-1)&amp;""_""&amp;$D30,$A:$A,$T:$T),0)
  )
  +IFERROR(XLOOKUP(REGEXEXTRACT($J30,""^[^｜]+""),tr_mst!$A:$A,tr_mst!$I:$I),0)
  +IFERROR(XLOOKUP(REGEXEXTRACT($K30,""^[^｜]+""),tc_mst!$A:$A,tc_mst!$I:$I)"&amp;",0)
  +
  (
   IFERROR(XLOOKUP(REGEXEXTRACT($M30,""^[^｜]+""),ac_mst!$A:$A,ac_mst!$L:$L),0)
   +IFERROR(XLOOKUP(REGEXEXTRACT($N30,""^[^｜]+""),ac_mst!$A:$A,ac_mst!$L:$L),0)
   +IFERROR(
    XLOOKUP(
     IF(
      OR(
       IFERROR(REGEXEXTRACT($M30,""^[^｜"&amp;"]+""),"""")="""",
       IFERROR(REGEXEXTRACT($N30,""^[^｜]+""),"""")=""""
      ),
      """",
      IF(
       IFERROR(REGEXEXTRACT($M30,""^[^｜]+""),"""")&lt;IFERROR(REGEXEXTRACT($N30,""^[^｜]+""),""""),
       IFERROR(REGEXEXTRACT($M30,""^[^｜]+""),"""")&amp;""_"&amp;"""&amp;IFERROR(REGEXEXTRACT($N30,""^[^｜]+""),""""),
       IFERROR(REGEXEXTRACT($N30,""^[^｜]+""),"""")&amp;""_""&amp;IFERROR(REGEXEXTRACT($M30,""^[^｜]+""),"""")
      )
     ),
     sy_mst!$A:$A,
     sy_mst!$I:$I
    ),
    0
   )
  )
  *
  IFERROR(XLOOKUP(REGEXEXTR"&amp;"ACT($I30,""^[^｜]+""),ms_mst!$A:$A,ms_mst!$Q:$Q),1)
  *
  IF(
   $B30&gt;=IFERROR(XLOOKUP(REGEXEXTRACT($L30,""^[^｜]+""),sk_mst!$A:$A,sk_mst!$M:$M),999),
   IFERROR(XLOOKUP(REGEXEXTRACT($L30,""^[^｜]+""),sk_mst!$A:$A,sk_mst!$K:$K),1),
   1
  )
 )
)"),4610.0)</f>
        <v>4610</v>
      </c>
      <c r="U30" s="25">
        <f>IFERROR(__xludf.DUMMYFUNCTION("IF($A30="""","""",
 IF($F30=""market"",
  IFERROR(XLOOKUP(REGEXEXTRACT($J30,""^[^｜]+""),tr_mst!$A:$A,tr_mst!$J:$J),0)
  +IFERROR(XLOOKUP(REGEXEXTRACT($K30,""^[^｜]+""),tc_mst!$A:$A,tc_mst!$J:$J),0),
  IF($B30=0,
   IFERROR(XLOOKUP(REGEXEXTRACT($I30,""^[^｜]"&amp;"+""),ms_mst!$A:$A,ms_mst!$J:$J),0),
   IFERROR(XLOOKUP(""T""&amp;($B30-1)&amp;""_""&amp;$D30,$A:$A,$U:$U),0)
  )
  +IFERROR(XLOOKUP(REGEXEXTRACT($J30,""^[^｜]+""),tr_mst!$A:$A,tr_mst!$J:$J),0)
  +IFERROR(XLOOKUP(REGEXEXTRACT($K30,""^[^｜]+""),tc_mst!$A:$A,tc_mst!$J:$J)"&amp;",0)
  +
  (
   IFERROR(XLOOKUP(REGEXEXTRACT($M30,""^[^｜]+""),ac_mst!$A:$A,ac_mst!$M:$M),0)
   +IFERROR(XLOOKUP(REGEXEXTRACT($N30,""^[^｜]+""),ac_mst!$A:$A,ac_mst!$M:$M),0)
   +IFERROR(
    XLOOKUP(
     IF(
      OR(
       IFERROR(REGEXEXTRACT($M30,""^[^｜"&amp;"]+""),"""")="""",
       IFERROR(REGEXEXTRACT($N30,""^[^｜]+""),"""")=""""
      ),
      """",
      IF(
       IFERROR(REGEXEXTRACT($M30,""^[^｜]+""),"""")&lt;IFERROR(REGEXEXTRACT($N30,""^[^｜]+""),""""),
       IFERROR(REGEXEXTRACT($M30,""^[^｜]+""),"""")&amp;""_"&amp;"""&amp;IFERROR(REGEXEXTRACT($N30,""^[^｜]+""),""""),
       IFERROR(REGEXEXTRACT($N30,""^[^｜]+""),"""")&amp;""_""&amp;IFERROR(REGEXEXTRACT($M30,""^[^｜]+""),"""")
      )
     ),
     sy_mst!$A:$A,
     sy_mst!$J:$J
    ),
    0
   )
  )
  *
  IFERROR(XLOOKUP(REGEXEXTR"&amp;"ACT($I30,""^[^｜]+""),ms_mst!$A:$A,ms_mst!$R:$R),1)
  *
  IF(
   $B30&gt;=IFERROR(XLOOKUP(REGEXEXTRACT($L30,""^[^｜]+""),sk_mst!$A:$A,sk_mst!$M:$M),999),
   IFERROR(XLOOKUP(REGEXEXTRACT($L30,""^[^｜]+""),sk_mst!$A:$A,sk_mst!$L:$L),1),
   1
  )
 )
)"),55.0)</f>
        <v>55</v>
      </c>
      <c r="V30" s="25">
        <f t="shared" si="1"/>
        <v>595487</v>
      </c>
      <c r="W30" s="25">
        <f t="shared" si="2"/>
        <v>132000</v>
      </c>
      <c r="X30" s="25">
        <f t="shared" si="3"/>
        <v>463487</v>
      </c>
      <c r="Y30" s="25">
        <f t="shared" si="4"/>
        <v>4.51</v>
      </c>
      <c r="Z30" s="25">
        <f>IFERROR(__xludf.DUMMYFUNCTION("IF($A30="""","""",
 IF($F30&lt;&gt;""player"","""",
  IFERROR(
   RANK(
    $X30,
    FILTER($X:$X,$B:$B=$B30,$F:$F=""player"",$X:$X&lt;&gt;""""),
    0
   ),
   """"
  )
 )
)"),4.0)</f>
        <v>4</v>
      </c>
      <c r="AA30" s="25" t="str">
        <f t="shared" si="5"/>
        <v>4位</v>
      </c>
      <c r="AB30" s="26">
        <f t="shared" si="6"/>
        <v>1.337078142</v>
      </c>
    </row>
    <row r="31">
      <c r="A31" s="14" t="s">
        <v>204</v>
      </c>
      <c r="B31" s="25">
        <v>2.0</v>
      </c>
      <c r="C31" s="14" t="s">
        <v>159</v>
      </c>
      <c r="D31" s="14" t="s">
        <v>160</v>
      </c>
      <c r="E31" s="25" t="s">
        <v>153</v>
      </c>
      <c r="F31" s="25" t="s">
        <v>154</v>
      </c>
      <c r="G31" s="25" t="str">
        <f>IFERROR(__xludf.DUMMYFUNCTION("IF($F31=""market"","""",IFERROR(FILTER(member_log!$B$10:$B947,member_log!$C$10:$C947=$C31,member_log!$D$10:$D947=$E31,member_log!$G$10:$G947=""active""),""""))"),"")</f>
        <v/>
      </c>
      <c r="H31" s="25" t="str">
        <f>IFERROR(__xludf.DUMMYFUNCTION("IF($F31=""market"","""",IFERROR(FILTER(member_log!$E$10:$E947,member_log!$C$10:$C947=$C31,member_log!$D$10:$D947=$E31,member_log!$G$10:$G947=""active""),""""))"),"")</f>
        <v/>
      </c>
      <c r="I31" s="25" t="str">
        <f>IFERROR(__xludf.DUMMYFUNCTION("IF($F31&lt;&gt;""player"","""",IFERROR(INDEX(FILTER(group_setup!$D$2:$D947,group_setup!$B$2:$B947=$C31,group_setup!$G$2:$G947=TRUE,group_setup!$H$2:$H947=""completed""),1),""""))"),"M03")</f>
        <v>M03</v>
      </c>
      <c r="J31" s="25" t="str">
        <f>IFERROR(__xludf.DUMMYFUNCTION("IFERROR(FILTER(market_event_log!$D$2:$D947,market_event_log!$C$2:$C947=$B31,market_event_log!$N$2:$N947=""active""),"""")"),"T01")</f>
        <v>T01</v>
      </c>
      <c r="K31" s="25" t="str">
        <f>IFERROR(__xludf.DUMMYFUNCTION("IFERROR(FILTER(market_event_log!$G$2:$G947,market_event_log!$C$2:$C947=$B31,market_event_log!$N$2:$N947=""active""),"""")"),"C03")</f>
        <v>C03</v>
      </c>
      <c r="L31" s="25" t="str">
        <f>IFERROR(__xludf.DUMMYFUNCTION("IF($F31&lt;&gt;""player"","""",IFERROR(INDEX(FILTER(group_setup!$E$2:$E947,group_setup!$B$2:$B947=$C31,group_setup!$G$2:$G947=TRUE,group_setup!$H$2:$H947=""completed""),1),""""))"),"S02")</f>
        <v>S02</v>
      </c>
      <c r="M31" s="25" t="str">
        <f>IFERROR(__xludf.DUMMYFUNCTION("IF($F31=""market"","""",IF($E31=""HUMAN"",IFERROR(FILTER(turn_log!$G$2:$G947,turn_log!$C$2:$C947=$B31,turn_log!$D$2:$D947=$C31,turn_log!$F$2:$F947=$E31),""""),IFERROR(FILTER(turn_log!$I$2:$I947,turn_log!$C$2:$C947=$B31,turn_log!$D$2:$D947=$C31,turn_log!$F"&amp;"$2:$F947=$E31),"""")))"),"A05")</f>
        <v>A05</v>
      </c>
      <c r="N31" s="25" t="str">
        <f>IFERROR(__xludf.DUMMYFUNCTION("IF($F31=""market"","""",IF($E31=""HUMAN"",IFERROR(FILTER(turn_log!$H$2:$H947,turn_log!$C$2:$C947=$B31,turn_log!$D$2:$D947=$C31,turn_log!$F$2:$F947=$E31),""""),IFERROR(FILTER(turn_log!$J$2:$J947,turn_log!$C$2:$C947=$B31,turn_log!$D$2:$D947=$C31,turn_log!$F"&amp;"$2:$F947=$E31),"""")))"),"A10")</f>
        <v>A10</v>
      </c>
      <c r="O31" s="25">
        <f>IFERROR(__xludf.DUMMYFUNCTION("IF($A31="""","""",
 IF($F31=""market"",
  IFERROR(XLOOKUP(REGEXEXTRACT($J31,""^[^｜]+""),tr_mst!$A:$A,tr_mst!$D:$D),0)
  +IFERROR(XLOOKUP(REGEXEXTRACT($K31,""^[^｜]+""),tc_mst!$A:$A,tc_mst!$D:$D),0),
  IF($B31=0,
   IFERROR(XLOOKUP(REGEXEXTRACT($I31,""^[^｜]"&amp;"+""),ms_mst!$A:$A,ms_mst!$D:$D),0),
   IFERROR(XLOOKUP(""T""&amp;($B31-1)&amp;""_""&amp;$D31,$A:$A,$O:$O),0)
  )
  +IFERROR(XLOOKUP(REGEXEXTRACT($J31,""^[^｜]+""),tr_mst!$A:$A,tr_mst!$D:$D),0)
  +IFERROR(XLOOKUP(REGEXEXTRACT($K31,""^[^｜]+""),tc_mst!$A:$A,tc_mst!$D:$D)"&amp;",0)
  +
  (
   IFERROR(XLOOKUP(REGEXEXTRACT($M31,""^[^｜]+""),ac_mst!$A:$A,ac_mst!$G:$G),0)
   +IFERROR(XLOOKUP(REGEXEXTRACT($N31,""^[^｜]+""),ac_mst!$A:$A,ac_mst!$G:$G),0)
   +IFERROR(
    XLOOKUP(
     IF(
      OR(
       IFERROR(REGEXEXTRACT($M31,""^[^｜"&amp;"]+""),"""")="""",
       IFERROR(REGEXEXTRACT($N31,""^[^｜]+""),"""")=""""
      ),
      """",
      IF(
       IFERROR(REGEXEXTRACT($M31,""^[^｜]+""),"""")&lt;IFERROR(REGEXEXTRACT($N31,""^[^｜]+""),""""),
       IFERROR(REGEXEXTRACT($M31,""^[^｜]+""),"""")&amp;""_"&amp;"""&amp;IFERROR(REGEXEXTRACT($N31,""^[^｜]+""),""""),
       IFERROR(REGEXEXTRACT($N31,""^[^｜]+""),"""")&amp;""_""&amp;IFERROR(REGEXEXTRACT($M31,""^[^｜]+""),"""")
      )
     ),
     sy_mst!$A:$A,
     sy_mst!$D:$D
    ),
    0
   )
  )
  *
  IFERROR(XLOOKUP(REGEXEXTR"&amp;"ACT($I31,""^[^｜]+""),ms_mst!$A:$A,ms_mst!$L:$L),1)
  *
  IF(
   $B31&gt;=IFERROR(XLOOKUP(REGEXEXTRACT($L31,""^[^｜]+""),sk_mst!$A:$A,sk_mst!$M:$M),999),
   IFERROR(XLOOKUP(REGEXEXTRACT($L31,""^[^｜]+""),sk_mst!$A:$A,sk_mst!$F:$F),1),
   1
  )
 )
)"),13025.0)</f>
        <v>13025</v>
      </c>
      <c r="P31" s="25">
        <f>IFERROR(__xludf.DUMMYFUNCTION("IF($A31="""","""",
 IF($F31=""market"",
  IFERROR(XLOOKUP(REGEXEXTRACT($J31,""^[^｜]+""),tr_mst!$A:$A,tr_mst!$E:$E),0)
  +IFERROR(XLOOKUP(REGEXEXTRACT($K31,""^[^｜]+""),tc_mst!$A:$A,tc_mst!$E:$E),0),
  IF($B31=0,
   IFERROR(XLOOKUP(REGEXEXTRACT($I31,""^[^｜]"&amp;"+""),ms_mst!$A:$A,ms_mst!$E:$E),0),
   IFERROR(XLOOKUP(""T""&amp;($B31-1)&amp;""_""&amp;$D31,$A:$A,$P:$P),0)
  )
  +IFERROR(XLOOKUP(REGEXEXTRACT($J31,""^[^｜]+""),tr_mst!$A:$A,tr_mst!$E:$E),0)
  +IFERROR(XLOOKUP(REGEXEXTRACT($K31,""^[^｜]+""),tc_mst!$A:$A,tc_mst!$E:$E)"&amp;",0)
  +
  (
   IFERROR(XLOOKUP(REGEXEXTRACT($M31,""^[^｜]+""),ac_mst!$A:$A,ac_mst!$H:$H),0)
   +IFERROR(XLOOKUP(REGEXEXTRACT($N31,""^[^｜]+""),ac_mst!$A:$A,ac_mst!$H:$H),0)
   +IFERROR(
    XLOOKUP(
     IF(
      OR(
       IFERROR(REGEXEXTRACT($M31,""^[^｜"&amp;"]+""),"""")="""",
       IFERROR(REGEXEXTRACT($N31,""^[^｜]+""),"""")=""""
      ),
      """",
      IF(
       IFERROR(REGEXEXTRACT($M31,""^[^｜]+""),"""")&lt;IFERROR(REGEXEXTRACT($N31,""^[^｜]+""),""""),
       IFERROR(REGEXEXTRACT($M31,""^[^｜]+""),"""")&amp;""_"&amp;"""&amp;IFERROR(REGEXEXTRACT($N31,""^[^｜]+""),""""),
       IFERROR(REGEXEXTRACT($N31,""^[^｜]+""),"""")&amp;""_""&amp;IFERROR(REGEXEXTRACT($M31,""^[^｜]+""),"""")
      )
     ),
     sy_mst!$A:$A,
     sy_mst!$E:$E
    ),
    0
   )
  )
  *
  IFERROR(XLOOKUP(REGEXEXTR"&amp;"ACT($I31,""^[^｜]+""),ms_mst!$A:$A,ms_mst!$M:$M),1)
  *
  IF(
   $B31&gt;=IFERROR(XLOOKUP(REGEXEXTRACT($L31,""^[^｜]+""),sk_mst!$A:$A,sk_mst!$M:$M),999),
   IFERROR(XLOOKUP(REGEXEXTRACT($L31,""^[^｜]+""),sk_mst!$A:$A,sk_mst!$G:$G),1),
   1
  )
 )
)"),1400.0)</f>
        <v>1400</v>
      </c>
      <c r="Q31" s="25">
        <f>IFERROR(__xludf.DUMMYFUNCTION("IF($A31="""","""",
 IF($F31=""market"",
  IFERROR(XLOOKUP(REGEXEXTRACT($J31,""^[^｜]+""),tr_mst!$A:$A,tr_mst!$F:$F),0)
  +IFERROR(XLOOKUP(REGEXEXTRACT($K31,""^[^｜]+""),tc_mst!$A:$A,tc_mst!$F:$F),0),
  IF($B31=0,
   IFERROR(XLOOKUP(REGEXEXTRACT($I31,""^[^｜]"&amp;"+""),ms_mst!$A:$A,ms_mst!$F:$F),0),
   IFERROR(XLOOKUP(""T""&amp;($B31-1)&amp;""_""&amp;$D31,$A:$A,$Q:$Q),0)
  )
  +IFERROR(XLOOKUP(REGEXEXTRACT($J31,""^[^｜]+""),tr_mst!$A:$A,tr_mst!$F:$F),0)
  +IFERROR(XLOOKUP(REGEXEXTRACT($K31,""^[^｜]+""),tc_mst!$A:$A,tc_mst!$F:$F)"&amp;",0)
  +
  (
   IFERROR(XLOOKUP(REGEXEXTRACT($M31,""^[^｜]+""),ac_mst!$A:$A,ac_mst!$I:$I),0)
   +IFERROR(XLOOKUP(REGEXEXTRACT($N31,""^[^｜]+""),ac_mst!$A:$A,ac_mst!$I:$I),0)
   +IFERROR(
    XLOOKUP(
     IF(
      OR(
       IFERROR(REGEXEXTRACT($M31,""^[^｜"&amp;"]+""),"""")="""",
       IFERROR(REGEXEXTRACT($N31,""^[^｜]+""),"""")=""""
      ),
      """",
      IF(
       IFERROR(REGEXEXTRACT($M31,""^[^｜]+""),"""")&lt;IFERROR(REGEXEXTRACT($N31,""^[^｜]+""),""""),
       IFERROR(REGEXEXTRACT($M31,""^[^｜]+""),"""")&amp;""_"&amp;"""&amp;IFERROR(REGEXEXTRACT($N31,""^[^｜]+""),""""),
       IFERROR(REGEXEXTRACT($N31,""^[^｜]+""),"""")&amp;""_""&amp;IFERROR(REGEXEXTRACT($M31,""^[^｜]+""),"""")
      )
     ),
     sy_mst!$A:$A,
     sy_mst!$F:$F
    ),
    0
   )
  )
  *
  IFERROR(XLOOKUP(REGEXEXTR"&amp;"ACT($I31,""^[^｜]+""),ms_mst!$A:$A,ms_mst!$N:$N),1)
  *
  IF(
   $B31&gt;=IFERROR(XLOOKUP(REGEXEXTRACT($L31,""^[^｜]+""),sk_mst!$A:$A,sk_mst!$M:$M),999),
   IFERROR(XLOOKUP(REGEXEXTRACT($L31,""^[^｜]+""),sk_mst!$A:$A,sk_mst!$H:$H),1),
   1
  )
 )
)"),0.47000000000000003)</f>
        <v>0.47</v>
      </c>
      <c r="R31" s="25">
        <f>IFERROR(__xludf.DUMMYFUNCTION("IF($A31="""","""",
 IF($F31=""market"",
  IFERROR(XLOOKUP(REGEXEXTRACT($J31,""^[^｜]+""),tr_mst!$A:$A,tr_mst!$G:$G),0)
  +IFERROR(XLOOKUP(REGEXEXTRACT($K31,""^[^｜]+""),tc_mst!$A:$A,tc_mst!$G:$G),0),
  IF($B31=0,
   IFERROR(XLOOKUP(REGEXEXTRACT($I31,""^[^｜]"&amp;"+""),ms_mst!$A:$A,ms_mst!$G:$G),0),
   IFERROR(XLOOKUP(""T""&amp;($B31-1)&amp;""_""&amp;$D31,$A:$A,$R:$R),0)
  )
  +IFERROR(XLOOKUP(REGEXEXTRACT($J31,""^[^｜]+""),tr_mst!$A:$A,tr_mst!$G:$G),0)
  +IFERROR(XLOOKUP(REGEXEXTRACT($K31,""^[^｜]+""),tc_mst!$A:$A,tc_mst!$G:$G)"&amp;",0)
  +
  (
   IFERROR(XLOOKUP(REGEXEXTRACT($M31,""^[^｜]+""),ac_mst!$A:$A,ac_mst!$J:$J),0)
   +IFERROR(XLOOKUP(REGEXEXTRACT($N31,""^[^｜]+""),ac_mst!$A:$A,ac_mst!$J:$J),0)
   +IFERROR(
    XLOOKUP(
     IF(
      OR(
       IFERROR(REGEXEXTRACT($M31,""^[^｜"&amp;"]+""),"""")="""",
       IFERROR(REGEXEXTRACT($N31,""^[^｜]+""),"""")=""""
      ),
      """",
      IF(
       IFERROR(REGEXEXTRACT($M31,""^[^｜]+""),"""")&lt;IFERROR(REGEXEXTRACT($N31,""^[^｜]+""),""""),
       IFERROR(REGEXEXTRACT($M31,""^[^｜]+""),"""")&amp;""_"&amp;"""&amp;IFERROR(REGEXEXTRACT($N31,""^[^｜]+""),""""),
       IFERROR(REGEXEXTRACT($N31,""^[^｜]+""),"""")&amp;""_""&amp;IFERROR(REGEXEXTRACT($M31,""^[^｜]+""),"""")
      )
     ),
     sy_mst!$A:$A,
     sy_mst!$G:$G
    ),
    0
   )
  )
  *
  IFERROR(XLOOKUP(REGEXEXTR"&amp;"ACT($I31,""^[^｜]+""),ms_mst!$A:$A,ms_mst!$O:$O),1)
  *
  IF(
   $B31&gt;=IFERROR(XLOOKUP(REGEXEXTRACT($L31,""^[^｜]+""),sk_mst!$A:$A,sk_mst!$M:$M),999),
   IFERROR(XLOOKUP(REGEXEXTRACT($L31,""^[^｜]+""),sk_mst!$A:$A,sk_mst!$I:$I),1),
   1
  )
 )
)"),1.7715)</f>
        <v>1.7715</v>
      </c>
      <c r="S31" s="25">
        <f>IFERROR(__xludf.DUMMYFUNCTION("IF($A31="""","""",
 IF($F31=""market"",
  IFERROR(XLOOKUP(REGEXEXTRACT($J31,""^[^｜]+""),tr_mst!$A:$A,tr_mst!$H:$H),0)
  +IFERROR(XLOOKUP(REGEXEXTRACT($K31,""^[^｜]+""),tc_mst!$A:$A,tc_mst!$H:$H),0),
  IF($B31=0,
   IFERROR(XLOOKUP(REGEXEXTRACT($I31,""^[^｜]"&amp;"+""),ms_mst!$A:$A,ms_mst!$H:$H),0),
   IFERROR(XLOOKUP(""T""&amp;($B31-1)&amp;""_""&amp;$D31,$A:$A,$S:$S),0)
  )
  +IFERROR(XLOOKUP(REGEXEXTRACT($J31,""^[^｜]+""),tr_mst!$A:$A,tr_mst!$H:$H),0)
  +IFERROR(XLOOKUP(REGEXEXTRACT($K31,""^[^｜]+""),tc_mst!$A:$A,tc_mst!$H:$H)"&amp;",0)
  +
  (
   IFERROR(XLOOKUP(REGEXEXTRACT($M31,""^[^｜]+""),ac_mst!$A:$A,ac_mst!$K:$K),0)
   +IFERROR(XLOOKUP(REGEXEXTRACT($N31,""^[^｜]+""),ac_mst!$A:$A,ac_mst!$K:$K),0)
   +IFERROR(
    XLOOKUP(
     IF(
      OR(
       IFERROR(REGEXEXTRACT($M31,""^[^｜"&amp;"]+""),"""")="""",
       IFERROR(REGEXEXTRACT($N31,""^[^｜]+""),"""")=""""
      ),
      """",
      IF(
       IFERROR(REGEXEXTRACT($M31,""^[^｜]+""),"""")&lt;IFERROR(REGEXEXTRACT($N31,""^[^｜]+""),""""),
       IFERROR(REGEXEXTRACT($M31,""^[^｜]+""),"""")&amp;""_"&amp;"""&amp;IFERROR(REGEXEXTRACT($N31,""^[^｜]+""),""""),
       IFERROR(REGEXEXTRACT($N31,""^[^｜]+""),"""")&amp;""_""&amp;IFERROR(REGEXEXTRACT($M31,""^[^｜]+""),"""")
      )
     ),
     sy_mst!$A:$A,
     sy_mst!$H:$H
    ),
    0
   )
  )
  *
  IFERROR(XLOOKUP(REGEXEXTR"&amp;"ACT($I31,""^[^｜]+""),ms_mst!$A:$A,ms_mst!$P:$P),1)
  *
  IF(
   $B31&gt;=IFERROR(XLOOKUP(REGEXEXTRACT($L31,""^[^｜]+""),sk_mst!$A:$A,sk_mst!$M:$M),999),
   IFERROR(XLOOKUP(REGEXEXTRACT($L31,""^[^｜]+""),sk_mst!$A:$A,sk_mst!$J:$J),1),
   1
  )
 )
)"),0.015300000000000001)</f>
        <v>0.0153</v>
      </c>
      <c r="T31" s="25">
        <f>IFERROR(__xludf.DUMMYFUNCTION("IF($A31="""","""",
 IF($F31=""market"",
  IFERROR(XLOOKUP(REGEXEXTRACT($J31,""^[^｜]+""),tr_mst!$A:$A,tr_mst!$I:$I),0)
  +IFERROR(XLOOKUP(REGEXEXTRACT($K31,""^[^｜]+""),tc_mst!$A:$A,tc_mst!$I:$I),0),
  IF($B31=0,
   IFERROR(XLOOKUP(REGEXEXTRACT($I31,""^[^｜]"&amp;"+""),ms_mst!$A:$A,ms_mst!$I:$I),0),
   IFERROR(XLOOKUP(""T""&amp;($B31-1)&amp;""_""&amp;$D31,$A:$A,$T:$T),0)
  )
  +IFERROR(XLOOKUP(REGEXEXTRACT($J31,""^[^｜]+""),tr_mst!$A:$A,tr_mst!$I:$I),0)
  +IFERROR(XLOOKUP(REGEXEXTRACT($K31,""^[^｜]+""),tc_mst!$A:$A,tc_mst!$I:$I)"&amp;",0)
  +
  (
   IFERROR(XLOOKUP(REGEXEXTRACT($M31,""^[^｜]+""),ac_mst!$A:$A,ac_mst!$L:$L),0)
   +IFERROR(XLOOKUP(REGEXEXTRACT($N31,""^[^｜]+""),ac_mst!$A:$A,ac_mst!$L:$L),0)
   +IFERROR(
    XLOOKUP(
     IF(
      OR(
       IFERROR(REGEXEXTRACT($M31,""^[^｜"&amp;"]+""),"""")="""",
       IFERROR(REGEXEXTRACT($N31,""^[^｜]+""),"""")=""""
      ),
      """",
      IF(
       IFERROR(REGEXEXTRACT($M31,""^[^｜]+""),"""")&lt;IFERROR(REGEXEXTRACT($N31,""^[^｜]+""),""""),
       IFERROR(REGEXEXTRACT($M31,""^[^｜]+""),"""")&amp;""_"&amp;"""&amp;IFERROR(REGEXEXTRACT($N31,""^[^｜]+""),""""),
       IFERROR(REGEXEXTRACT($N31,""^[^｜]+""),"""")&amp;""_""&amp;IFERROR(REGEXEXTRACT($M31,""^[^｜]+""),"""")
      )
     ),
     sy_mst!$A:$A,
     sy_mst!$I:$I
    ),
    0
   )
  )
  *
  IFERROR(XLOOKUP(REGEXEXTR"&amp;"ACT($I31,""^[^｜]+""),ms_mst!$A:$A,ms_mst!$Q:$Q),1)
  *
  IF(
   $B31&gt;=IFERROR(XLOOKUP(REGEXEXTRACT($L31,""^[^｜]+""),sk_mst!$A:$A,sk_mst!$M:$M),999),
   IFERROR(XLOOKUP(REGEXEXTRACT($L31,""^[^｜]+""),sk_mst!$A:$A,sk_mst!$K:$K),1),
   1
  )
 )
)"),4000.0)</f>
        <v>4000</v>
      </c>
      <c r="U31" s="25">
        <f>IFERROR(__xludf.DUMMYFUNCTION("IF($A31="""","""",
 IF($F31=""market"",
  IFERROR(XLOOKUP(REGEXEXTRACT($J31,""^[^｜]+""),tr_mst!$A:$A,tr_mst!$J:$J),0)
  +IFERROR(XLOOKUP(REGEXEXTRACT($K31,""^[^｜]+""),tc_mst!$A:$A,tc_mst!$J:$J),0),
  IF($B31=0,
   IFERROR(XLOOKUP(REGEXEXTRACT($I31,""^[^｜]"&amp;"+""),ms_mst!$A:$A,ms_mst!$J:$J),0),
   IFERROR(XLOOKUP(""T""&amp;($B31-1)&amp;""_""&amp;$D31,$A:$A,$U:$U),0)
  )
  +IFERROR(XLOOKUP(REGEXEXTRACT($J31,""^[^｜]+""),tr_mst!$A:$A,tr_mst!$J:$J),0)
  +IFERROR(XLOOKUP(REGEXEXTRACT($K31,""^[^｜]+""),tc_mst!$A:$A,tc_mst!$J:$J)"&amp;",0)
  +
  (
   IFERROR(XLOOKUP(REGEXEXTRACT($M31,""^[^｜]+""),ac_mst!$A:$A,ac_mst!$M:$M),0)
   +IFERROR(XLOOKUP(REGEXEXTRACT($N31,""^[^｜]+""),ac_mst!$A:$A,ac_mst!$M:$M),0)
   +IFERROR(
    XLOOKUP(
     IF(
      OR(
       IFERROR(REGEXEXTRACT($M31,""^[^｜"&amp;"]+""),"""")="""",
       IFERROR(REGEXEXTRACT($N31,""^[^｜]+""),"""")=""""
      ),
      """",
      IF(
       IFERROR(REGEXEXTRACT($M31,""^[^｜]+""),"""")&lt;IFERROR(REGEXEXTRACT($N31,""^[^｜]+""),""""),
       IFERROR(REGEXEXTRACT($M31,""^[^｜]+""),"""")&amp;""_"&amp;"""&amp;IFERROR(REGEXEXTRACT($N31,""^[^｜]+""),""""),
       IFERROR(REGEXEXTRACT($N31,""^[^｜]+""),"""")&amp;""_""&amp;IFERROR(REGEXEXTRACT($M31,""^[^｜]+""),"""")
      )
     ),
     sy_mst!$A:$A,
     sy_mst!$J:$J
    ),
    0
   )
  )
  *
  IFERROR(XLOOKUP(REGEXEXTR"&amp;"ACT($I31,""^[^｜]+""),ms_mst!$A:$A,ms_mst!$R:$R),1)
  *
  IF(
   $B31&gt;=IFERROR(XLOOKUP(REGEXEXTRACT($L31,""^[^｜]+""),sk_mst!$A:$A,sk_mst!$M:$M),999),
   IFERROR(XLOOKUP(REGEXEXTRACT($L31,""^[^｜]+""),sk_mst!$A:$A,sk_mst!$L:$L),1),
   1
  )
 )
)"),45.0)</f>
        <v>45</v>
      </c>
      <c r="V31" s="25">
        <f t="shared" si="1"/>
        <v>828866</v>
      </c>
      <c r="W31" s="25">
        <f t="shared" si="2"/>
        <v>63000</v>
      </c>
      <c r="X31" s="25">
        <f t="shared" si="3"/>
        <v>765866</v>
      </c>
      <c r="Y31" s="25">
        <f t="shared" si="4"/>
        <v>13.16</v>
      </c>
      <c r="Z31" s="25">
        <f>IFERROR(__xludf.DUMMYFUNCTION("IF($A31="""","""",
 IF($F31&lt;&gt;""player"","""",
  IFERROR(
   RANK(
    $X31,
    FILTER($X:$X,$B:$B=$B31,$F:$F=""player"",$X:$X&lt;&gt;""""),
    0
   ),
   """"
  )
 )
)"),1.0)</f>
        <v>1</v>
      </c>
      <c r="AA31" s="25" t="str">
        <f t="shared" si="5"/>
        <v>1位</v>
      </c>
      <c r="AB31" s="26">
        <f t="shared" si="6"/>
        <v>1.346403186</v>
      </c>
    </row>
    <row r="32">
      <c r="A32" s="14" t="s">
        <v>205</v>
      </c>
      <c r="B32" s="25">
        <v>2.0</v>
      </c>
      <c r="C32" s="14" t="s">
        <v>162</v>
      </c>
      <c r="D32" s="14" t="s">
        <v>163</v>
      </c>
      <c r="E32" s="25" t="s">
        <v>153</v>
      </c>
      <c r="F32" s="25" t="s">
        <v>154</v>
      </c>
      <c r="G32" s="25" t="str">
        <f>IFERROR(__xludf.DUMMYFUNCTION("IF($F32=""market"","""",IFERROR(FILTER(member_log!$B$10:$B947,member_log!$C$10:$C947=$C32,member_log!$D$10:$D947=$E32,member_log!$G$10:$G947=""active""),""""))"),"")</f>
        <v/>
      </c>
      <c r="H32" s="25" t="str">
        <f>IFERROR(__xludf.DUMMYFUNCTION("IF($F32=""market"","""",IFERROR(FILTER(member_log!$E$10:$E947,member_log!$C$10:$C947=$C32,member_log!$D$10:$D947=$E32,member_log!$G$10:$G947=""active""),""""))"),"")</f>
        <v/>
      </c>
      <c r="I32" s="25" t="str">
        <f>IFERROR(__xludf.DUMMYFUNCTION("IF($F32&lt;&gt;""player"","""",IFERROR(INDEX(FILTER(group_setup!$D$2:$D947,group_setup!$B$2:$B947=$C32,group_setup!$G$2:$G947=TRUE,group_setup!$H$2:$H947=""completed""),1),""""))"),"M01")</f>
        <v>M01</v>
      </c>
      <c r="J32" s="25" t="str">
        <f>IFERROR(__xludf.DUMMYFUNCTION("IFERROR(FILTER(market_event_log!$D$2:$D947,market_event_log!$C$2:$C947=$B32,market_event_log!$N$2:$N947=""active""),"""")"),"T01")</f>
        <v>T01</v>
      </c>
      <c r="K32" s="25" t="str">
        <f>IFERROR(__xludf.DUMMYFUNCTION("IFERROR(FILTER(market_event_log!$G$2:$G947,market_event_log!$C$2:$C947=$B32,market_event_log!$N$2:$N947=""active""),"""")"),"C03")</f>
        <v>C03</v>
      </c>
      <c r="L32" s="25" t="str">
        <f>IFERROR(__xludf.DUMMYFUNCTION("IF($F32&lt;&gt;""player"","""",IFERROR(INDEX(FILTER(group_setup!$E$2:$E947,group_setup!$B$2:$B947=$C32,group_setup!$G$2:$G947=TRUE,group_setup!$H$2:$H947=""completed""),1),""""))"),"S01")</f>
        <v>S01</v>
      </c>
      <c r="M32" s="25" t="str">
        <f>IFERROR(__xludf.DUMMYFUNCTION("IF($F32=""market"","""",IF($E32=""HUMAN"",IFERROR(FILTER(turn_log!$G$2:$G947,turn_log!$C$2:$C947=$B32,turn_log!$D$2:$D947=$C32,turn_log!$F$2:$F947=$E32),""""),IFERROR(FILTER(turn_log!$I$2:$I947,turn_log!$C$2:$C947=$B32,turn_log!$D$2:$D947=$C32,turn_log!$F"&amp;"$2:$F947=$E32),"""")))"),"A06")</f>
        <v>A06</v>
      </c>
      <c r="N32" s="25" t="str">
        <f>IFERROR(__xludf.DUMMYFUNCTION("IF($F32=""market"","""",IF($E32=""HUMAN"",IFERROR(FILTER(turn_log!$H$2:$H947,turn_log!$C$2:$C947=$B32,turn_log!$D$2:$D947=$C32,turn_log!$F$2:$F947=$E32),""""),IFERROR(FILTER(turn_log!$J$2:$J947,turn_log!$C$2:$C947=$B32,turn_log!$D$2:$D947=$C32,turn_log!$F"&amp;"$2:$F947=$E32),"""")))"),"A10")</f>
        <v>A10</v>
      </c>
      <c r="O32" s="25">
        <f>IFERROR(__xludf.DUMMYFUNCTION("IF($A32="""","""",
 IF($F32=""market"",
  IFERROR(XLOOKUP(REGEXEXTRACT($J32,""^[^｜]+""),tr_mst!$A:$A,tr_mst!$D:$D),0)
  +IFERROR(XLOOKUP(REGEXEXTRACT($K32,""^[^｜]+""),tc_mst!$A:$A,tc_mst!$D:$D),0),
  IF($B32=0,
   IFERROR(XLOOKUP(REGEXEXTRACT($I32,""^[^｜]"&amp;"+""),ms_mst!$A:$A,ms_mst!$D:$D),0),
   IFERROR(XLOOKUP(""T""&amp;($B32-1)&amp;""_""&amp;$D32,$A:$A,$O:$O),0)
  )
  +IFERROR(XLOOKUP(REGEXEXTRACT($J32,""^[^｜]+""),tr_mst!$A:$A,tr_mst!$D:$D),0)
  +IFERROR(XLOOKUP(REGEXEXTRACT($K32,""^[^｜]+""),tc_mst!$A:$A,tc_mst!$D:$D)"&amp;",0)
  +
  (
   IFERROR(XLOOKUP(REGEXEXTRACT($M32,""^[^｜]+""),ac_mst!$A:$A,ac_mst!$G:$G),0)
   +IFERROR(XLOOKUP(REGEXEXTRACT($N32,""^[^｜]+""),ac_mst!$A:$A,ac_mst!$G:$G),0)
   +IFERROR(
    XLOOKUP(
     IF(
      OR(
       IFERROR(REGEXEXTRACT($M32,""^[^｜"&amp;"]+""),"""")="""",
       IFERROR(REGEXEXTRACT($N32,""^[^｜]+""),"""")=""""
      ),
      """",
      IF(
       IFERROR(REGEXEXTRACT($M32,""^[^｜]+""),"""")&lt;IFERROR(REGEXEXTRACT($N32,""^[^｜]+""),""""),
       IFERROR(REGEXEXTRACT($M32,""^[^｜]+""),"""")&amp;""_"&amp;"""&amp;IFERROR(REGEXEXTRACT($N32,""^[^｜]+""),""""),
       IFERROR(REGEXEXTRACT($N32,""^[^｜]+""),"""")&amp;""_""&amp;IFERROR(REGEXEXTRACT($M32,""^[^｜]+""),"""")
      )
     ),
     sy_mst!$A:$A,
     sy_mst!$D:$D
    ),
    0
   )
  )
  *
  IFERROR(XLOOKUP(REGEXEXTR"&amp;"ACT($I32,""^[^｜]+""),ms_mst!$A:$A,ms_mst!$L:$L),1)
  *
  IF(
   $B32&gt;=IFERROR(XLOOKUP(REGEXEXTRACT($L32,""^[^｜]+""),sk_mst!$A:$A,sk_mst!$M:$M),999),
   IFERROR(XLOOKUP(REGEXEXTRACT($L32,""^[^｜]+""),sk_mst!$A:$A,sk_mst!$F:$F),1),
   1
  )
 )
)"),9300.0)</f>
        <v>9300</v>
      </c>
      <c r="P32" s="25">
        <f>IFERROR(__xludf.DUMMYFUNCTION("IF($A32="""","""",
 IF($F32=""market"",
  IFERROR(XLOOKUP(REGEXEXTRACT($J32,""^[^｜]+""),tr_mst!$A:$A,tr_mst!$E:$E),0)
  +IFERROR(XLOOKUP(REGEXEXTRACT($K32,""^[^｜]+""),tc_mst!$A:$A,tc_mst!$E:$E),0),
  IF($B32=0,
   IFERROR(XLOOKUP(REGEXEXTRACT($I32,""^[^｜]"&amp;"+""),ms_mst!$A:$A,ms_mst!$E:$E),0),
   IFERROR(XLOOKUP(""T""&amp;($B32-1)&amp;""_""&amp;$D32,$A:$A,$P:$P),0)
  )
  +IFERROR(XLOOKUP(REGEXEXTRACT($J32,""^[^｜]+""),tr_mst!$A:$A,tr_mst!$E:$E),0)
  +IFERROR(XLOOKUP(REGEXEXTRACT($K32,""^[^｜]+""),tc_mst!$A:$A,tc_mst!$E:$E)"&amp;",0)
  +
  (
   IFERROR(XLOOKUP(REGEXEXTRACT($M32,""^[^｜]+""),ac_mst!$A:$A,ac_mst!$H:$H),0)
   +IFERROR(XLOOKUP(REGEXEXTRACT($N32,""^[^｜]+""),ac_mst!$A:$A,ac_mst!$H:$H),0)
   +IFERROR(
    XLOOKUP(
     IF(
      OR(
       IFERROR(REGEXEXTRACT($M32,""^[^｜"&amp;"]+""),"""")="""",
       IFERROR(REGEXEXTRACT($N32,""^[^｜]+""),"""")=""""
      ),
      """",
      IF(
       IFERROR(REGEXEXTRACT($M32,""^[^｜]+""),"""")&lt;IFERROR(REGEXEXTRACT($N32,""^[^｜]+""),""""),
       IFERROR(REGEXEXTRACT($M32,""^[^｜]+""),"""")&amp;""_"&amp;"""&amp;IFERROR(REGEXEXTRACT($N32,""^[^｜]+""),""""),
       IFERROR(REGEXEXTRACT($N32,""^[^｜]+""),"""")&amp;""_""&amp;IFERROR(REGEXEXTRACT($M32,""^[^｜]+""),"""")
      )
     ),
     sy_mst!$A:$A,
     sy_mst!$E:$E
    ),
    0
   )
  )
  *
  IFERROR(XLOOKUP(REGEXEXTR"&amp;"ACT($I32,""^[^｜]+""),ms_mst!$A:$A,ms_mst!$M:$M),1)
  *
  IF(
   $B32&gt;=IFERROR(XLOOKUP(REGEXEXTRACT($L32,""^[^｜]+""),sk_mst!$A:$A,sk_mst!$M:$M),999),
   IFERROR(XLOOKUP(REGEXEXTRACT($L32,""^[^｜]+""),sk_mst!$A:$A,sk_mst!$G:$G),1),
   1
  )
 )
)"),2700.0)</f>
        <v>2700</v>
      </c>
      <c r="Q32" s="25">
        <f>IFERROR(__xludf.DUMMYFUNCTION("IF($A32="""","""",
 IF($F32=""market"",
  IFERROR(XLOOKUP(REGEXEXTRACT($J32,""^[^｜]+""),tr_mst!$A:$A,tr_mst!$F:$F),0)
  +IFERROR(XLOOKUP(REGEXEXTRACT($K32,""^[^｜]+""),tc_mst!$A:$A,tc_mst!$F:$F),0),
  IF($B32=0,
   IFERROR(XLOOKUP(REGEXEXTRACT($I32,""^[^｜]"&amp;"+""),ms_mst!$A:$A,ms_mst!$F:$F),0),
   IFERROR(XLOOKUP(""T""&amp;($B32-1)&amp;""_""&amp;$D32,$A:$A,$Q:$Q),0)
  )
  +IFERROR(XLOOKUP(REGEXEXTRACT($J32,""^[^｜]+""),tr_mst!$A:$A,tr_mst!$F:$F),0)
  +IFERROR(XLOOKUP(REGEXEXTRACT($K32,""^[^｜]+""),tc_mst!$A:$A,tc_mst!$F:$F)"&amp;",0)
  +
  (
   IFERROR(XLOOKUP(REGEXEXTRACT($M32,""^[^｜]+""),ac_mst!$A:$A,ac_mst!$I:$I),0)
   +IFERROR(XLOOKUP(REGEXEXTRACT($N32,""^[^｜]+""),ac_mst!$A:$A,ac_mst!$I:$I),0)
   +IFERROR(
    XLOOKUP(
     IF(
      OR(
       IFERROR(REGEXEXTRACT($M32,""^[^｜"&amp;"]+""),"""")="""",
       IFERROR(REGEXEXTRACT($N32,""^[^｜]+""),"""")=""""
      ),
      """",
      IF(
       IFERROR(REGEXEXTRACT($M32,""^[^｜]+""),"""")&lt;IFERROR(REGEXEXTRACT($N32,""^[^｜]+""),""""),
       IFERROR(REGEXEXTRACT($M32,""^[^｜]+""),"""")&amp;""_"&amp;"""&amp;IFERROR(REGEXEXTRACT($N32,""^[^｜]+""),""""),
       IFERROR(REGEXEXTRACT($N32,""^[^｜]+""),"""")&amp;""_""&amp;IFERROR(REGEXEXTRACT($M32,""^[^｜]+""),"""")
      )
     ),
     sy_mst!$A:$A,
     sy_mst!$F:$F
    ),
    0
   )
  )
  *
  IFERROR(XLOOKUP(REGEXEXTR"&amp;"ACT($I32,""^[^｜]+""),ms_mst!$A:$A,ms_mst!$N:$N),1)
  *
  IF(
   $B32&gt;=IFERROR(XLOOKUP(REGEXEXTRACT($L32,""^[^｜]+""),sk_mst!$A:$A,sk_mst!$M:$M),999),
   IFERROR(XLOOKUP(REGEXEXTRACT($L32,""^[^｜]+""),sk_mst!$A:$A,sk_mst!$H:$H),1),
   1
  )
 )
)"),0.5199999999999999)</f>
        <v>0.52</v>
      </c>
      <c r="R32" s="25">
        <f>IFERROR(__xludf.DUMMYFUNCTION("IF($A32="""","""",
 IF($F32=""market"",
  IFERROR(XLOOKUP(REGEXEXTRACT($J32,""^[^｜]+""),tr_mst!$A:$A,tr_mst!$G:$G),0)
  +IFERROR(XLOOKUP(REGEXEXTRACT($K32,""^[^｜]+""),tc_mst!$A:$A,tc_mst!$G:$G),0),
  IF($B32=0,
   IFERROR(XLOOKUP(REGEXEXTRACT($I32,""^[^｜]"&amp;"+""),ms_mst!$A:$A,ms_mst!$G:$G),0),
   IFERROR(XLOOKUP(""T""&amp;($B32-1)&amp;""_""&amp;$D32,$A:$A,$R:$R),0)
  )
  +IFERROR(XLOOKUP(REGEXEXTRACT($J32,""^[^｜]+""),tr_mst!$A:$A,tr_mst!$G:$G),0)
  +IFERROR(XLOOKUP(REGEXEXTRACT($K32,""^[^｜]+""),tc_mst!$A:$A,tc_mst!$G:$G)"&amp;",0)
  +
  (
   IFERROR(XLOOKUP(REGEXEXTRACT($M32,""^[^｜]+""),ac_mst!$A:$A,ac_mst!$J:$J),0)
   +IFERROR(XLOOKUP(REGEXEXTRACT($N32,""^[^｜]+""),ac_mst!$A:$A,ac_mst!$J:$J),0)
   +IFERROR(
    XLOOKUP(
     IF(
      OR(
       IFERROR(REGEXEXTRACT($M32,""^[^｜"&amp;"]+""),"""")="""",
       IFERROR(REGEXEXTRACT($N32,""^[^｜]+""),"""")=""""
      ),
      """",
      IF(
       IFERROR(REGEXEXTRACT($M32,""^[^｜]+""),"""")&lt;IFERROR(REGEXEXTRACT($N32,""^[^｜]+""),""""),
       IFERROR(REGEXEXTRACT($M32,""^[^｜]+""),"""")&amp;""_"&amp;"""&amp;IFERROR(REGEXEXTRACT($N32,""^[^｜]+""),""""),
       IFERROR(REGEXEXTRACT($N32,""^[^｜]+""),"""")&amp;""_""&amp;IFERROR(REGEXEXTRACT($M32,""^[^｜]+""),"""")
      )
     ),
     sy_mst!$A:$A,
     sy_mst!$G:$G
    ),
    0
   )
  )
  *
  IFERROR(XLOOKUP(REGEXEXTR"&amp;"ACT($I32,""^[^｜]+""),ms_mst!$A:$A,ms_mst!$O:$O),1)
  *
  IF(
   $B32&gt;=IFERROR(XLOOKUP(REGEXEXTRACT($L32,""^[^｜]+""),sk_mst!$A:$A,sk_mst!$M:$M),999),
   IFERROR(XLOOKUP(REGEXEXTRACT($L32,""^[^｜]+""),sk_mst!$A:$A,sk_mst!$I:$I),1),
   1
  )
 )
)"),1.5265)</f>
        <v>1.5265</v>
      </c>
      <c r="S32" s="25">
        <f>IFERROR(__xludf.DUMMYFUNCTION("IF($A32="""","""",
 IF($F32=""market"",
  IFERROR(XLOOKUP(REGEXEXTRACT($J32,""^[^｜]+""),tr_mst!$A:$A,tr_mst!$H:$H),0)
  +IFERROR(XLOOKUP(REGEXEXTRACT($K32,""^[^｜]+""),tc_mst!$A:$A,tc_mst!$H:$H),0),
  IF($B32=0,
   IFERROR(XLOOKUP(REGEXEXTRACT($I32,""^[^｜]"&amp;"+""),ms_mst!$A:$A,ms_mst!$H:$H),0),
   IFERROR(XLOOKUP(""T""&amp;($B32-1)&amp;""_""&amp;$D32,$A:$A,$S:$S),0)
  )
  +IFERROR(XLOOKUP(REGEXEXTRACT($J32,""^[^｜]+""),tr_mst!$A:$A,tr_mst!$H:$H),0)
  +IFERROR(XLOOKUP(REGEXEXTRACT($K32,""^[^｜]+""),tc_mst!$A:$A,tc_mst!$H:$H)"&amp;",0)
  +
  (
   IFERROR(XLOOKUP(REGEXEXTRACT($M32,""^[^｜]+""),ac_mst!$A:$A,ac_mst!$K:$K),0)
   +IFERROR(XLOOKUP(REGEXEXTRACT($N32,""^[^｜]+""),ac_mst!$A:$A,ac_mst!$K:$K),0)
   +IFERROR(
    XLOOKUP(
     IF(
      OR(
       IFERROR(REGEXEXTRACT($M32,""^[^｜"&amp;"]+""),"""")="""",
       IFERROR(REGEXEXTRACT($N32,""^[^｜]+""),"""")=""""
      ),
      """",
      IF(
       IFERROR(REGEXEXTRACT($M32,""^[^｜]+""),"""")&lt;IFERROR(REGEXEXTRACT($N32,""^[^｜]+""),""""),
       IFERROR(REGEXEXTRACT($M32,""^[^｜]+""),"""")&amp;""_"&amp;"""&amp;IFERROR(REGEXEXTRACT($N32,""^[^｜]+""),""""),
       IFERROR(REGEXEXTRACT($N32,""^[^｜]+""),"""")&amp;""_""&amp;IFERROR(REGEXEXTRACT($M32,""^[^｜]+""),"""")
      )
     ),
     sy_mst!$A:$A,
     sy_mst!$H:$H
    ),
    0
   )
  )
  *
  IFERROR(XLOOKUP(REGEXEXTR"&amp;"ACT($I32,""^[^｜]+""),ms_mst!$A:$A,ms_mst!$P:$P),1)
  *
  IF(
   $B32&gt;=IFERROR(XLOOKUP(REGEXEXTRACT($L32,""^[^｜]+""),sk_mst!$A:$A,sk_mst!$M:$M),999),
   IFERROR(XLOOKUP(REGEXEXTRACT($L32,""^[^｜]+""),sk_mst!$A:$A,sk_mst!$J:$J),1),
   1
  )
 )
)"),0.014499999999999999)</f>
        <v>0.0145</v>
      </c>
      <c r="T32" s="25">
        <f>IFERROR(__xludf.DUMMYFUNCTION("IF($A32="""","""",
 IF($F32=""market"",
  IFERROR(XLOOKUP(REGEXEXTRACT($J32,""^[^｜]+""),tr_mst!$A:$A,tr_mst!$I:$I),0)
  +IFERROR(XLOOKUP(REGEXEXTRACT($K32,""^[^｜]+""),tc_mst!$A:$A,tc_mst!$I:$I),0),
  IF($B32=0,
   IFERROR(XLOOKUP(REGEXEXTRACT($I32,""^[^｜]"&amp;"+""),ms_mst!$A:$A,ms_mst!$I:$I),0),
   IFERROR(XLOOKUP(""T""&amp;($B32-1)&amp;""_""&amp;$D32,$A:$A,$T:$T),0)
  )
  +IFERROR(XLOOKUP(REGEXEXTRACT($J32,""^[^｜]+""),tr_mst!$A:$A,tr_mst!$I:$I),0)
  +IFERROR(XLOOKUP(REGEXEXTRACT($K32,""^[^｜]+""),tc_mst!$A:$A,tc_mst!$I:$I)"&amp;",0)
  +
  (
   IFERROR(XLOOKUP(REGEXEXTRACT($M32,""^[^｜]+""),ac_mst!$A:$A,ac_mst!$L:$L),0)
   +IFERROR(XLOOKUP(REGEXEXTRACT($N32,""^[^｜]+""),ac_mst!$A:$A,ac_mst!$L:$L),0)
   +IFERROR(
    XLOOKUP(
     IF(
      OR(
       IFERROR(REGEXEXTRACT($M32,""^[^｜"&amp;"]+""),"""")="""",
       IFERROR(REGEXEXTRACT($N32,""^[^｜]+""),"""")=""""
      ),
      """",
      IF(
       IFERROR(REGEXEXTRACT($M32,""^[^｜]+""),"""")&lt;IFERROR(REGEXEXTRACT($N32,""^[^｜]+""),""""),
       IFERROR(REGEXEXTRACT($M32,""^[^｜]+""),"""")&amp;""_"&amp;"""&amp;IFERROR(REGEXEXTRACT($N32,""^[^｜]+""),""""),
       IFERROR(REGEXEXTRACT($N32,""^[^｜]+""),"""")&amp;""_""&amp;IFERROR(REGEXEXTRACT($M32,""^[^｜]+""),"""")
      )
     ),
     sy_mst!$A:$A,
     sy_mst!$I:$I
    ),
    0
   )
  )
  *
  IFERROR(XLOOKUP(REGEXEXTR"&amp;"ACT($I32,""^[^｜]+""),ms_mst!$A:$A,ms_mst!$Q:$Q),1)
  *
  IF(
   $B32&gt;=IFERROR(XLOOKUP(REGEXEXTRACT($L32,""^[^｜]+""),sk_mst!$A:$A,sk_mst!$M:$M),999),
   IFERROR(XLOOKUP(REGEXEXTRACT($L32,""^[^｜]+""),sk_mst!$A:$A,sk_mst!$K:$K),1),
   1
  )
 )
)"),3800.0)</f>
        <v>3800</v>
      </c>
      <c r="U32" s="25">
        <f>IFERROR(__xludf.DUMMYFUNCTION("IF($A32="""","""",
 IF($F32=""market"",
  IFERROR(XLOOKUP(REGEXEXTRACT($J32,""^[^｜]+""),tr_mst!$A:$A,tr_mst!$J:$J),0)
  +IFERROR(XLOOKUP(REGEXEXTRACT($K32,""^[^｜]+""),tc_mst!$A:$A,tc_mst!$J:$J),0),
  IF($B32=0,
   IFERROR(XLOOKUP(REGEXEXTRACT($I32,""^[^｜]"&amp;"+""),ms_mst!$A:$A,ms_mst!$J:$J),0),
   IFERROR(XLOOKUP(""T""&amp;($B32-1)&amp;""_""&amp;$D32,$A:$A,$U:$U),0)
  )
  +IFERROR(XLOOKUP(REGEXEXTRACT($J32,""^[^｜]+""),tr_mst!$A:$A,tr_mst!$J:$J),0)
  +IFERROR(XLOOKUP(REGEXEXTRACT($K32,""^[^｜]+""),tc_mst!$A:$A,tc_mst!$J:$J)"&amp;",0)
  +
  (
   IFERROR(XLOOKUP(REGEXEXTRACT($M32,""^[^｜]+""),ac_mst!$A:$A,ac_mst!$M:$M),0)
   +IFERROR(XLOOKUP(REGEXEXTRACT($N32,""^[^｜]+""),ac_mst!$A:$A,ac_mst!$M:$M),0)
   +IFERROR(
    XLOOKUP(
     IF(
      OR(
       IFERROR(REGEXEXTRACT($M32,""^[^｜"&amp;"]+""),"""")="""",
       IFERROR(REGEXEXTRACT($N32,""^[^｜]+""),"""")=""""
      ),
      """",
      IF(
       IFERROR(REGEXEXTRACT($M32,""^[^｜]+""),"""")&lt;IFERROR(REGEXEXTRACT($N32,""^[^｜]+""),""""),
       IFERROR(REGEXEXTRACT($M32,""^[^｜]+""),"""")&amp;""_"&amp;"""&amp;IFERROR(REGEXEXTRACT($N32,""^[^｜]+""),""""),
       IFERROR(REGEXEXTRACT($N32,""^[^｜]+""),"""")&amp;""_""&amp;IFERROR(REGEXEXTRACT($M32,""^[^｜]+""),"""")
      )
     ),
     sy_mst!$A:$A,
     sy_mst!$J:$J
    ),
    0
   )
  )
  *
  IFERROR(XLOOKUP(REGEXEXTR"&amp;"ACT($I32,""^[^｜]+""),ms_mst!$A:$A,ms_mst!$R:$R),1)
  *
  IF(
   $B32&gt;=IFERROR(XLOOKUP(REGEXEXTRACT($L32,""^[^｜]+""),sk_mst!$A:$A,sk_mst!$M:$M),999),
   IFERROR(XLOOKUP(REGEXEXTRACT($L32,""^[^｜]+""),sk_mst!$A:$A,sk_mst!$L:$L),1),
   1
  )
 )
)"),55.0)</f>
        <v>55</v>
      </c>
      <c r="V32" s="25">
        <f t="shared" si="1"/>
        <v>484474</v>
      </c>
      <c r="W32" s="25">
        <f t="shared" si="2"/>
        <v>148500</v>
      </c>
      <c r="X32" s="25">
        <f t="shared" si="3"/>
        <v>335974</v>
      </c>
      <c r="Y32" s="25">
        <f t="shared" si="4"/>
        <v>3.26</v>
      </c>
      <c r="Z32" s="25">
        <f>IFERROR(__xludf.DUMMYFUNCTION("IF($A32="""","""",
 IF($F32&lt;&gt;""player"","""",
  IFERROR(
   RANK(
    $X32,
    FILTER($X:$X,$B:$B=$B32,$F:$F=""player"",$X:$X&lt;&gt;""""),
    0
   ),
   """"
  )
 )
)"),5.0)</f>
        <v>5</v>
      </c>
      <c r="AA32" s="25" t="str">
        <f t="shared" si="5"/>
        <v>5位</v>
      </c>
      <c r="AB32" s="26">
        <f t="shared" si="6"/>
        <v>1.988188626</v>
      </c>
    </row>
    <row r="33">
      <c r="A33" s="14" t="s">
        <v>206</v>
      </c>
      <c r="B33" s="25">
        <v>2.0</v>
      </c>
      <c r="C33" s="14" t="s">
        <v>165</v>
      </c>
      <c r="D33" s="14" t="s">
        <v>166</v>
      </c>
      <c r="E33" s="25" t="s">
        <v>153</v>
      </c>
      <c r="F33" s="25" t="s">
        <v>154</v>
      </c>
      <c r="G33" s="25" t="str">
        <f>IFERROR(__xludf.DUMMYFUNCTION("IF($F33=""market"","""",IFERROR(FILTER(member_log!$B$10:$B947,member_log!$C$10:$C947=$C33,member_log!$D$10:$D947=$E33,member_log!$G$10:$G947=""active""),""""))"),"")</f>
        <v/>
      </c>
      <c r="H33" s="25" t="str">
        <f>IFERROR(__xludf.DUMMYFUNCTION("IF($F33=""market"","""",IFERROR(FILTER(member_log!$E$10:$E947,member_log!$C$10:$C947=$C33,member_log!$D$10:$D947=$E33,member_log!$G$10:$G947=""active""),""""))"),"")</f>
        <v/>
      </c>
      <c r="I33" s="25" t="str">
        <f>IFERROR(__xludf.DUMMYFUNCTION("IF($F33&lt;&gt;""player"","""",IFERROR(INDEX(FILTER(group_setup!$D$2:$D947,group_setup!$B$2:$B947=$C33,group_setup!$G$2:$G947=TRUE,group_setup!$H$2:$H947=""completed""),1),""""))"),"M10")</f>
        <v>M10</v>
      </c>
      <c r="J33" s="25" t="str">
        <f>IFERROR(__xludf.DUMMYFUNCTION("IFERROR(FILTER(market_event_log!$D$2:$D947,market_event_log!$C$2:$C947=$B33,market_event_log!$N$2:$N947=""active""),"""")"),"T01")</f>
        <v>T01</v>
      </c>
      <c r="K33" s="25" t="str">
        <f>IFERROR(__xludf.DUMMYFUNCTION("IFERROR(FILTER(market_event_log!$G$2:$G947,market_event_log!$C$2:$C947=$B33,market_event_log!$N$2:$N947=""active""),"""")"),"C03")</f>
        <v>C03</v>
      </c>
      <c r="L33" s="25" t="str">
        <f>IFERROR(__xludf.DUMMYFUNCTION("IF($F33&lt;&gt;""player"","""",IFERROR(INDEX(FILTER(group_setup!$E$2:$E947,group_setup!$B$2:$B947=$C33,group_setup!$G$2:$G947=TRUE,group_setup!$H$2:$H947=""completed""),1),""""))"),"S06")</f>
        <v>S06</v>
      </c>
      <c r="M33" s="25" t="str">
        <f>IFERROR(__xludf.DUMMYFUNCTION("IF($F33=""market"","""",IF($E33=""HUMAN"",IFERROR(FILTER(turn_log!$G$2:$G947,turn_log!$C$2:$C947=$B33,turn_log!$D$2:$D947=$C33,turn_log!$F$2:$F947=$E33),""""),IFERROR(FILTER(turn_log!$I$2:$I947,turn_log!$C$2:$C947=$B33,turn_log!$D$2:$D947=$C33,turn_log!$F"&amp;"$2:$F947=$E33),"""")))"),"A14")</f>
        <v>A14</v>
      </c>
      <c r="N33" s="25" t="str">
        <f>IFERROR(__xludf.DUMMYFUNCTION("IF($F33=""market"","""",IF($E33=""HUMAN"",IFERROR(FILTER(turn_log!$H$2:$H947,turn_log!$C$2:$C947=$B33,turn_log!$D$2:$D947=$C33,turn_log!$F$2:$F947=$E33),""""),IFERROR(FILTER(turn_log!$J$2:$J947,turn_log!$C$2:$C947=$B33,turn_log!$D$2:$D947=$C33,turn_log!$F"&amp;"$2:$F947=$E33),"""")))"),"A22")</f>
        <v>A22</v>
      </c>
      <c r="O33" s="25">
        <f>IFERROR(__xludf.DUMMYFUNCTION("IF($A33="""","""",
 IF($F33=""market"",
  IFERROR(XLOOKUP(REGEXEXTRACT($J33,""^[^｜]+""),tr_mst!$A:$A,tr_mst!$D:$D),0)
  +IFERROR(XLOOKUP(REGEXEXTRACT($K33,""^[^｜]+""),tc_mst!$A:$A,tc_mst!$D:$D),0),
  IF($B33=0,
   IFERROR(XLOOKUP(REGEXEXTRACT($I33,""^[^｜]"&amp;"+""),ms_mst!$A:$A,ms_mst!$D:$D),0),
   IFERROR(XLOOKUP(""T""&amp;($B33-1)&amp;""_""&amp;$D33,$A:$A,$O:$O),0)
  )
  +IFERROR(XLOOKUP(REGEXEXTRACT($J33,""^[^｜]+""),tr_mst!$A:$A,tr_mst!$D:$D),0)
  +IFERROR(XLOOKUP(REGEXEXTRACT($K33,""^[^｜]+""),tc_mst!$A:$A,tc_mst!$D:$D)"&amp;",0)
  +
  (
   IFERROR(XLOOKUP(REGEXEXTRACT($M33,""^[^｜]+""),ac_mst!$A:$A,ac_mst!$G:$G),0)
   +IFERROR(XLOOKUP(REGEXEXTRACT($N33,""^[^｜]+""),ac_mst!$A:$A,ac_mst!$G:$G),0)
   +IFERROR(
    XLOOKUP(
     IF(
      OR(
       IFERROR(REGEXEXTRACT($M33,""^[^｜"&amp;"]+""),"""")="""",
       IFERROR(REGEXEXTRACT($N33,""^[^｜]+""),"""")=""""
      ),
      """",
      IF(
       IFERROR(REGEXEXTRACT($M33,""^[^｜]+""),"""")&lt;IFERROR(REGEXEXTRACT($N33,""^[^｜]+""),""""),
       IFERROR(REGEXEXTRACT($M33,""^[^｜]+""),"""")&amp;""_"&amp;"""&amp;IFERROR(REGEXEXTRACT($N33,""^[^｜]+""),""""),
       IFERROR(REGEXEXTRACT($N33,""^[^｜]+""),"""")&amp;""_""&amp;IFERROR(REGEXEXTRACT($M33,""^[^｜]+""),"""")
      )
     ),
     sy_mst!$A:$A,
     sy_mst!$D:$D
    ),
    0
   )
  )
  *
  IFERROR(XLOOKUP(REGEXEXTR"&amp;"ACT($I33,""^[^｜]+""),ms_mst!$A:$A,ms_mst!$L:$L),1)
  *
  IF(
   $B33&gt;=IFERROR(XLOOKUP(REGEXEXTRACT($L33,""^[^｜]+""),sk_mst!$A:$A,sk_mst!$M:$M),999),
   IFERROR(XLOOKUP(REGEXEXTRACT($L33,""^[^｜]+""),sk_mst!$A:$A,sk_mst!$F:$F),1),
   1
  )
 )
)"),9300.0)</f>
        <v>9300</v>
      </c>
      <c r="P33" s="25">
        <f>IFERROR(__xludf.DUMMYFUNCTION("IF($A33="""","""",
 IF($F33=""market"",
  IFERROR(XLOOKUP(REGEXEXTRACT($J33,""^[^｜]+""),tr_mst!$A:$A,tr_mst!$E:$E),0)
  +IFERROR(XLOOKUP(REGEXEXTRACT($K33,""^[^｜]+""),tc_mst!$A:$A,tc_mst!$E:$E),0),
  IF($B33=0,
   IFERROR(XLOOKUP(REGEXEXTRACT($I33,""^[^｜]"&amp;"+""),ms_mst!$A:$A,ms_mst!$E:$E),0),
   IFERROR(XLOOKUP(""T""&amp;($B33-1)&amp;""_""&amp;$D33,$A:$A,$P:$P),0)
  )
  +IFERROR(XLOOKUP(REGEXEXTRACT($J33,""^[^｜]+""),tr_mst!$A:$A,tr_mst!$E:$E),0)
  +IFERROR(XLOOKUP(REGEXEXTRACT($K33,""^[^｜]+""),tc_mst!$A:$A,tc_mst!$E:$E)"&amp;",0)
  +
  (
   IFERROR(XLOOKUP(REGEXEXTRACT($M33,""^[^｜]+""),ac_mst!$A:$A,ac_mst!$H:$H),0)
   +IFERROR(XLOOKUP(REGEXEXTRACT($N33,""^[^｜]+""),ac_mst!$A:$A,ac_mst!$H:$H),0)
   +IFERROR(
    XLOOKUP(
     IF(
      OR(
       IFERROR(REGEXEXTRACT($M33,""^[^｜"&amp;"]+""),"""")="""",
       IFERROR(REGEXEXTRACT($N33,""^[^｜]+""),"""")=""""
      ),
      """",
      IF(
       IFERROR(REGEXEXTRACT($M33,""^[^｜]+""),"""")&lt;IFERROR(REGEXEXTRACT($N33,""^[^｜]+""),""""),
       IFERROR(REGEXEXTRACT($M33,""^[^｜]+""),"""")&amp;""_"&amp;"""&amp;IFERROR(REGEXEXTRACT($N33,""^[^｜]+""),""""),
       IFERROR(REGEXEXTRACT($N33,""^[^｜]+""),"""")&amp;""_""&amp;IFERROR(REGEXEXTRACT($M33,""^[^｜]+""),"""")
      )
     ),
     sy_mst!$A:$A,
     sy_mst!$E:$E
    ),
    0
   )
  )
  *
  IFERROR(XLOOKUP(REGEXEXTR"&amp;"ACT($I33,""^[^｜]+""),ms_mst!$A:$A,ms_mst!$M:$M),1)
  *
  IF(
   $B33&gt;=IFERROR(XLOOKUP(REGEXEXTRACT($L33,""^[^｜]+""),sk_mst!$A:$A,sk_mst!$M:$M),999),
   IFERROR(XLOOKUP(REGEXEXTRACT($L33,""^[^｜]+""),sk_mst!$A:$A,sk_mst!$G:$G),1),
   1
  )
 )
)"),3650.0)</f>
        <v>3650</v>
      </c>
      <c r="Q33" s="25">
        <f>IFERROR(__xludf.DUMMYFUNCTION("IF($A33="""","""",
 IF($F33=""market"",
  IFERROR(XLOOKUP(REGEXEXTRACT($J33,""^[^｜]+""),tr_mst!$A:$A,tr_mst!$F:$F),0)
  +IFERROR(XLOOKUP(REGEXEXTRACT($K33,""^[^｜]+""),tc_mst!$A:$A,tc_mst!$F:$F),0),
  IF($B33=0,
   IFERROR(XLOOKUP(REGEXEXTRACT($I33,""^[^｜]"&amp;"+""),ms_mst!$A:$A,ms_mst!$F:$F),0),
   IFERROR(XLOOKUP(""T""&amp;($B33-1)&amp;""_""&amp;$D33,$A:$A,$Q:$Q),0)
  )
  +IFERROR(XLOOKUP(REGEXEXTRACT($J33,""^[^｜]+""),tr_mst!$A:$A,tr_mst!$F:$F),0)
  +IFERROR(XLOOKUP(REGEXEXTRACT($K33,""^[^｜]+""),tc_mst!$A:$A,tc_mst!$F:$F)"&amp;",0)
  +
  (
   IFERROR(XLOOKUP(REGEXEXTRACT($M33,""^[^｜]+""),ac_mst!$A:$A,ac_mst!$I:$I),0)
   +IFERROR(XLOOKUP(REGEXEXTRACT($N33,""^[^｜]+""),ac_mst!$A:$A,ac_mst!$I:$I),0)
   +IFERROR(
    XLOOKUP(
     IF(
      OR(
       IFERROR(REGEXEXTRACT($M33,""^[^｜"&amp;"]+""),"""")="""",
       IFERROR(REGEXEXTRACT($N33,""^[^｜]+""),"""")=""""
      ),
      """",
      IF(
       IFERROR(REGEXEXTRACT($M33,""^[^｜]+""),"""")&lt;IFERROR(REGEXEXTRACT($N33,""^[^｜]+""),""""),
       IFERROR(REGEXEXTRACT($M33,""^[^｜]+""),"""")&amp;""_"&amp;"""&amp;IFERROR(REGEXEXTRACT($N33,""^[^｜]+""),""""),
       IFERROR(REGEXEXTRACT($N33,""^[^｜]+""),"""")&amp;""_""&amp;IFERROR(REGEXEXTRACT($M33,""^[^｜]+""),"""")
      )
     ),
     sy_mst!$A:$A,
     sy_mst!$F:$F
    ),
    0
   )
  )
  *
  IFERROR(XLOOKUP(REGEXEXTR"&amp;"ACT($I33,""^[^｜]+""),ms_mst!$A:$A,ms_mst!$N:$N),1)
  *
  IF(
   $B33&gt;=IFERROR(XLOOKUP(REGEXEXTRACT($L33,""^[^｜]+""),sk_mst!$A:$A,sk_mst!$M:$M),999),
   IFERROR(XLOOKUP(REGEXEXTRACT($L33,""^[^｜]+""),sk_mst!$A:$A,sk_mst!$H:$H),1),
   1
  )
 )
)"),0.5599999999999999)</f>
        <v>0.56</v>
      </c>
      <c r="R33" s="25">
        <f>IFERROR(__xludf.DUMMYFUNCTION("IF($A33="""","""",
 IF($F33=""market"",
  IFERROR(XLOOKUP(REGEXEXTRACT($J33,""^[^｜]+""),tr_mst!$A:$A,tr_mst!$G:$G),0)
  +IFERROR(XLOOKUP(REGEXEXTRACT($K33,""^[^｜]+""),tc_mst!$A:$A,tc_mst!$G:$G),0),
  IF($B33=0,
   IFERROR(XLOOKUP(REGEXEXTRACT($I33,""^[^｜]"&amp;"+""),ms_mst!$A:$A,ms_mst!$G:$G),0),
   IFERROR(XLOOKUP(""T""&amp;($B33-1)&amp;""_""&amp;$D33,$A:$A,$R:$R),0)
  )
  +IFERROR(XLOOKUP(REGEXEXTRACT($J33,""^[^｜]+""),tr_mst!$A:$A,tr_mst!$G:$G),0)
  +IFERROR(XLOOKUP(REGEXEXTRACT($K33,""^[^｜]+""),tc_mst!$A:$A,tc_mst!$G:$G)"&amp;",0)
  +
  (
   IFERROR(XLOOKUP(REGEXEXTRACT($M33,""^[^｜]+""),ac_mst!$A:$A,ac_mst!$J:$J),0)
   +IFERROR(XLOOKUP(REGEXEXTRACT($N33,""^[^｜]+""),ac_mst!$A:$A,ac_mst!$J:$J),0)
   +IFERROR(
    XLOOKUP(
     IF(
      OR(
       IFERROR(REGEXEXTRACT($M33,""^[^｜"&amp;"]+""),"""")="""",
       IFERROR(REGEXEXTRACT($N33,""^[^｜]+""),"""")=""""
      ),
      """",
      IF(
       IFERROR(REGEXEXTRACT($M33,""^[^｜]+""),"""")&lt;IFERROR(REGEXEXTRACT($N33,""^[^｜]+""),""""),
       IFERROR(REGEXEXTRACT($M33,""^[^｜]+""),"""")&amp;""_"&amp;"""&amp;IFERROR(REGEXEXTRACT($N33,""^[^｜]+""),""""),
       IFERROR(REGEXEXTRACT($N33,""^[^｜]+""),"""")&amp;""_""&amp;IFERROR(REGEXEXTRACT($M33,""^[^｜]+""),"""")
      )
     ),
     sy_mst!$A:$A,
     sy_mst!$G:$G
    ),
    0
   )
  )
  *
  IFERROR(XLOOKUP(REGEXEXTR"&amp;"ACT($I33,""^[^｜]+""),ms_mst!$A:$A,ms_mst!$O:$O),1)
  *
  IF(
   $B33&gt;=IFERROR(XLOOKUP(REGEXEXTRACT($L33,""^[^｜]+""),sk_mst!$A:$A,sk_mst!$M:$M),999),
   IFERROR(XLOOKUP(REGEXEXTRACT($L33,""^[^｜]+""),sk_mst!$A:$A,sk_mst!$I:$I),1),
   1
  )
 )
)"),1.4149999999999998)</f>
        <v>1.415</v>
      </c>
      <c r="S33" s="25">
        <f>IFERROR(__xludf.DUMMYFUNCTION("IF($A33="""","""",
 IF($F33=""market"",
  IFERROR(XLOOKUP(REGEXEXTRACT($J33,""^[^｜]+""),tr_mst!$A:$A,tr_mst!$H:$H),0)
  +IFERROR(XLOOKUP(REGEXEXTRACT($K33,""^[^｜]+""),tc_mst!$A:$A,tc_mst!$H:$H),0),
  IF($B33=0,
   IFERROR(XLOOKUP(REGEXEXTRACT($I33,""^[^｜]"&amp;"+""),ms_mst!$A:$A,ms_mst!$H:$H),0),
   IFERROR(XLOOKUP(""T""&amp;($B33-1)&amp;""_""&amp;$D33,$A:$A,$S:$S),0)
  )
  +IFERROR(XLOOKUP(REGEXEXTRACT($J33,""^[^｜]+""),tr_mst!$A:$A,tr_mst!$H:$H),0)
  +IFERROR(XLOOKUP(REGEXEXTRACT($K33,""^[^｜]+""),tc_mst!$A:$A,tc_mst!$H:$H)"&amp;",0)
  +
  (
   IFERROR(XLOOKUP(REGEXEXTRACT($M33,""^[^｜]+""),ac_mst!$A:$A,ac_mst!$K:$K),0)
   +IFERROR(XLOOKUP(REGEXEXTRACT($N33,""^[^｜]+""),ac_mst!$A:$A,ac_mst!$K:$K),0)
   +IFERROR(
    XLOOKUP(
     IF(
      OR(
       IFERROR(REGEXEXTRACT($M33,""^[^｜"&amp;"]+""),"""")="""",
       IFERROR(REGEXEXTRACT($N33,""^[^｜]+""),"""")=""""
      ),
      """",
      IF(
       IFERROR(REGEXEXTRACT($M33,""^[^｜]+""),"""")&lt;IFERROR(REGEXEXTRACT($N33,""^[^｜]+""),""""),
       IFERROR(REGEXEXTRACT($M33,""^[^｜]+""),"""")&amp;""_"&amp;"""&amp;IFERROR(REGEXEXTRACT($N33,""^[^｜]+""),""""),
       IFERROR(REGEXEXTRACT($N33,""^[^｜]+""),"""")&amp;""_""&amp;IFERROR(REGEXEXTRACT($M33,""^[^｜]+""),"""")
      )
     ),
     sy_mst!$A:$A,
     sy_mst!$H:$H
    ),
    0
   )
  )
  *
  IFERROR(XLOOKUP(REGEXEXTR"&amp;"ACT($I33,""^[^｜]+""),ms_mst!$A:$A,ms_mst!$P:$P),1)
  *
  IF(
   $B33&gt;=IFERROR(XLOOKUP(REGEXEXTRACT($L33,""^[^｜]+""),sk_mst!$A:$A,sk_mst!$M:$M),999),
   IFERROR(XLOOKUP(REGEXEXTRACT($L33,""^[^｜]+""),sk_mst!$A:$A,sk_mst!$J:$J),1),
   1
  )
 )
)"),0.012499999999999999)</f>
        <v>0.0125</v>
      </c>
      <c r="T33" s="25">
        <f>IFERROR(__xludf.DUMMYFUNCTION("IF($A33="""","""",
 IF($F33=""market"",
  IFERROR(XLOOKUP(REGEXEXTRACT($J33,""^[^｜]+""),tr_mst!$A:$A,tr_mst!$I:$I),0)
  +IFERROR(XLOOKUP(REGEXEXTRACT($K33,""^[^｜]+""),tc_mst!$A:$A,tc_mst!$I:$I),0),
  IF($B33=0,
   IFERROR(XLOOKUP(REGEXEXTRACT($I33,""^[^｜]"&amp;"+""),ms_mst!$A:$A,ms_mst!$I:$I),0),
   IFERROR(XLOOKUP(""T""&amp;($B33-1)&amp;""_""&amp;$D33,$A:$A,$T:$T),0)
  )
  +IFERROR(XLOOKUP(REGEXEXTRACT($J33,""^[^｜]+""),tr_mst!$A:$A,tr_mst!$I:$I),0)
  +IFERROR(XLOOKUP(REGEXEXTRACT($K33,""^[^｜]+""),tc_mst!$A:$A,tc_mst!$I:$I)"&amp;",0)
  +
  (
   IFERROR(XLOOKUP(REGEXEXTRACT($M33,""^[^｜]+""),ac_mst!$A:$A,ac_mst!$L:$L),0)
   +IFERROR(XLOOKUP(REGEXEXTRACT($N33,""^[^｜]+""),ac_mst!$A:$A,ac_mst!$L:$L),0)
   +IFERROR(
    XLOOKUP(
     IF(
      OR(
       IFERROR(REGEXEXTRACT($M33,""^[^｜"&amp;"]+""),"""")="""",
       IFERROR(REGEXEXTRACT($N33,""^[^｜]+""),"""")=""""
      ),
      """",
      IF(
       IFERROR(REGEXEXTRACT($M33,""^[^｜]+""),"""")&lt;IFERROR(REGEXEXTRACT($N33,""^[^｜]+""),""""),
       IFERROR(REGEXEXTRACT($M33,""^[^｜]+""),"""")&amp;""_"&amp;"""&amp;IFERROR(REGEXEXTRACT($N33,""^[^｜]+""),""""),
       IFERROR(REGEXEXTRACT($N33,""^[^｜]+""),"""")&amp;""_""&amp;IFERROR(REGEXEXTRACT($M33,""^[^｜]+""),"""")
      )
     ),
     sy_mst!$A:$A,
     sy_mst!$I:$I
    ),
    0
   )
  )
  *
  IFERROR(XLOOKUP(REGEXEXTR"&amp;"ACT($I33,""^[^｜]+""),ms_mst!$A:$A,ms_mst!$Q:$Q),1)
  *
  IF(
   $B33&gt;=IFERROR(XLOOKUP(REGEXEXTRACT($L33,""^[^｜]+""),sk_mst!$A:$A,sk_mst!$M:$M),999),
   IFERROR(XLOOKUP(REGEXEXTRACT($L33,""^[^｜]+""),sk_mst!$A:$A,sk_mst!$K:$K),1),
   1
  )
 )
)"),3600.0)</f>
        <v>3600</v>
      </c>
      <c r="U33" s="25">
        <f>IFERROR(__xludf.DUMMYFUNCTION("IF($A33="""","""",
 IF($F33=""market"",
  IFERROR(XLOOKUP(REGEXEXTRACT($J33,""^[^｜]+""),tr_mst!$A:$A,tr_mst!$J:$J),0)
  +IFERROR(XLOOKUP(REGEXEXTRACT($K33,""^[^｜]+""),tc_mst!$A:$A,tc_mst!$J:$J),0),
  IF($B33=0,
   IFERROR(XLOOKUP(REGEXEXTRACT($I33,""^[^｜]"&amp;"+""),ms_mst!$A:$A,ms_mst!$J:$J),0),
   IFERROR(XLOOKUP(""T""&amp;($B33-1)&amp;""_""&amp;$D33,$A:$A,$U:$U),0)
  )
  +IFERROR(XLOOKUP(REGEXEXTRACT($J33,""^[^｜]+""),tr_mst!$A:$A,tr_mst!$J:$J),0)
  +IFERROR(XLOOKUP(REGEXEXTRACT($K33,""^[^｜]+""),tc_mst!$A:$A,tc_mst!$J:$J)"&amp;",0)
  +
  (
   IFERROR(XLOOKUP(REGEXEXTRACT($M33,""^[^｜]+""),ac_mst!$A:$A,ac_mst!$M:$M),0)
   +IFERROR(XLOOKUP(REGEXEXTRACT($N33,""^[^｜]+""),ac_mst!$A:$A,ac_mst!$M:$M),0)
   +IFERROR(
    XLOOKUP(
     IF(
      OR(
       IFERROR(REGEXEXTRACT($M33,""^[^｜"&amp;"]+""),"""")="""",
       IFERROR(REGEXEXTRACT($N33,""^[^｜]+""),"""")=""""
      ),
      """",
      IF(
       IFERROR(REGEXEXTRACT($M33,""^[^｜]+""),"""")&lt;IFERROR(REGEXEXTRACT($N33,""^[^｜]+""),""""),
       IFERROR(REGEXEXTRACT($M33,""^[^｜]+""),"""")&amp;""_"&amp;"""&amp;IFERROR(REGEXEXTRACT($N33,""^[^｜]+""),""""),
       IFERROR(REGEXEXTRACT($N33,""^[^｜]+""),"""")&amp;""_""&amp;IFERROR(REGEXEXTRACT($M33,""^[^｜]+""),"""")
      )
     ),
     sy_mst!$A:$A,
     sy_mst!$J:$J
    ),
    0
   )
  )
  *
  IFERROR(XLOOKUP(REGEXEXTR"&amp;"ACT($I33,""^[^｜]+""),ms_mst!$A:$A,ms_mst!$R:$R),1)
  *
  IF(
   $B33&gt;=IFERROR(XLOOKUP(REGEXEXTRACT($L33,""^[^｜]+""),sk_mst!$A:$A,sk_mst!$M:$M),999),
   IFERROR(XLOOKUP(REGEXEXTRACT($L33,""^[^｜]+""),sk_mst!$A:$A,sk_mst!$L:$L),1),
   1
  )
 )
)"),66.12)</f>
        <v>66.12</v>
      </c>
      <c r="V33" s="25">
        <f t="shared" si="1"/>
        <v>362820</v>
      </c>
      <c r="W33" s="25">
        <f t="shared" si="2"/>
        <v>241338</v>
      </c>
      <c r="X33" s="25">
        <f t="shared" si="3"/>
        <v>121482</v>
      </c>
      <c r="Y33" s="25">
        <f t="shared" si="4"/>
        <v>1.5</v>
      </c>
      <c r="Z33" s="25">
        <f>IFERROR(__xludf.DUMMYFUNCTION("IF($A33="""","""",
 IF($F33&lt;&gt;""player"","""",
  IFERROR(
   RANK(
    $X33,
    FILTER($X:$X,$B:$B=$B33,$F:$F=""player"",$X:$X&lt;&gt;""""),
    0
   ),
   """"
  )
 )
)"),7.0)</f>
        <v>7</v>
      </c>
      <c r="AA33" s="25" t="str">
        <f t="shared" si="5"/>
        <v>7位</v>
      </c>
      <c r="AB33" s="26">
        <f t="shared" si="6"/>
        <v>4.376375764</v>
      </c>
    </row>
    <row r="34">
      <c r="A34" s="14" t="s">
        <v>207</v>
      </c>
      <c r="B34" s="25">
        <v>2.0</v>
      </c>
      <c r="C34" s="14" t="s">
        <v>168</v>
      </c>
      <c r="D34" s="14" t="s">
        <v>169</v>
      </c>
      <c r="E34" s="25" t="s">
        <v>153</v>
      </c>
      <c r="F34" s="25" t="s">
        <v>154</v>
      </c>
      <c r="G34" s="25" t="str">
        <f>IFERROR(__xludf.DUMMYFUNCTION("IF($F34=""market"","""",IFERROR(FILTER(member_log!$B$10:$B947,member_log!$C$10:$C947=$C34,member_log!$D$10:$D947=$E34,member_log!$G$10:$G947=""active""),""""))"),"")</f>
        <v/>
      </c>
      <c r="H34" s="25" t="str">
        <f>IFERROR(__xludf.DUMMYFUNCTION("IF($F34=""market"","""",IFERROR(FILTER(member_log!$E$10:$E947,member_log!$C$10:$C947=$C34,member_log!$D$10:$D947=$E34,member_log!$G$10:$G947=""active""),""""))"),"")</f>
        <v/>
      </c>
      <c r="I34" s="25" t="str">
        <f>IFERROR(__xludf.DUMMYFUNCTION("IF($F34&lt;&gt;""player"","""",IFERROR(INDEX(FILTER(group_setup!$D$2:$D947,group_setup!$B$2:$B947=$C34,group_setup!$G$2:$G947=TRUE,group_setup!$H$2:$H947=""completed""),1),""""))"),"M02")</f>
        <v>M02</v>
      </c>
      <c r="J34" s="25" t="str">
        <f>IFERROR(__xludf.DUMMYFUNCTION("IFERROR(FILTER(market_event_log!$D$2:$D947,market_event_log!$C$2:$C947=$B34,market_event_log!$N$2:$N947=""active""),"""")"),"T01")</f>
        <v>T01</v>
      </c>
      <c r="K34" s="25" t="str">
        <f>IFERROR(__xludf.DUMMYFUNCTION("IFERROR(FILTER(market_event_log!$G$2:$G947,market_event_log!$C$2:$C947=$B34,market_event_log!$N$2:$N947=""active""),"""")"),"C03")</f>
        <v>C03</v>
      </c>
      <c r="L34" s="25" t="str">
        <f>IFERROR(__xludf.DUMMYFUNCTION("IF($F34&lt;&gt;""player"","""",IFERROR(INDEX(FILTER(group_setup!$E$2:$E947,group_setup!$B$2:$B947=$C34,group_setup!$G$2:$G947=TRUE,group_setup!$H$2:$H947=""completed""),1),""""))"),"S03")</f>
        <v>S03</v>
      </c>
      <c r="M34" s="25" t="str">
        <f>IFERROR(__xludf.DUMMYFUNCTION("IF($F34=""market"","""",IF($E34=""HUMAN"",IFERROR(FILTER(turn_log!$G$2:$G947,turn_log!$C$2:$C947=$B34,turn_log!$D$2:$D947=$C34,turn_log!$F$2:$F947=$E34),""""),IFERROR(FILTER(turn_log!$I$2:$I947,turn_log!$C$2:$C947=$B34,turn_log!$D$2:$D947=$C34,turn_log!$F"&amp;"$2:$F947=$E34),"""")))"),"A14")</f>
        <v>A14</v>
      </c>
      <c r="N34" s="25" t="str">
        <f>IFERROR(__xludf.DUMMYFUNCTION("IF($F34=""market"","""",IF($E34=""HUMAN"",IFERROR(FILTER(turn_log!$H$2:$H947,turn_log!$C$2:$C947=$B34,turn_log!$D$2:$D947=$C34,turn_log!$F$2:$F947=$E34),""""),IFERROR(FILTER(turn_log!$J$2:$J947,turn_log!$C$2:$C947=$B34,turn_log!$D$2:$D947=$C34,turn_log!$F"&amp;"$2:$F947=$E34),"""")))"),"A09")</f>
        <v>A09</v>
      </c>
      <c r="O34" s="25">
        <f>IFERROR(__xludf.DUMMYFUNCTION("IF($A34="""","""",
 IF($F34=""market"",
  IFERROR(XLOOKUP(REGEXEXTRACT($J34,""^[^｜]+""),tr_mst!$A:$A,tr_mst!$D:$D),0)
  +IFERROR(XLOOKUP(REGEXEXTRACT($K34,""^[^｜]+""),tc_mst!$A:$A,tc_mst!$D:$D),0),
  IF($B34=0,
   IFERROR(XLOOKUP(REGEXEXTRACT($I34,""^[^｜]"&amp;"+""),ms_mst!$A:$A,ms_mst!$D:$D),0),
   IFERROR(XLOOKUP(""T""&amp;($B34-1)&amp;""_""&amp;$D34,$A:$A,$O:$O),0)
  )
  +IFERROR(XLOOKUP(REGEXEXTRACT($J34,""^[^｜]+""),tr_mst!$A:$A,tr_mst!$D:$D),0)
  +IFERROR(XLOOKUP(REGEXEXTRACT($K34,""^[^｜]+""),tc_mst!$A:$A,tc_mst!$D:$D)"&amp;",0)
  +
  (
   IFERROR(XLOOKUP(REGEXEXTRACT($M34,""^[^｜]+""),ac_mst!$A:$A,ac_mst!$G:$G),0)
   +IFERROR(XLOOKUP(REGEXEXTRACT($N34,""^[^｜]+""),ac_mst!$A:$A,ac_mst!$G:$G),0)
   +IFERROR(
    XLOOKUP(
     IF(
      OR(
       IFERROR(REGEXEXTRACT($M34,""^[^｜"&amp;"]+""),"""")="""",
       IFERROR(REGEXEXTRACT($N34,""^[^｜]+""),"""")=""""
      ),
      """",
      IF(
       IFERROR(REGEXEXTRACT($M34,""^[^｜]+""),"""")&lt;IFERROR(REGEXEXTRACT($N34,""^[^｜]+""),""""),
       IFERROR(REGEXEXTRACT($M34,""^[^｜]+""),"""")&amp;""_"&amp;"""&amp;IFERROR(REGEXEXTRACT($N34,""^[^｜]+""),""""),
       IFERROR(REGEXEXTRACT($N34,""^[^｜]+""),"""")&amp;""_""&amp;IFERROR(REGEXEXTRACT($M34,""^[^｜]+""),"""")
      )
     ),
     sy_mst!$A:$A,
     sy_mst!$D:$D
    ),
    0
   )
  )
  *
  IFERROR(XLOOKUP(REGEXEXTR"&amp;"ACT($I34,""^[^｜]+""),ms_mst!$A:$A,ms_mst!$L:$L),1)
  *
  IF(
   $B34&gt;=IFERROR(XLOOKUP(REGEXEXTRACT($L34,""^[^｜]+""),sk_mst!$A:$A,sk_mst!$M:$M),999),
   IFERROR(XLOOKUP(REGEXEXTRACT($L34,""^[^｜]+""),sk_mst!$A:$A,sk_mst!$F:$F),1),
   1
  )
 )
)"),8300.0)</f>
        <v>8300</v>
      </c>
      <c r="P34" s="25">
        <f>IFERROR(__xludf.DUMMYFUNCTION("IF($A34="""","""",
 IF($F34=""market"",
  IFERROR(XLOOKUP(REGEXEXTRACT($J34,""^[^｜]+""),tr_mst!$A:$A,tr_mst!$E:$E),0)
  +IFERROR(XLOOKUP(REGEXEXTRACT($K34,""^[^｜]+""),tc_mst!$A:$A,tc_mst!$E:$E),0),
  IF($B34=0,
   IFERROR(XLOOKUP(REGEXEXTRACT($I34,""^[^｜]"&amp;"+""),ms_mst!$A:$A,ms_mst!$E:$E),0),
   IFERROR(XLOOKUP(""T""&amp;($B34-1)&amp;""_""&amp;$D34,$A:$A,$P:$P),0)
  )
  +IFERROR(XLOOKUP(REGEXEXTRACT($J34,""^[^｜]+""),tr_mst!$A:$A,tr_mst!$E:$E),0)
  +IFERROR(XLOOKUP(REGEXEXTRACT($K34,""^[^｜]+""),tc_mst!$A:$A,tc_mst!$E:$E)"&amp;",0)
  +
  (
   IFERROR(XLOOKUP(REGEXEXTRACT($M34,""^[^｜]+""),ac_mst!$A:$A,ac_mst!$H:$H),0)
   +IFERROR(XLOOKUP(REGEXEXTRACT($N34,""^[^｜]+""),ac_mst!$A:$A,ac_mst!$H:$H),0)
   +IFERROR(
    XLOOKUP(
     IF(
      OR(
       IFERROR(REGEXEXTRACT($M34,""^[^｜"&amp;"]+""),"""")="""",
       IFERROR(REGEXEXTRACT($N34,""^[^｜]+""),"""")=""""
      ),
      """",
      IF(
       IFERROR(REGEXEXTRACT($M34,""^[^｜]+""),"""")&lt;IFERROR(REGEXEXTRACT($N34,""^[^｜]+""),""""),
       IFERROR(REGEXEXTRACT($M34,""^[^｜]+""),"""")&amp;""_"&amp;"""&amp;IFERROR(REGEXEXTRACT($N34,""^[^｜]+""),""""),
       IFERROR(REGEXEXTRACT($N34,""^[^｜]+""),"""")&amp;""_""&amp;IFERROR(REGEXEXTRACT($M34,""^[^｜]+""),"""")
      )
     ),
     sy_mst!$A:$A,
     sy_mst!$E:$E
    ),
    0
   )
  )
  *
  IFERROR(XLOOKUP(REGEXEXTR"&amp;"ACT($I34,""^[^｜]+""),ms_mst!$A:$A,ms_mst!$M:$M),1)
  *
  IF(
   $B34&gt;=IFERROR(XLOOKUP(REGEXEXTRACT($L34,""^[^｜]+""),sk_mst!$A:$A,sk_mst!$M:$M),999),
   IFERROR(XLOOKUP(REGEXEXTRACT($L34,""^[^｜]+""),sk_mst!$A:$A,sk_mst!$G:$G),1),
   1
  )
 )
)"),3400.0)</f>
        <v>3400</v>
      </c>
      <c r="Q34" s="25">
        <f>IFERROR(__xludf.DUMMYFUNCTION("IF($A34="""","""",
 IF($F34=""market"",
  IFERROR(XLOOKUP(REGEXEXTRACT($J34,""^[^｜]+""),tr_mst!$A:$A,tr_mst!$F:$F),0)
  +IFERROR(XLOOKUP(REGEXEXTRACT($K34,""^[^｜]+""),tc_mst!$A:$A,tc_mst!$F:$F),0),
  IF($B34=0,
   IFERROR(XLOOKUP(REGEXEXTRACT($I34,""^[^｜]"&amp;"+""),ms_mst!$A:$A,ms_mst!$F:$F),0),
   IFERROR(XLOOKUP(""T""&amp;($B34-1)&amp;""_""&amp;$D34,$A:$A,$Q:$Q),0)
  )
  +IFERROR(XLOOKUP(REGEXEXTRACT($J34,""^[^｜]+""),tr_mst!$A:$A,tr_mst!$F:$F),0)
  +IFERROR(XLOOKUP(REGEXEXTRACT($K34,""^[^｜]+""),tc_mst!$A:$A,tc_mst!$F:$F)"&amp;",0)
  +
  (
   IFERROR(XLOOKUP(REGEXEXTRACT($M34,""^[^｜]+""),ac_mst!$A:$A,ac_mst!$I:$I),0)
   +IFERROR(XLOOKUP(REGEXEXTRACT($N34,""^[^｜]+""),ac_mst!$A:$A,ac_mst!$I:$I),0)
   +IFERROR(
    XLOOKUP(
     IF(
      OR(
       IFERROR(REGEXEXTRACT($M34,""^[^｜"&amp;"]+""),"""")="""",
       IFERROR(REGEXEXTRACT($N34,""^[^｜]+""),"""")=""""
      ),
      """",
      IF(
       IFERROR(REGEXEXTRACT($M34,""^[^｜]+""),"""")&lt;IFERROR(REGEXEXTRACT($N34,""^[^｜]+""),""""),
       IFERROR(REGEXEXTRACT($M34,""^[^｜]+""),"""")&amp;""_"&amp;"""&amp;IFERROR(REGEXEXTRACT($N34,""^[^｜]+""),""""),
       IFERROR(REGEXEXTRACT($N34,""^[^｜]+""),"""")&amp;""_""&amp;IFERROR(REGEXEXTRACT($M34,""^[^｜]+""),"""")
      )
     ),
     sy_mst!$A:$A,
     sy_mst!$F:$F
    ),
    0
   )
  )
  *
  IFERROR(XLOOKUP(REGEXEXTR"&amp;"ACT($I34,""^[^｜]+""),ms_mst!$A:$A,ms_mst!$N:$N),1)
  *
  IF(
   $B34&gt;=IFERROR(XLOOKUP(REGEXEXTRACT($L34,""^[^｜]+""),sk_mst!$A:$A,sk_mst!$M:$M),999),
   IFERROR(XLOOKUP(REGEXEXTRACT($L34,""^[^｜]+""),sk_mst!$A:$A,sk_mst!$H:$H),1),
   1
  )
 )
)"),0.5399999999999999)</f>
        <v>0.54</v>
      </c>
      <c r="R34" s="25">
        <f>IFERROR(__xludf.DUMMYFUNCTION("IF($A34="""","""",
 IF($F34=""market"",
  IFERROR(XLOOKUP(REGEXEXTRACT($J34,""^[^｜]+""),tr_mst!$A:$A,tr_mst!$G:$G),0)
  +IFERROR(XLOOKUP(REGEXEXTRACT($K34,""^[^｜]+""),tc_mst!$A:$A,tc_mst!$G:$G),0),
  IF($B34=0,
   IFERROR(XLOOKUP(REGEXEXTRACT($I34,""^[^｜]"&amp;"+""),ms_mst!$A:$A,ms_mst!$G:$G),0),
   IFERROR(XLOOKUP(""T""&amp;($B34-1)&amp;""_""&amp;$D34,$A:$A,$R:$R),0)
  )
  +IFERROR(XLOOKUP(REGEXEXTRACT($J34,""^[^｜]+""),tr_mst!$A:$A,tr_mst!$G:$G),0)
  +IFERROR(XLOOKUP(REGEXEXTRACT($K34,""^[^｜]+""),tc_mst!$A:$A,tc_mst!$G:$G)"&amp;",0)
  +
  (
   IFERROR(XLOOKUP(REGEXEXTRACT($M34,""^[^｜]+""),ac_mst!$A:$A,ac_mst!$J:$J),0)
   +IFERROR(XLOOKUP(REGEXEXTRACT($N34,""^[^｜]+""),ac_mst!$A:$A,ac_mst!$J:$J),0)
   +IFERROR(
    XLOOKUP(
     IF(
      OR(
       IFERROR(REGEXEXTRACT($M34,""^[^｜"&amp;"]+""),"""")="""",
       IFERROR(REGEXEXTRACT($N34,""^[^｜]+""),"""")=""""
      ),
      """",
      IF(
       IFERROR(REGEXEXTRACT($M34,""^[^｜]+""),"""")&lt;IFERROR(REGEXEXTRACT($N34,""^[^｜]+""),""""),
       IFERROR(REGEXEXTRACT($M34,""^[^｜]+""),"""")&amp;""_"&amp;"""&amp;IFERROR(REGEXEXTRACT($N34,""^[^｜]+""),""""),
       IFERROR(REGEXEXTRACT($N34,""^[^｜]+""),"""")&amp;""_""&amp;IFERROR(REGEXEXTRACT($M34,""^[^｜]+""),"""")
      )
     ),
     sy_mst!$A:$A,
     sy_mst!$G:$G
    ),
    0
   )
  )
  *
  IFERROR(XLOOKUP(REGEXEXTR"&amp;"ACT($I34,""^[^｜]+""),ms_mst!$A:$A,ms_mst!$O:$O),1)
  *
  IF(
   $B34&gt;=IFERROR(XLOOKUP(REGEXEXTRACT($L34,""^[^｜]+""),sk_mst!$A:$A,sk_mst!$M:$M),999),
   IFERROR(XLOOKUP(REGEXEXTRACT($L34,""^[^｜]+""),sk_mst!$A:$A,sk_mst!$I:$I),1),
   1
  )
 )
)"),1.4549999999999998)</f>
        <v>1.455</v>
      </c>
      <c r="S34" s="25">
        <f>IFERROR(__xludf.DUMMYFUNCTION("IF($A34="""","""",
 IF($F34=""market"",
  IFERROR(XLOOKUP(REGEXEXTRACT($J34,""^[^｜]+""),tr_mst!$A:$A,tr_mst!$H:$H),0)
  +IFERROR(XLOOKUP(REGEXEXTRACT($K34,""^[^｜]+""),tc_mst!$A:$A,tc_mst!$H:$H),0),
  IF($B34=0,
   IFERROR(XLOOKUP(REGEXEXTRACT($I34,""^[^｜]"&amp;"+""),ms_mst!$A:$A,ms_mst!$H:$H),0),
   IFERROR(XLOOKUP(""T""&amp;($B34-1)&amp;""_""&amp;$D34,$A:$A,$S:$S),0)
  )
  +IFERROR(XLOOKUP(REGEXEXTRACT($J34,""^[^｜]+""),tr_mst!$A:$A,tr_mst!$H:$H),0)
  +IFERROR(XLOOKUP(REGEXEXTRACT($K34,""^[^｜]+""),tc_mst!$A:$A,tc_mst!$H:$H)"&amp;",0)
  +
  (
   IFERROR(XLOOKUP(REGEXEXTRACT($M34,""^[^｜]+""),ac_mst!$A:$A,ac_mst!$K:$K),0)
   +IFERROR(XLOOKUP(REGEXEXTRACT($N34,""^[^｜]+""),ac_mst!$A:$A,ac_mst!$K:$K),0)
   +IFERROR(
    XLOOKUP(
     IF(
      OR(
       IFERROR(REGEXEXTRACT($M34,""^[^｜"&amp;"]+""),"""")="""",
       IFERROR(REGEXEXTRACT($N34,""^[^｜]+""),"""")=""""
      ),
      """",
      IF(
       IFERROR(REGEXEXTRACT($M34,""^[^｜]+""),"""")&lt;IFERROR(REGEXEXTRACT($N34,""^[^｜]+""),""""),
       IFERROR(REGEXEXTRACT($M34,""^[^｜]+""),"""")&amp;""_"&amp;"""&amp;IFERROR(REGEXEXTRACT($N34,""^[^｜]+""),""""),
       IFERROR(REGEXEXTRACT($N34,""^[^｜]+""),"""")&amp;""_""&amp;IFERROR(REGEXEXTRACT($M34,""^[^｜]+""),"""")
      )
     ),
     sy_mst!$A:$A,
     sy_mst!$H:$H
    ),
    0
   )
  )
  *
  IFERROR(XLOOKUP(REGEXEXTR"&amp;"ACT($I34,""^[^｜]+""),ms_mst!$A:$A,ms_mst!$P:$P),1)
  *
  IF(
   $B34&gt;=IFERROR(XLOOKUP(REGEXEXTRACT($L34,""^[^｜]+""),sk_mst!$A:$A,sk_mst!$M:$M),999),
   IFERROR(XLOOKUP(REGEXEXTRACT($L34,""^[^｜]+""),sk_mst!$A:$A,sk_mst!$J:$J),1),
   1
  )
 )
)"),0.012199999999999999)</f>
        <v>0.0122</v>
      </c>
      <c r="T34" s="25">
        <f>IFERROR(__xludf.DUMMYFUNCTION("IF($A34="""","""",
 IF($F34=""market"",
  IFERROR(XLOOKUP(REGEXEXTRACT($J34,""^[^｜]+""),tr_mst!$A:$A,tr_mst!$I:$I),0)
  +IFERROR(XLOOKUP(REGEXEXTRACT($K34,""^[^｜]+""),tc_mst!$A:$A,tc_mst!$I:$I),0),
  IF($B34=0,
   IFERROR(XLOOKUP(REGEXEXTRACT($I34,""^[^｜]"&amp;"+""),ms_mst!$A:$A,ms_mst!$I:$I),0),
   IFERROR(XLOOKUP(""T""&amp;($B34-1)&amp;""_""&amp;$D34,$A:$A,$T:$T),0)
  )
  +IFERROR(XLOOKUP(REGEXEXTRACT($J34,""^[^｜]+""),tr_mst!$A:$A,tr_mst!$I:$I),0)
  +IFERROR(XLOOKUP(REGEXEXTRACT($K34,""^[^｜]+""),tc_mst!$A:$A,tc_mst!$I:$I)"&amp;",0)
  +
  (
   IFERROR(XLOOKUP(REGEXEXTRACT($M34,""^[^｜]+""),ac_mst!$A:$A,ac_mst!$L:$L),0)
   +IFERROR(XLOOKUP(REGEXEXTRACT($N34,""^[^｜]+""),ac_mst!$A:$A,ac_mst!$L:$L),0)
   +IFERROR(
    XLOOKUP(
     IF(
      OR(
       IFERROR(REGEXEXTRACT($M34,""^[^｜"&amp;"]+""),"""")="""",
       IFERROR(REGEXEXTRACT($N34,""^[^｜]+""),"""")=""""
      ),
      """",
      IF(
       IFERROR(REGEXEXTRACT($M34,""^[^｜]+""),"""")&lt;IFERROR(REGEXEXTRACT($N34,""^[^｜]+""),""""),
       IFERROR(REGEXEXTRACT($M34,""^[^｜]+""),"""")&amp;""_"&amp;"""&amp;IFERROR(REGEXEXTRACT($N34,""^[^｜]+""),""""),
       IFERROR(REGEXEXTRACT($N34,""^[^｜]+""),"""")&amp;""_""&amp;IFERROR(REGEXEXTRACT($M34,""^[^｜]+""),"""")
      )
     ),
     sy_mst!$A:$A,
     sy_mst!$I:$I
    ),
    0
   )
  )
  *
  IFERROR(XLOOKUP(REGEXEXTR"&amp;"ACT($I34,""^[^｜]+""),ms_mst!$A:$A,ms_mst!$Q:$Q),1)
  *
  IF(
   $B34&gt;=IFERROR(XLOOKUP(REGEXEXTRACT($L34,""^[^｜]+""),sk_mst!$A:$A,sk_mst!$M:$M),999),
   IFERROR(XLOOKUP(REGEXEXTRACT($L34,""^[^｜]+""),sk_mst!$A:$A,sk_mst!$K:$K),1),
   1
  )
 )
)"),4600.0)</f>
        <v>4600</v>
      </c>
      <c r="U34" s="25">
        <f>IFERROR(__xludf.DUMMYFUNCTION("IF($A34="""","""",
 IF($F34=""market"",
  IFERROR(XLOOKUP(REGEXEXTRACT($J34,""^[^｜]+""),tr_mst!$A:$A,tr_mst!$J:$J),0)
  +IFERROR(XLOOKUP(REGEXEXTRACT($K34,""^[^｜]+""),tc_mst!$A:$A,tc_mst!$J:$J),0),
  IF($B34=0,
   IFERROR(XLOOKUP(REGEXEXTRACT($I34,""^[^｜]"&amp;"+""),ms_mst!$A:$A,ms_mst!$J:$J),0),
   IFERROR(XLOOKUP(""T""&amp;($B34-1)&amp;""_""&amp;$D34,$A:$A,$U:$U),0)
  )
  +IFERROR(XLOOKUP(REGEXEXTRACT($J34,""^[^｜]+""),tr_mst!$A:$A,tr_mst!$J:$J),0)
  +IFERROR(XLOOKUP(REGEXEXTRACT($K34,""^[^｜]+""),tc_mst!$A:$A,tc_mst!$J:$J)"&amp;",0)
  +
  (
   IFERROR(XLOOKUP(REGEXEXTRACT($M34,""^[^｜]+""),ac_mst!$A:$A,ac_mst!$M:$M),0)
   +IFERROR(XLOOKUP(REGEXEXTRACT($N34,""^[^｜]+""),ac_mst!$A:$A,ac_mst!$M:$M),0)
   +IFERROR(
    XLOOKUP(
     IF(
      OR(
       IFERROR(REGEXEXTRACT($M34,""^[^｜"&amp;"]+""),"""")="""",
       IFERROR(REGEXEXTRACT($N34,""^[^｜]+""),"""")=""""
      ),
      """",
      IF(
       IFERROR(REGEXEXTRACT($M34,""^[^｜]+""),"""")&lt;IFERROR(REGEXEXTRACT($N34,""^[^｜]+""),""""),
       IFERROR(REGEXEXTRACT($M34,""^[^｜]+""),"""")&amp;""_"&amp;"""&amp;IFERROR(REGEXEXTRACT($N34,""^[^｜]+""),""""),
       IFERROR(REGEXEXTRACT($N34,""^[^｜]+""),"""")&amp;""_""&amp;IFERROR(REGEXEXTRACT($M34,""^[^｜]+""),"""")
      )
     ),
     sy_mst!$A:$A,
     sy_mst!$J:$J
    ),
    0
   )
  )
  *
  IFERROR(XLOOKUP(REGEXEXTR"&amp;"ACT($I34,""^[^｜]+""),ms_mst!$A:$A,ms_mst!$R:$R),1)
  *
  IF(
   $B34&gt;=IFERROR(XLOOKUP(REGEXEXTRACT($L34,""^[^｜]+""),sk_mst!$A:$A,sk_mst!$M:$M),999),
   IFERROR(XLOOKUP(REGEXEXTRACT($L34,""^[^｜]+""),sk_mst!$A:$A,sk_mst!$L:$L),1),
   1
  )
 )
)"),60.0)</f>
        <v>60</v>
      </c>
      <c r="V34" s="25">
        <f t="shared" si="1"/>
        <v>439465</v>
      </c>
      <c r="W34" s="25">
        <f t="shared" si="2"/>
        <v>204000</v>
      </c>
      <c r="X34" s="25">
        <f t="shared" si="3"/>
        <v>235465</v>
      </c>
      <c r="Y34" s="25">
        <f t="shared" si="4"/>
        <v>2.15</v>
      </c>
      <c r="Z34" s="25">
        <f>IFERROR(__xludf.DUMMYFUNCTION("IF($A34="""","""",
 IF($F34&lt;&gt;""player"","""",
  IFERROR(
   RANK(
    $X34,
    FILTER($X:$X,$B:$B=$B34,$F:$F=""player"",$X:$X&lt;&gt;""""),
    0
   ),
   """"
  )
 )
)"),6.0)</f>
        <v>6</v>
      </c>
      <c r="AA34" s="25" t="str">
        <f t="shared" si="5"/>
        <v>6位</v>
      </c>
      <c r="AB34" s="26">
        <f t="shared" si="6"/>
        <v>4.835853078</v>
      </c>
    </row>
    <row r="35">
      <c r="A35" s="14" t="s">
        <v>208</v>
      </c>
      <c r="B35" s="25">
        <v>2.0</v>
      </c>
      <c r="C35" s="14" t="s">
        <v>171</v>
      </c>
      <c r="D35" s="14" t="s">
        <v>172</v>
      </c>
      <c r="E35" s="25" t="s">
        <v>153</v>
      </c>
      <c r="F35" s="25" t="s">
        <v>154</v>
      </c>
      <c r="G35" s="25" t="str">
        <f>IFERROR(__xludf.DUMMYFUNCTION("IF($F35=""market"","""",IFERROR(FILTER(member_log!$B$10:$B947,member_log!$C$10:$C947=$C35,member_log!$D$10:$D947=$E35,member_log!$G$10:$G947=""active""),""""))"),"")</f>
        <v/>
      </c>
      <c r="H35" s="25" t="str">
        <f>IFERROR(__xludf.DUMMYFUNCTION("IF($F35=""market"","""",IFERROR(FILTER(member_log!$E$10:$E947,member_log!$C$10:$C947=$C35,member_log!$D$10:$D947=$E35,member_log!$G$10:$G947=""active""),""""))"),"")</f>
        <v/>
      </c>
      <c r="I35" s="25" t="str">
        <f>IFERROR(__xludf.DUMMYFUNCTION("IF($F35&lt;&gt;""player"","""",IFERROR(INDEX(FILTER(group_setup!$D$2:$D947,group_setup!$B$2:$B947=$C35,group_setup!$G$2:$G947=TRUE,group_setup!$H$2:$H947=""completed""),1),""""))"),"M03")</f>
        <v>M03</v>
      </c>
      <c r="J35" s="25" t="str">
        <f>IFERROR(__xludf.DUMMYFUNCTION("IFERROR(FILTER(market_event_log!$D$2:$D947,market_event_log!$C$2:$C947=$B35,market_event_log!$N$2:$N947=""active""),"""")"),"T01")</f>
        <v>T01</v>
      </c>
      <c r="K35" s="25" t="str">
        <f>IFERROR(__xludf.DUMMYFUNCTION("IFERROR(FILTER(market_event_log!$G$2:$G947,market_event_log!$C$2:$C947=$B35,market_event_log!$N$2:$N947=""active""),"""")"),"C03")</f>
        <v>C03</v>
      </c>
      <c r="L35" s="25" t="str">
        <f>IFERROR(__xludf.DUMMYFUNCTION("IF($F35&lt;&gt;""player"","""",IFERROR(INDEX(FILTER(group_setup!$E$2:$E947,group_setup!$B$2:$B947=$C35,group_setup!$G$2:$G947=TRUE,group_setup!$H$2:$H947=""completed""),1),""""))"),"S03")</f>
        <v>S03</v>
      </c>
      <c r="M35" s="25" t="str">
        <f>IFERROR(__xludf.DUMMYFUNCTION("IF($F35=""market"","""",IF($E35=""HUMAN"",IFERROR(FILTER(turn_log!$G$2:$G947,turn_log!$C$2:$C947=$B35,turn_log!$D$2:$D947=$C35,turn_log!$F$2:$F947=$E35),""""),IFERROR(FILTER(turn_log!$I$2:$I947,turn_log!$C$2:$C947=$B35,turn_log!$D$2:$D947=$C35,turn_log!$F"&amp;"$2:$F947=$E35),"""")))"),"A11")</f>
        <v>A11</v>
      </c>
      <c r="N35" s="25" t="str">
        <f>IFERROR(__xludf.DUMMYFUNCTION("IF($F35=""market"","""",IF($E35=""HUMAN"",IFERROR(FILTER(turn_log!$H$2:$H947,turn_log!$C$2:$C947=$B35,turn_log!$D$2:$D947=$C35,turn_log!$F$2:$F947=$E35),""""),IFERROR(FILTER(turn_log!$J$2:$J947,turn_log!$C$2:$C947=$B35,turn_log!$D$2:$D947=$C35,turn_log!$F"&amp;"$2:$F947=$E35),"""")))"),"A12")</f>
        <v>A12</v>
      </c>
      <c r="O35" s="25">
        <f>IFERROR(__xludf.DUMMYFUNCTION("IF($A35="""","""",
 IF($F35=""market"",
  IFERROR(XLOOKUP(REGEXEXTRACT($J35,""^[^｜]+""),tr_mst!$A:$A,tr_mst!$D:$D),0)
  +IFERROR(XLOOKUP(REGEXEXTRACT($K35,""^[^｜]+""),tc_mst!$A:$A,tc_mst!$D:$D),0),
  IF($B35=0,
   IFERROR(XLOOKUP(REGEXEXTRACT($I35,""^[^｜]"&amp;"+""),ms_mst!$A:$A,ms_mst!$D:$D),0),
   IFERROR(XLOOKUP(""T""&amp;($B35-1)&amp;""_""&amp;$D35,$A:$A,$O:$O),0)
  )
  +IFERROR(XLOOKUP(REGEXEXTRACT($J35,""^[^｜]+""),tr_mst!$A:$A,tr_mst!$D:$D),0)
  +IFERROR(XLOOKUP(REGEXEXTRACT($K35,""^[^｜]+""),tc_mst!$A:$A,tc_mst!$D:$D)"&amp;",0)
  +
  (
   IFERROR(XLOOKUP(REGEXEXTRACT($M35,""^[^｜]+""),ac_mst!$A:$A,ac_mst!$G:$G),0)
   +IFERROR(XLOOKUP(REGEXEXTRACT($N35,""^[^｜]+""),ac_mst!$A:$A,ac_mst!$G:$G),0)
   +IFERROR(
    XLOOKUP(
     IF(
      OR(
       IFERROR(REGEXEXTRACT($M35,""^[^｜"&amp;"]+""),"""")="""",
       IFERROR(REGEXEXTRACT($N35,""^[^｜]+""),"""")=""""
      ),
      """",
      IF(
       IFERROR(REGEXEXTRACT($M35,""^[^｜]+""),"""")&lt;IFERROR(REGEXEXTRACT($N35,""^[^｜]+""),""""),
       IFERROR(REGEXEXTRACT($M35,""^[^｜]+""),"""")&amp;""_"&amp;"""&amp;IFERROR(REGEXEXTRACT($N35,""^[^｜]+""),""""),
       IFERROR(REGEXEXTRACT($N35,""^[^｜]+""),"""")&amp;""_""&amp;IFERROR(REGEXEXTRACT($M35,""^[^｜]+""),"""")
      )
     ),
     sy_mst!$A:$A,
     sy_mst!$D:$D
    ),
    0
   )
  )
  *
  IFERROR(XLOOKUP(REGEXEXTR"&amp;"ACT($I35,""^[^｜]+""),ms_mst!$A:$A,ms_mst!$L:$L),1)
  *
  IF(
   $B35&gt;=IFERROR(XLOOKUP(REGEXEXTRACT($L35,""^[^｜]+""),sk_mst!$A:$A,sk_mst!$M:$M),999),
   IFERROR(XLOOKUP(REGEXEXTRACT($L35,""^[^｜]+""),sk_mst!$A:$A,sk_mst!$F:$F),1),
   1
  )
 )
)"),13025.0)</f>
        <v>13025</v>
      </c>
      <c r="P35" s="25">
        <f>IFERROR(__xludf.DUMMYFUNCTION("IF($A35="""","""",
 IF($F35=""market"",
  IFERROR(XLOOKUP(REGEXEXTRACT($J35,""^[^｜]+""),tr_mst!$A:$A,tr_mst!$E:$E),0)
  +IFERROR(XLOOKUP(REGEXEXTRACT($K35,""^[^｜]+""),tc_mst!$A:$A,tc_mst!$E:$E),0),
  IF($B35=0,
   IFERROR(XLOOKUP(REGEXEXTRACT($I35,""^[^｜]"&amp;"+""),ms_mst!$A:$A,ms_mst!$E:$E),0),
   IFERROR(XLOOKUP(""T""&amp;($B35-1)&amp;""_""&amp;$D35,$A:$A,$P:$P),0)
  )
  +IFERROR(XLOOKUP(REGEXEXTRACT($J35,""^[^｜]+""),tr_mst!$A:$A,tr_mst!$E:$E),0)
  +IFERROR(XLOOKUP(REGEXEXTRACT($K35,""^[^｜]+""),tc_mst!$A:$A,tc_mst!$E:$E)"&amp;",0)
  +
  (
   IFERROR(XLOOKUP(REGEXEXTRACT($M35,""^[^｜]+""),ac_mst!$A:$A,ac_mst!$H:$H),0)
   +IFERROR(XLOOKUP(REGEXEXTRACT($N35,""^[^｜]+""),ac_mst!$A:$A,ac_mst!$H:$H),0)
   +IFERROR(
    XLOOKUP(
     IF(
      OR(
       IFERROR(REGEXEXTRACT($M35,""^[^｜"&amp;"]+""),"""")="""",
       IFERROR(REGEXEXTRACT($N35,""^[^｜]+""),"""")=""""
      ),
      """",
      IF(
       IFERROR(REGEXEXTRACT($M35,""^[^｜]+""),"""")&lt;IFERROR(REGEXEXTRACT($N35,""^[^｜]+""),""""),
       IFERROR(REGEXEXTRACT($M35,""^[^｜]+""),"""")&amp;""_"&amp;"""&amp;IFERROR(REGEXEXTRACT($N35,""^[^｜]+""),""""),
       IFERROR(REGEXEXTRACT($N35,""^[^｜]+""),"""")&amp;""_""&amp;IFERROR(REGEXEXTRACT($M35,""^[^｜]+""),"""")
      )
     ),
     sy_mst!$A:$A,
     sy_mst!$E:$E
    ),
    0
   )
  )
  *
  IFERROR(XLOOKUP(REGEXEXTR"&amp;"ACT($I35,""^[^｜]+""),ms_mst!$A:$A,ms_mst!$M:$M),1)
  *
  IF(
   $B35&gt;=IFERROR(XLOOKUP(REGEXEXTRACT($L35,""^[^｜]+""),sk_mst!$A:$A,sk_mst!$M:$M),999),
   IFERROR(XLOOKUP(REGEXEXTRACT($L35,""^[^｜]+""),sk_mst!$A:$A,sk_mst!$G:$G),1),
   1
  )
 )
)"),1400.0)</f>
        <v>1400</v>
      </c>
      <c r="Q35" s="25">
        <f>IFERROR(__xludf.DUMMYFUNCTION("IF($A35="""","""",
 IF($F35=""market"",
  IFERROR(XLOOKUP(REGEXEXTRACT($J35,""^[^｜]+""),tr_mst!$A:$A,tr_mst!$F:$F),0)
  +IFERROR(XLOOKUP(REGEXEXTRACT($K35,""^[^｜]+""),tc_mst!$A:$A,tc_mst!$F:$F),0),
  IF($B35=0,
   IFERROR(XLOOKUP(REGEXEXTRACT($I35,""^[^｜]"&amp;"+""),ms_mst!$A:$A,ms_mst!$F:$F),0),
   IFERROR(XLOOKUP(""T""&amp;($B35-1)&amp;""_""&amp;$D35,$A:$A,$Q:$Q),0)
  )
  +IFERROR(XLOOKUP(REGEXEXTRACT($J35,""^[^｜]+""),tr_mst!$A:$A,tr_mst!$F:$F),0)
  +IFERROR(XLOOKUP(REGEXEXTRACT($K35,""^[^｜]+""),tc_mst!$A:$A,tc_mst!$F:$F)"&amp;",0)
  +
  (
   IFERROR(XLOOKUP(REGEXEXTRACT($M35,""^[^｜]+""),ac_mst!$A:$A,ac_mst!$I:$I),0)
   +IFERROR(XLOOKUP(REGEXEXTRACT($N35,""^[^｜]+""),ac_mst!$A:$A,ac_mst!$I:$I),0)
   +IFERROR(
    XLOOKUP(
     IF(
      OR(
       IFERROR(REGEXEXTRACT($M35,""^[^｜"&amp;"]+""),"""")="""",
       IFERROR(REGEXEXTRACT($N35,""^[^｜]+""),"""")=""""
      ),
      """",
      IF(
       IFERROR(REGEXEXTRACT($M35,""^[^｜]+""),"""")&lt;IFERROR(REGEXEXTRACT($N35,""^[^｜]+""),""""),
       IFERROR(REGEXEXTRACT($M35,""^[^｜]+""),"""")&amp;""_"&amp;"""&amp;IFERROR(REGEXEXTRACT($N35,""^[^｜]+""),""""),
       IFERROR(REGEXEXTRACT($N35,""^[^｜]+""),"""")&amp;""_""&amp;IFERROR(REGEXEXTRACT($M35,""^[^｜]+""),"""")
      )
     ),
     sy_mst!$A:$A,
     sy_mst!$F:$F
    ),
    0
   )
  )
  *
  IFERROR(XLOOKUP(REGEXEXTR"&amp;"ACT($I35,""^[^｜]+""),ms_mst!$A:$A,ms_mst!$N:$N),1)
  *
  IF(
   $B35&gt;=IFERROR(XLOOKUP(REGEXEXTRACT($L35,""^[^｜]+""),sk_mst!$A:$A,sk_mst!$M:$M),999),
   IFERROR(XLOOKUP(REGEXEXTRACT($L35,""^[^｜]+""),sk_mst!$A:$A,sk_mst!$H:$H),1),
   1
  )
 )
)"),0.52)</f>
        <v>0.52</v>
      </c>
      <c r="R35" s="25">
        <f>IFERROR(__xludf.DUMMYFUNCTION("IF($A35="""","""",
 IF($F35=""market"",
  IFERROR(XLOOKUP(REGEXEXTRACT($J35,""^[^｜]+""),tr_mst!$A:$A,tr_mst!$G:$G),0)
  +IFERROR(XLOOKUP(REGEXEXTRACT($K35,""^[^｜]+""),tc_mst!$A:$A,tc_mst!$G:$G),0),
  IF($B35=0,
   IFERROR(XLOOKUP(REGEXEXTRACT($I35,""^[^｜]"&amp;"+""),ms_mst!$A:$A,ms_mst!$G:$G),0),
   IFERROR(XLOOKUP(""T""&amp;($B35-1)&amp;""_""&amp;$D35,$A:$A,$R:$R),0)
  )
  +IFERROR(XLOOKUP(REGEXEXTRACT($J35,""^[^｜]+""),tr_mst!$A:$A,tr_mst!$G:$G),0)
  +IFERROR(XLOOKUP(REGEXEXTRACT($K35,""^[^｜]+""),tc_mst!$A:$A,tc_mst!$G:$G)"&amp;",0)
  +
  (
   IFERROR(XLOOKUP(REGEXEXTRACT($M35,""^[^｜]+""),ac_mst!$A:$A,ac_mst!$J:$J),0)
   +IFERROR(XLOOKUP(REGEXEXTRACT($N35,""^[^｜]+""),ac_mst!$A:$A,ac_mst!$J:$J),0)
   +IFERROR(
    XLOOKUP(
     IF(
      OR(
       IFERROR(REGEXEXTRACT($M35,""^[^｜"&amp;"]+""),"""")="""",
       IFERROR(REGEXEXTRACT($N35,""^[^｜]+""),"""")=""""
      ),
      """",
      IF(
       IFERROR(REGEXEXTRACT($M35,""^[^｜]+""),"""")&lt;IFERROR(REGEXEXTRACT($N35,""^[^｜]+""),""""),
       IFERROR(REGEXEXTRACT($M35,""^[^｜]+""),"""")&amp;""_"&amp;"""&amp;IFERROR(REGEXEXTRACT($N35,""^[^｜]+""),""""),
       IFERROR(REGEXEXTRACT($N35,""^[^｜]+""),"""")&amp;""_""&amp;IFERROR(REGEXEXTRACT($M35,""^[^｜]+""),"""")
      )
     ),
     sy_mst!$A:$A,
     sy_mst!$G:$G
    ),
    0
   )
  )
  *
  IFERROR(XLOOKUP(REGEXEXTR"&amp;"ACT($I35,""^[^｜]+""),ms_mst!$A:$A,ms_mst!$O:$O),1)
  *
  IF(
   $B35&gt;=IFERROR(XLOOKUP(REGEXEXTRACT($L35,""^[^｜]+""),sk_mst!$A:$A,sk_mst!$M:$M),999),
   IFERROR(XLOOKUP(REGEXEXTRACT($L35,""^[^｜]+""),sk_mst!$A:$A,sk_mst!$I:$I),1),
   1
  )
 )
)"),1.8290000000000002)</f>
        <v>1.829</v>
      </c>
      <c r="S35" s="25">
        <f>IFERROR(__xludf.DUMMYFUNCTION("IF($A35="""","""",
 IF($F35=""market"",
  IFERROR(XLOOKUP(REGEXEXTRACT($J35,""^[^｜]+""),tr_mst!$A:$A,tr_mst!$H:$H),0)
  +IFERROR(XLOOKUP(REGEXEXTRACT($K35,""^[^｜]+""),tc_mst!$A:$A,tc_mst!$H:$H),0),
  IF($B35=0,
   IFERROR(XLOOKUP(REGEXEXTRACT($I35,""^[^｜]"&amp;"+""),ms_mst!$A:$A,ms_mst!$H:$H),0),
   IFERROR(XLOOKUP(""T""&amp;($B35-1)&amp;""_""&amp;$D35,$A:$A,$S:$S),0)
  )
  +IFERROR(XLOOKUP(REGEXEXTRACT($J35,""^[^｜]+""),tr_mst!$A:$A,tr_mst!$H:$H),0)
  +IFERROR(XLOOKUP(REGEXEXTRACT($K35,""^[^｜]+""),tc_mst!$A:$A,tc_mst!$H:$H)"&amp;",0)
  +
  (
   IFERROR(XLOOKUP(REGEXEXTRACT($M35,""^[^｜]+""),ac_mst!$A:$A,ac_mst!$K:$K),0)
   +IFERROR(XLOOKUP(REGEXEXTRACT($N35,""^[^｜]+""),ac_mst!$A:$A,ac_mst!$K:$K),0)
   +IFERROR(
    XLOOKUP(
     IF(
      OR(
       IFERROR(REGEXEXTRACT($M35,""^[^｜"&amp;"]+""),"""")="""",
       IFERROR(REGEXEXTRACT($N35,""^[^｜]+""),"""")=""""
      ),
      """",
      IF(
       IFERROR(REGEXEXTRACT($M35,""^[^｜]+""),"""")&lt;IFERROR(REGEXEXTRACT($N35,""^[^｜]+""),""""),
       IFERROR(REGEXEXTRACT($M35,""^[^｜]+""),"""")&amp;""_"&amp;"""&amp;IFERROR(REGEXEXTRACT($N35,""^[^｜]+""),""""),
       IFERROR(REGEXEXTRACT($N35,""^[^｜]+""),"""")&amp;""_""&amp;IFERROR(REGEXEXTRACT($M35,""^[^｜]+""),"""")
      )
     ),
     sy_mst!$A:$A,
     sy_mst!$H:$H
    ),
    0
   )
  )
  *
  IFERROR(XLOOKUP(REGEXEXTR"&amp;"ACT($I35,""^[^｜]+""),ms_mst!$A:$A,ms_mst!$P:$P),1)
  *
  IF(
   $B35&gt;=IFERROR(XLOOKUP(REGEXEXTRACT($L35,""^[^｜]+""),sk_mst!$A:$A,sk_mst!$M:$M),999),
   IFERROR(XLOOKUP(REGEXEXTRACT($L35,""^[^｜]+""),sk_mst!$A:$A,sk_mst!$J:$J),1),
   1
  )
 )
)"),0.013600000000000001)</f>
        <v>0.0136</v>
      </c>
      <c r="T35" s="25">
        <f>IFERROR(__xludf.DUMMYFUNCTION("IF($A35="""","""",
 IF($F35=""market"",
  IFERROR(XLOOKUP(REGEXEXTRACT($J35,""^[^｜]+""),tr_mst!$A:$A,tr_mst!$I:$I),0)
  +IFERROR(XLOOKUP(REGEXEXTRACT($K35,""^[^｜]+""),tc_mst!$A:$A,tc_mst!$I:$I),0),
  IF($B35=0,
   IFERROR(XLOOKUP(REGEXEXTRACT($I35,""^[^｜]"&amp;"+""),ms_mst!$A:$A,ms_mst!$I:$I),0),
   IFERROR(XLOOKUP(""T""&amp;($B35-1)&amp;""_""&amp;$D35,$A:$A,$T:$T),0)
  )
  +IFERROR(XLOOKUP(REGEXEXTRACT($J35,""^[^｜]+""),tr_mst!$A:$A,tr_mst!$I:$I),0)
  +IFERROR(XLOOKUP(REGEXEXTRACT($K35,""^[^｜]+""),tc_mst!$A:$A,tc_mst!$I:$I)"&amp;",0)
  +
  (
   IFERROR(XLOOKUP(REGEXEXTRACT($M35,""^[^｜]+""),ac_mst!$A:$A,ac_mst!$L:$L),0)
   +IFERROR(XLOOKUP(REGEXEXTRACT($N35,""^[^｜]+""),ac_mst!$A:$A,ac_mst!$L:$L),0)
   +IFERROR(
    XLOOKUP(
     IF(
      OR(
       IFERROR(REGEXEXTRACT($M35,""^[^｜"&amp;"]+""),"""")="""",
       IFERROR(REGEXEXTRACT($N35,""^[^｜]+""),"""")=""""
      ),
      """",
      IF(
       IFERROR(REGEXEXTRACT($M35,""^[^｜]+""),"""")&lt;IFERROR(REGEXEXTRACT($N35,""^[^｜]+""),""""),
       IFERROR(REGEXEXTRACT($M35,""^[^｜]+""),"""")&amp;""_"&amp;"""&amp;IFERROR(REGEXEXTRACT($N35,""^[^｜]+""),""""),
       IFERROR(REGEXEXTRACT($N35,""^[^｜]+""),"""")&amp;""_""&amp;IFERROR(REGEXEXTRACT($M35,""^[^｜]+""),"""")
      )
     ),
     sy_mst!$A:$A,
     sy_mst!$I:$I
    ),
    0
   )
  )
  *
  IFERROR(XLOOKUP(REGEXEXTR"&amp;"ACT($I35,""^[^｜]+""),ms_mst!$A:$A,ms_mst!$Q:$Q),1)
  *
  IF(
   $B35&gt;=IFERROR(XLOOKUP(REGEXEXTRACT($L35,""^[^｜]+""),sk_mst!$A:$A,sk_mst!$M:$M),999),
   IFERROR(XLOOKUP(REGEXEXTRACT($L35,""^[^｜]+""),sk_mst!$A:$A,sk_mst!$K:$K),1),
   1
  )
 )
)"),4000.0)</f>
        <v>4000</v>
      </c>
      <c r="U35" s="25">
        <f>IFERROR(__xludf.DUMMYFUNCTION("IF($A35="""","""",
 IF($F35=""market"",
  IFERROR(XLOOKUP(REGEXEXTRACT($J35,""^[^｜]+""),tr_mst!$A:$A,tr_mst!$J:$J),0)
  +IFERROR(XLOOKUP(REGEXEXTRACT($K35,""^[^｜]+""),tc_mst!$A:$A,tc_mst!$J:$J),0),
  IF($B35=0,
   IFERROR(XLOOKUP(REGEXEXTRACT($I35,""^[^｜]"&amp;"+""),ms_mst!$A:$A,ms_mst!$J:$J),0),
   IFERROR(XLOOKUP(""T""&amp;($B35-1)&amp;""_""&amp;$D35,$A:$A,$U:$U),0)
  )
  +IFERROR(XLOOKUP(REGEXEXTRACT($J35,""^[^｜]+""),tr_mst!$A:$A,tr_mst!$J:$J),0)
  +IFERROR(XLOOKUP(REGEXEXTRACT($K35,""^[^｜]+""),tc_mst!$A:$A,tc_mst!$J:$J)"&amp;",0)
  +
  (
   IFERROR(XLOOKUP(REGEXEXTRACT($M35,""^[^｜]+""),ac_mst!$A:$A,ac_mst!$M:$M),0)
   +IFERROR(XLOOKUP(REGEXEXTRACT($N35,""^[^｜]+""),ac_mst!$A:$A,ac_mst!$M:$M),0)
   +IFERROR(
    XLOOKUP(
     IF(
      OR(
       IFERROR(REGEXEXTRACT($M35,""^[^｜"&amp;"]+""),"""")="""",
       IFERROR(REGEXEXTRACT($N35,""^[^｜]+""),"""")=""""
      ),
      """",
      IF(
       IFERROR(REGEXEXTRACT($M35,""^[^｜]+""),"""")&lt;IFERROR(REGEXEXTRACT($N35,""^[^｜]+""),""""),
       IFERROR(REGEXEXTRACT($M35,""^[^｜]+""),"""")&amp;""_"&amp;"""&amp;IFERROR(REGEXEXTRACT($N35,""^[^｜]+""),""""),
       IFERROR(REGEXEXTRACT($N35,""^[^｜]+""),"""")&amp;""_""&amp;IFERROR(REGEXEXTRACT($M35,""^[^｜]+""),"""")
      )
     ),
     sy_mst!$A:$A,
     sy_mst!$J:$J
    ),
    0
   )
  )
  *
  IFERROR(XLOOKUP(REGEXEXTR"&amp;"ACT($I35,""^[^｜]+""),ms_mst!$A:$A,ms_mst!$R:$R),1)
  *
  IF(
   $B35&gt;=IFERROR(XLOOKUP(REGEXEXTRACT($L35,""^[^｜]+""),sk_mst!$A:$A,sk_mst!$M:$M),999),
   IFERROR(XLOOKUP(REGEXEXTRACT($L35,""^[^｜]+""),sk_mst!$A:$A,sk_mst!$L:$L),1),
   1
  )
 )
)"),45.0)</f>
        <v>45</v>
      </c>
      <c r="V35" s="25">
        <f t="shared" si="1"/>
        <v>688921</v>
      </c>
      <c r="W35" s="25">
        <f t="shared" si="2"/>
        <v>63000</v>
      </c>
      <c r="X35" s="25">
        <f t="shared" si="3"/>
        <v>625921</v>
      </c>
      <c r="Y35" s="25">
        <f t="shared" si="4"/>
        <v>10.94</v>
      </c>
      <c r="Z35" s="25">
        <f>IFERROR(__xludf.DUMMYFUNCTION("IF($A35="""","""",
 IF($F35&lt;&gt;""player"","""",
  IFERROR(
   RANK(
    $X35,
    FILTER($X:$X,$B:$B=$B35,$F:$F=""player"",$X:$X&lt;&gt;""""),
    0
   ),
   """"
  )
 )
)"),2.0)</f>
        <v>2</v>
      </c>
      <c r="AA35" s="25" t="str">
        <f t="shared" si="5"/>
        <v>2位</v>
      </c>
      <c r="AB35" s="26">
        <f t="shared" si="6"/>
        <v>0.9176501225</v>
      </c>
    </row>
    <row r="36">
      <c r="A36" s="14" t="s">
        <v>209</v>
      </c>
      <c r="B36" s="25">
        <v>2.0</v>
      </c>
      <c r="C36" s="14" t="s">
        <v>174</v>
      </c>
      <c r="D36" s="14" t="s">
        <v>175</v>
      </c>
      <c r="E36" s="25" t="s">
        <v>153</v>
      </c>
      <c r="F36" s="25" t="s">
        <v>154</v>
      </c>
      <c r="G36" s="25" t="str">
        <f>IFERROR(__xludf.DUMMYFUNCTION("IF($F36=""market"","""",IFERROR(FILTER(member_log!$B$10:$B947,member_log!$C$10:$C947=$C36,member_log!$D$10:$D947=$E36,member_log!$G$10:$G947=""active""),""""))"),"")</f>
        <v/>
      </c>
      <c r="H36" s="25" t="str">
        <f>IFERROR(__xludf.DUMMYFUNCTION("IF($F36=""market"","""",IFERROR(FILTER(member_log!$E$10:$E947,member_log!$C$10:$C947=$C36,member_log!$D$10:$D947=$E36,member_log!$G$10:$G947=""active""),""""))"),"")</f>
        <v/>
      </c>
      <c r="I36" s="25" t="str">
        <f>IFERROR(__xludf.DUMMYFUNCTION("IF($F36&lt;&gt;""player"","""",IFERROR(INDEX(FILTER(group_setup!$D$2:$D947,group_setup!$B$2:$B947=$C36,group_setup!$G$2:$G947=TRUE,group_setup!$H$2:$H947=""completed""),1),""""))"),"")</f>
        <v/>
      </c>
      <c r="J36" s="25" t="str">
        <f>IFERROR(__xludf.DUMMYFUNCTION("IFERROR(FILTER(market_event_log!$D$2:$D947,market_event_log!$C$2:$C947=$B36,market_event_log!$N$2:$N947=""active""),"""")"),"T01")</f>
        <v>T01</v>
      </c>
      <c r="K36" s="25" t="str">
        <f>IFERROR(__xludf.DUMMYFUNCTION("IFERROR(FILTER(market_event_log!$G$2:$G947,market_event_log!$C$2:$C947=$B36,market_event_log!$N$2:$N947=""active""),"""")"),"C03")</f>
        <v>C03</v>
      </c>
      <c r="L36" s="25" t="str">
        <f>IFERROR(__xludf.DUMMYFUNCTION("IF($F36&lt;&gt;""player"","""",IFERROR(INDEX(FILTER(group_setup!$E$2:$E947,group_setup!$B$2:$B947=$C36,group_setup!$G$2:$G947=TRUE,group_setup!$H$2:$H947=""completed""),1),""""))"),"")</f>
        <v/>
      </c>
      <c r="M36" s="25" t="str">
        <f>IFERROR(__xludf.DUMMYFUNCTION("IF($F36=""market"","""",IF($E36=""HUMAN"",IFERROR(FILTER(turn_log!$G$2:$G947,turn_log!$C$2:$C947=$B36,turn_log!$D$2:$D947=$C36,turn_log!$F$2:$F947=$E36),""""),IFERROR(FILTER(turn_log!$I$2:$I947,turn_log!$C$2:$C947=$B36,turn_log!$D$2:$D947=$C36,turn_log!$F"&amp;"$2:$F947=$E36),"""")))"),"")</f>
        <v/>
      </c>
      <c r="N36" s="25" t="str">
        <f>IFERROR(__xludf.DUMMYFUNCTION("IF($F36=""market"","""",IF($E36=""HUMAN"",IFERROR(FILTER(turn_log!$H$2:$H947,turn_log!$C$2:$C947=$B36,turn_log!$D$2:$D947=$C36,turn_log!$F$2:$F947=$E36),""""),IFERROR(FILTER(turn_log!$J$2:$J947,turn_log!$C$2:$C947=$B36,turn_log!$D$2:$D947=$C36,turn_log!$F"&amp;"$2:$F947=$E36),"""")))"),"")</f>
        <v/>
      </c>
      <c r="O36" s="25">
        <f>IFERROR(__xludf.DUMMYFUNCTION("IF($A36="""","""",
 IF($F36=""market"",
  IFERROR(XLOOKUP(REGEXEXTRACT($J36,""^[^｜]+""),tr_mst!$A:$A,tr_mst!$D:$D),0)
  +IFERROR(XLOOKUP(REGEXEXTRACT($K36,""^[^｜]+""),tc_mst!$A:$A,tc_mst!$D:$D),0),
  IF($B36=0,
   IFERROR(XLOOKUP(REGEXEXTRACT($I36,""^[^｜]"&amp;"+""),ms_mst!$A:$A,ms_mst!$D:$D),0),
   IFERROR(XLOOKUP(""T""&amp;($B36-1)&amp;""_""&amp;$D36,$A:$A,$O:$O),0)
  )
  +IFERROR(XLOOKUP(REGEXEXTRACT($J36,""^[^｜]+""),tr_mst!$A:$A,tr_mst!$D:$D),0)
  +IFERROR(XLOOKUP(REGEXEXTRACT($K36,""^[^｜]+""),tc_mst!$A:$A,tc_mst!$D:$D)"&amp;",0)
  +
  (
   IFERROR(XLOOKUP(REGEXEXTRACT($M36,""^[^｜]+""),ac_mst!$A:$A,ac_mst!$G:$G),0)
   +IFERROR(XLOOKUP(REGEXEXTRACT($N36,""^[^｜]+""),ac_mst!$A:$A,ac_mst!$G:$G),0)
   +IFERROR(
    XLOOKUP(
     IF(
      OR(
       IFERROR(REGEXEXTRACT($M36,""^[^｜"&amp;"]+""),"""")="""",
       IFERROR(REGEXEXTRACT($N36,""^[^｜]+""),"""")=""""
      ),
      """",
      IF(
       IFERROR(REGEXEXTRACT($M36,""^[^｜]+""),"""")&lt;IFERROR(REGEXEXTRACT($N36,""^[^｜]+""),""""),
       IFERROR(REGEXEXTRACT($M36,""^[^｜]+""),"""")&amp;""_"&amp;"""&amp;IFERROR(REGEXEXTRACT($N36,""^[^｜]+""),""""),
       IFERROR(REGEXEXTRACT($N36,""^[^｜]+""),"""")&amp;""_""&amp;IFERROR(REGEXEXTRACT($M36,""^[^｜]+""),"""")
      )
     ),
     sy_mst!$A:$A,
     sy_mst!$D:$D
    ),
    0
   )
  )
  *
  IFERROR(XLOOKUP(REGEXEXTR"&amp;"ACT($I36,""^[^｜]+""),ms_mst!$A:$A,ms_mst!$L:$L),1)
  *
  IF(
   $B36&gt;=IFERROR(XLOOKUP(REGEXEXTRACT($L36,""^[^｜]+""),sk_mst!$A:$A,sk_mst!$M:$M),999),
   IFERROR(XLOOKUP(REGEXEXTRACT($L36,""^[^｜]+""),sk_mst!$A:$A,sk_mst!$F:$F),1),
   1
  )
 )
)"),2800.0)</f>
        <v>2800</v>
      </c>
      <c r="P36" s="25">
        <f>IFERROR(__xludf.DUMMYFUNCTION("IF($A36="""","""",
 IF($F36=""market"",
  IFERROR(XLOOKUP(REGEXEXTRACT($J36,""^[^｜]+""),tr_mst!$A:$A,tr_mst!$E:$E),0)
  +IFERROR(XLOOKUP(REGEXEXTRACT($K36,""^[^｜]+""),tc_mst!$A:$A,tc_mst!$E:$E),0),
  IF($B36=0,
   IFERROR(XLOOKUP(REGEXEXTRACT($I36,""^[^｜]"&amp;"+""),ms_mst!$A:$A,ms_mst!$E:$E),0),
   IFERROR(XLOOKUP(""T""&amp;($B36-1)&amp;""_""&amp;$D36,$A:$A,$P:$P),0)
  )
  +IFERROR(XLOOKUP(REGEXEXTRACT($J36,""^[^｜]+""),tr_mst!$A:$A,tr_mst!$E:$E),0)
  +IFERROR(XLOOKUP(REGEXEXTRACT($K36,""^[^｜]+""),tc_mst!$A:$A,tc_mst!$E:$E)"&amp;",0)
  +
  (
   IFERROR(XLOOKUP(REGEXEXTRACT($M36,""^[^｜]+""),ac_mst!$A:$A,ac_mst!$H:$H),0)
   +IFERROR(XLOOKUP(REGEXEXTRACT($N36,""^[^｜]+""),ac_mst!$A:$A,ac_mst!$H:$H),0)
   +IFERROR(
    XLOOKUP(
     IF(
      OR(
       IFERROR(REGEXEXTRACT($M36,""^[^｜"&amp;"]+""),"""")="""",
       IFERROR(REGEXEXTRACT($N36,""^[^｜]+""),"""")=""""
      ),
      """",
      IF(
       IFERROR(REGEXEXTRACT($M36,""^[^｜]+""),"""")&lt;IFERROR(REGEXEXTRACT($N36,""^[^｜]+""),""""),
       IFERROR(REGEXEXTRACT($M36,""^[^｜]+""),"""")&amp;""_"&amp;"""&amp;IFERROR(REGEXEXTRACT($N36,""^[^｜]+""),""""),
       IFERROR(REGEXEXTRACT($N36,""^[^｜]+""),"""")&amp;""_""&amp;IFERROR(REGEXEXTRACT($M36,""^[^｜]+""),"""")
      )
     ),
     sy_mst!$A:$A,
     sy_mst!$E:$E
    ),
    0
   )
  )
  *
  IFERROR(XLOOKUP(REGEXEXTR"&amp;"ACT($I36,""^[^｜]+""),ms_mst!$A:$A,ms_mst!$M:$M),1)
  *
  IF(
   $B36&gt;=IFERROR(XLOOKUP(REGEXEXTRACT($L36,""^[^｜]+""),sk_mst!$A:$A,sk_mst!$M:$M),999),
   IFERROR(XLOOKUP(REGEXEXTRACT($L36,""^[^｜]+""),sk_mst!$A:$A,sk_mst!$G:$G),1),
   1
  )
 )
)"),-100.0)</f>
        <v>-100</v>
      </c>
      <c r="Q36" s="25">
        <f>IFERROR(__xludf.DUMMYFUNCTION("IF($A36="""","""",
 IF($F36=""market"",
  IFERROR(XLOOKUP(REGEXEXTRACT($J36,""^[^｜]+""),tr_mst!$A:$A,tr_mst!$F:$F),0)
  +IFERROR(XLOOKUP(REGEXEXTRACT($K36,""^[^｜]+""),tc_mst!$A:$A,tc_mst!$F:$F),0),
  IF($B36=0,
   IFERROR(XLOOKUP(REGEXEXTRACT($I36,""^[^｜]"&amp;"+""),ms_mst!$A:$A,ms_mst!$F:$F),0),
   IFERROR(XLOOKUP(""T""&amp;($B36-1)&amp;""_""&amp;$D36,$A:$A,$Q:$Q),0)
  )
  +IFERROR(XLOOKUP(REGEXEXTRACT($J36,""^[^｜]+""),tr_mst!$A:$A,tr_mst!$F:$F),0)
  +IFERROR(XLOOKUP(REGEXEXTRACT($K36,""^[^｜]+""),tc_mst!$A:$A,tc_mst!$F:$F)"&amp;",0)
  +
  (
   IFERROR(XLOOKUP(REGEXEXTRACT($M36,""^[^｜]+""),ac_mst!$A:$A,ac_mst!$I:$I),0)
   +IFERROR(XLOOKUP(REGEXEXTRACT($N36,""^[^｜]+""),ac_mst!$A:$A,ac_mst!$I:$I),0)
   +IFERROR(
    XLOOKUP(
     IF(
      OR(
       IFERROR(REGEXEXTRACT($M36,""^[^｜"&amp;"]+""),"""")="""",
       IFERROR(REGEXEXTRACT($N36,""^[^｜]+""),"""")=""""
      ),
      """",
      IF(
       IFERROR(REGEXEXTRACT($M36,""^[^｜]+""),"""")&lt;IFERROR(REGEXEXTRACT($N36,""^[^｜]+""),""""),
       IFERROR(REGEXEXTRACT($M36,""^[^｜]+""),"""")&amp;""_"&amp;"""&amp;IFERROR(REGEXEXTRACT($N36,""^[^｜]+""),""""),
       IFERROR(REGEXEXTRACT($N36,""^[^｜]+""),"""")&amp;""_""&amp;IFERROR(REGEXEXTRACT($M36,""^[^｜]+""),"""")
      )
     ),
     sy_mst!$A:$A,
     sy_mst!$F:$F
    ),
    0
   )
  )
  *
  IFERROR(XLOOKUP(REGEXEXTR"&amp;"ACT($I36,""^[^｜]+""),ms_mst!$A:$A,ms_mst!$N:$N),1)
  *
  IF(
   $B36&gt;=IFERROR(XLOOKUP(REGEXEXTRACT($L36,""^[^｜]+""),sk_mst!$A:$A,sk_mst!$M:$M),999),
   IFERROR(XLOOKUP(REGEXEXTRACT($L36,""^[^｜]+""),sk_mst!$A:$A,sk_mst!$H:$H),1),
   1
  )
 )
)"),0.0)</f>
        <v>0</v>
      </c>
      <c r="R36" s="25">
        <f>IFERROR(__xludf.DUMMYFUNCTION("IF($A36="""","""",
 IF($F36=""market"",
  IFERROR(XLOOKUP(REGEXEXTRACT($J36,""^[^｜]+""),tr_mst!$A:$A,tr_mst!$G:$G),0)
  +IFERROR(XLOOKUP(REGEXEXTRACT($K36,""^[^｜]+""),tc_mst!$A:$A,tc_mst!$G:$G),0),
  IF($B36=0,
   IFERROR(XLOOKUP(REGEXEXTRACT($I36,""^[^｜]"&amp;"+""),ms_mst!$A:$A,ms_mst!$G:$G),0),
   IFERROR(XLOOKUP(""T""&amp;($B36-1)&amp;""_""&amp;$D36,$A:$A,$R:$R),0)
  )
  +IFERROR(XLOOKUP(REGEXEXTRACT($J36,""^[^｜]+""),tr_mst!$A:$A,tr_mst!$G:$G),0)
  +IFERROR(XLOOKUP(REGEXEXTRACT($K36,""^[^｜]+""),tc_mst!$A:$A,tc_mst!$G:$G)"&amp;",0)
  +
  (
   IFERROR(XLOOKUP(REGEXEXTRACT($M36,""^[^｜]+""),ac_mst!$A:$A,ac_mst!$J:$J),0)
   +IFERROR(XLOOKUP(REGEXEXTRACT($N36,""^[^｜]+""),ac_mst!$A:$A,ac_mst!$J:$J),0)
   +IFERROR(
    XLOOKUP(
     IF(
      OR(
       IFERROR(REGEXEXTRACT($M36,""^[^｜"&amp;"]+""),"""")="""",
       IFERROR(REGEXEXTRACT($N36,""^[^｜]+""),"""")=""""
      ),
      """",
      IF(
       IFERROR(REGEXEXTRACT($M36,""^[^｜]+""),"""")&lt;IFERROR(REGEXEXTRACT($N36,""^[^｜]+""),""""),
       IFERROR(REGEXEXTRACT($M36,""^[^｜]+""),"""")&amp;""_"&amp;"""&amp;IFERROR(REGEXEXTRACT($N36,""^[^｜]+""),""""),
       IFERROR(REGEXEXTRACT($N36,""^[^｜]+""),"""")&amp;""_""&amp;IFERROR(REGEXEXTRACT($M36,""^[^｜]+""),"""")
      )
     ),
     sy_mst!$A:$A,
     sy_mst!$G:$G
    ),
    0
   )
  )
  *
  IFERROR(XLOOKUP(REGEXEXTR"&amp;"ACT($I36,""^[^｜]+""),ms_mst!$A:$A,ms_mst!$O:$O),1)
  *
  IF(
   $B36&gt;=IFERROR(XLOOKUP(REGEXEXTRACT($L36,""^[^｜]+""),sk_mst!$A:$A,sk_mst!$M:$M),999),
   IFERROR(XLOOKUP(REGEXEXTRACT($L36,""^[^｜]+""),sk_mst!$A:$A,sk_mst!$I:$I),1),
   1
  )
 )
)"),0.01)</f>
        <v>0.01</v>
      </c>
      <c r="S36" s="25">
        <f>IFERROR(__xludf.DUMMYFUNCTION("IF($A36="""","""",
 IF($F36=""market"",
  IFERROR(XLOOKUP(REGEXEXTRACT($J36,""^[^｜]+""),tr_mst!$A:$A,tr_mst!$H:$H),0)
  +IFERROR(XLOOKUP(REGEXEXTRACT($K36,""^[^｜]+""),tc_mst!$A:$A,tc_mst!$H:$H),0),
  IF($B36=0,
   IFERROR(XLOOKUP(REGEXEXTRACT($I36,""^[^｜]"&amp;"+""),ms_mst!$A:$A,ms_mst!$H:$H),0),
   IFERROR(XLOOKUP(""T""&amp;($B36-1)&amp;""_""&amp;$D36,$A:$A,$S:$S),0)
  )
  +IFERROR(XLOOKUP(REGEXEXTRACT($J36,""^[^｜]+""),tr_mst!$A:$A,tr_mst!$H:$H),0)
  +IFERROR(XLOOKUP(REGEXEXTRACT($K36,""^[^｜]+""),tc_mst!$A:$A,tc_mst!$H:$H)"&amp;",0)
  +
  (
   IFERROR(XLOOKUP(REGEXEXTRACT($M36,""^[^｜]+""),ac_mst!$A:$A,ac_mst!$K:$K),0)
   +IFERROR(XLOOKUP(REGEXEXTRACT($N36,""^[^｜]+""),ac_mst!$A:$A,ac_mst!$K:$K),0)
   +IFERROR(
    XLOOKUP(
     IF(
      OR(
       IFERROR(REGEXEXTRACT($M36,""^[^｜"&amp;"]+""),"""")="""",
       IFERROR(REGEXEXTRACT($N36,""^[^｜]+""),"""")=""""
      ),
      """",
      IF(
       IFERROR(REGEXEXTRACT($M36,""^[^｜]+""),"""")&lt;IFERROR(REGEXEXTRACT($N36,""^[^｜]+""),""""),
       IFERROR(REGEXEXTRACT($M36,""^[^｜]+""),"""")&amp;""_"&amp;"""&amp;IFERROR(REGEXEXTRACT($N36,""^[^｜]+""),""""),
       IFERROR(REGEXEXTRACT($N36,""^[^｜]+""),"""")&amp;""_""&amp;IFERROR(REGEXEXTRACT($M36,""^[^｜]+""),"""")
      )
     ),
     sy_mst!$A:$A,
     sy_mst!$H:$H
    ),
    0
   )
  )
  *
  IFERROR(XLOOKUP(REGEXEXTR"&amp;"ACT($I36,""^[^｜]+""),ms_mst!$A:$A,ms_mst!$P:$P),1)
  *
  IF(
   $B36&gt;=IFERROR(XLOOKUP(REGEXEXTRACT($L36,""^[^｜]+""),sk_mst!$A:$A,sk_mst!$M:$M),999),
   IFERROR(XLOOKUP(REGEXEXTRACT($L36,""^[^｜]+""),sk_mst!$A:$A,sk_mst!$J:$J),1),
   1
  )
 )
)"),3.0E-4)</f>
        <v>0.0003</v>
      </c>
      <c r="T36" s="25">
        <f>IFERROR(__xludf.DUMMYFUNCTION("IF($A36="""","""",
 IF($F36=""market"",
  IFERROR(XLOOKUP(REGEXEXTRACT($J36,""^[^｜]+""),tr_mst!$A:$A,tr_mst!$I:$I),0)
  +IFERROR(XLOOKUP(REGEXEXTRACT($K36,""^[^｜]+""),tc_mst!$A:$A,tc_mst!$I:$I),0),
  IF($B36=0,
   IFERROR(XLOOKUP(REGEXEXTRACT($I36,""^[^｜]"&amp;"+""),ms_mst!$A:$A,ms_mst!$I:$I),0),
   IFERROR(XLOOKUP(""T""&amp;($B36-1)&amp;""_""&amp;$D36,$A:$A,$T:$T),0)
  )
  +IFERROR(XLOOKUP(REGEXEXTRACT($J36,""^[^｜]+""),tr_mst!$A:$A,tr_mst!$I:$I),0)
  +IFERROR(XLOOKUP(REGEXEXTRACT($K36,""^[^｜]+""),tc_mst!$A:$A,tc_mst!$I:$I)"&amp;",0)
  +
  (
   IFERROR(XLOOKUP(REGEXEXTRACT($M36,""^[^｜]+""),ac_mst!$A:$A,ac_mst!$L:$L),0)
   +IFERROR(XLOOKUP(REGEXEXTRACT($N36,""^[^｜]+""),ac_mst!$A:$A,ac_mst!$L:$L),0)
   +IFERROR(
    XLOOKUP(
     IF(
      OR(
       IFERROR(REGEXEXTRACT($M36,""^[^｜"&amp;"]+""),"""")="""",
       IFERROR(REGEXEXTRACT($N36,""^[^｜]+""),"""")=""""
      ),
      """",
      IF(
       IFERROR(REGEXEXTRACT($M36,""^[^｜]+""),"""")&lt;IFERROR(REGEXEXTRACT($N36,""^[^｜]+""),""""),
       IFERROR(REGEXEXTRACT($M36,""^[^｜]+""),"""")&amp;""_"&amp;"""&amp;IFERROR(REGEXEXTRACT($N36,""^[^｜]+""),""""),
       IFERROR(REGEXEXTRACT($N36,""^[^｜]+""),"""")&amp;""_""&amp;IFERROR(REGEXEXTRACT($M36,""^[^｜]+""),"""")
      )
     ),
     sy_mst!$A:$A,
     sy_mst!$I:$I
    ),
    0
   )
  )
  *
  IFERROR(XLOOKUP(REGEXEXTR"&amp;"ACT($I36,""^[^｜]+""),ms_mst!$A:$A,ms_mst!$Q:$Q),1)
  *
  IF(
   $B36&gt;=IFERROR(XLOOKUP(REGEXEXTRACT($L36,""^[^｜]+""),sk_mst!$A:$A,sk_mst!$M:$M),999),
   IFERROR(XLOOKUP(REGEXEXTRACT($L36,""^[^｜]+""),sk_mst!$A:$A,sk_mst!$K:$K),1),
   1
  )
 )
)"),0.0)</f>
        <v>0</v>
      </c>
      <c r="U36" s="25">
        <f>IFERROR(__xludf.DUMMYFUNCTION("IF($A36="""","""",
 IF($F36=""market"",
  IFERROR(XLOOKUP(REGEXEXTRACT($J36,""^[^｜]+""),tr_mst!$A:$A,tr_mst!$J:$J),0)
  +IFERROR(XLOOKUP(REGEXEXTRACT($K36,""^[^｜]+""),tc_mst!$A:$A,tc_mst!$J:$J),0),
  IF($B36=0,
   IFERROR(XLOOKUP(REGEXEXTRACT($I36,""^[^｜]"&amp;"+""),ms_mst!$A:$A,ms_mst!$J:$J),0),
   IFERROR(XLOOKUP(""T""&amp;($B36-1)&amp;""_""&amp;$D36,$A:$A,$U:$U),0)
  )
  +IFERROR(XLOOKUP(REGEXEXTRACT($J36,""^[^｜]+""),tr_mst!$A:$A,tr_mst!$J:$J),0)
  +IFERROR(XLOOKUP(REGEXEXTRACT($K36,""^[^｜]+""),tc_mst!$A:$A,tc_mst!$J:$J)"&amp;",0)
  +
  (
   IFERROR(XLOOKUP(REGEXEXTRACT($M36,""^[^｜]+""),ac_mst!$A:$A,ac_mst!$M:$M),0)
   +IFERROR(XLOOKUP(REGEXEXTRACT($N36,""^[^｜]+""),ac_mst!$A:$A,ac_mst!$M:$M),0)
   +IFERROR(
    XLOOKUP(
     IF(
      OR(
       IFERROR(REGEXEXTRACT($M36,""^[^｜"&amp;"]+""),"""")="""",
       IFERROR(REGEXEXTRACT($N36,""^[^｜]+""),"""")=""""
      ),
      """",
      IF(
       IFERROR(REGEXEXTRACT($M36,""^[^｜]+""),"""")&lt;IFERROR(REGEXEXTRACT($N36,""^[^｜]+""),""""),
       IFERROR(REGEXEXTRACT($M36,""^[^｜]+""),"""")&amp;""_"&amp;"""&amp;IFERROR(REGEXEXTRACT($N36,""^[^｜]+""),""""),
       IFERROR(REGEXEXTRACT($N36,""^[^｜]+""),"""")&amp;""_""&amp;IFERROR(REGEXEXTRACT($M36,""^[^｜]+""),"""")
      )
     ),
     sy_mst!$A:$A,
     sy_mst!$J:$J
    ),
    0
   )
  )
  *
  IFERROR(XLOOKUP(REGEXEXTR"&amp;"ACT($I36,""^[^｜]+""),ms_mst!$A:$A,ms_mst!$R:$R),1)
  *
  IF(
   $B36&gt;=IFERROR(XLOOKUP(REGEXEXTRACT($L36,""^[^｜]+""),sk_mst!$A:$A,sk_mst!$M:$M),999),
   IFERROR(XLOOKUP(REGEXEXTRACT($L36,""^[^｜]+""),sk_mst!$A:$A,sk_mst!$L:$L),1),
   1
  )
 )
)"),5.0)</f>
        <v>5</v>
      </c>
      <c r="V36" s="25">
        <f t="shared" si="1"/>
        <v>0</v>
      </c>
      <c r="W36" s="25">
        <f t="shared" si="2"/>
        <v>-500</v>
      </c>
      <c r="X36" s="25">
        <f t="shared" si="3"/>
        <v>500</v>
      </c>
      <c r="Y36" s="25">
        <f t="shared" si="4"/>
        <v>0</v>
      </c>
      <c r="Z36" s="25">
        <f>IFERROR(__xludf.DUMMYFUNCTION("IF($A36="""","""",
 IF($F36&lt;&gt;""player"","""",
  IFERROR(
   RANK(
    $X36,
    FILTER($X:$X,$B:$B=$B36,$F:$F=""player"",$X:$X&lt;&gt;""""),
    0
   ),
   """"
  )
 )
)"),8.0)</f>
        <v>8</v>
      </c>
      <c r="AA36" s="25" t="str">
        <f t="shared" si="5"/>
        <v>8位</v>
      </c>
      <c r="AB36" s="26">
        <f t="shared" si="6"/>
        <v>0</v>
      </c>
    </row>
    <row r="37">
      <c r="A37" s="14" t="s">
        <v>210</v>
      </c>
      <c r="B37" s="25">
        <v>2.0</v>
      </c>
      <c r="C37" s="14" t="s">
        <v>177</v>
      </c>
      <c r="D37" s="14" t="s">
        <v>178</v>
      </c>
      <c r="E37" s="25" t="s">
        <v>153</v>
      </c>
      <c r="F37" s="25" t="s">
        <v>154</v>
      </c>
      <c r="G37" s="25" t="str">
        <f>IFERROR(__xludf.DUMMYFUNCTION("IF($F37=""market"","""",IFERROR(FILTER(member_log!$B$10:$B947,member_log!$C$10:$C947=$C37,member_log!$D$10:$D947=$E37,member_log!$G$10:$G947=""active""),""""))"),"")</f>
        <v/>
      </c>
      <c r="H37" s="25" t="str">
        <f>IFERROR(__xludf.DUMMYFUNCTION("IF($F37=""market"","""",IFERROR(FILTER(member_log!$E$10:$E947,member_log!$C$10:$C947=$C37,member_log!$D$10:$D947=$E37,member_log!$G$10:$G947=""active""),""""))"),"")</f>
        <v/>
      </c>
      <c r="I37" s="25" t="str">
        <f>IFERROR(__xludf.DUMMYFUNCTION("IF($F37&lt;&gt;""player"","""",IFERROR(INDEX(FILTER(group_setup!$D$2:$D947,group_setup!$B$2:$B947=$C37,group_setup!$G$2:$G947=TRUE,group_setup!$H$2:$H947=""completed""),1),""""))"),"")</f>
        <v/>
      </c>
      <c r="J37" s="25" t="str">
        <f>IFERROR(__xludf.DUMMYFUNCTION("IFERROR(FILTER(market_event_log!$D$2:$D947,market_event_log!$C$2:$C947=$B37,market_event_log!$N$2:$N947=""active""),"""")"),"T01")</f>
        <v>T01</v>
      </c>
      <c r="K37" s="25" t="str">
        <f>IFERROR(__xludf.DUMMYFUNCTION("IFERROR(FILTER(market_event_log!$G$2:$G947,market_event_log!$C$2:$C947=$B37,market_event_log!$N$2:$N947=""active""),"""")"),"C03")</f>
        <v>C03</v>
      </c>
      <c r="L37" s="25" t="str">
        <f>IFERROR(__xludf.DUMMYFUNCTION("IF($F37&lt;&gt;""player"","""",IFERROR(INDEX(FILTER(group_setup!$E$2:$E947,group_setup!$B$2:$B947=$C37,group_setup!$G$2:$G947=TRUE,group_setup!$H$2:$H947=""completed""),1),""""))"),"")</f>
        <v/>
      </c>
      <c r="M37" s="25" t="str">
        <f>IFERROR(__xludf.DUMMYFUNCTION("IF($F37=""market"","""",IF($E37=""HUMAN"",IFERROR(FILTER(turn_log!$G$2:$G947,turn_log!$C$2:$C947=$B37,turn_log!$D$2:$D947=$C37,turn_log!$F$2:$F947=$E37),""""),IFERROR(FILTER(turn_log!$I$2:$I947,turn_log!$C$2:$C947=$B37,turn_log!$D$2:$D947=$C37,turn_log!$F"&amp;"$2:$F947=$E37),"""")))"),"")</f>
        <v/>
      </c>
      <c r="N37" s="25" t="str">
        <f>IFERROR(__xludf.DUMMYFUNCTION("IF($F37=""market"","""",IF($E37=""HUMAN"",IFERROR(FILTER(turn_log!$H$2:$H947,turn_log!$C$2:$C947=$B37,turn_log!$D$2:$D947=$C37,turn_log!$F$2:$F947=$E37),""""),IFERROR(FILTER(turn_log!$J$2:$J947,turn_log!$C$2:$C947=$B37,turn_log!$D$2:$D947=$C37,turn_log!$F"&amp;"$2:$F947=$E37),"""")))"),"")</f>
        <v/>
      </c>
      <c r="O37" s="25">
        <f>IFERROR(__xludf.DUMMYFUNCTION("IF($A37="""","""",
 IF($F37=""market"",
  IFERROR(XLOOKUP(REGEXEXTRACT($J37,""^[^｜]+""),tr_mst!$A:$A,tr_mst!$D:$D),0)
  +IFERROR(XLOOKUP(REGEXEXTRACT($K37,""^[^｜]+""),tc_mst!$A:$A,tc_mst!$D:$D),0),
  IF($B37=0,
   IFERROR(XLOOKUP(REGEXEXTRACT($I37,""^[^｜]"&amp;"+""),ms_mst!$A:$A,ms_mst!$D:$D),0),
   IFERROR(XLOOKUP(""T""&amp;($B37-1)&amp;""_""&amp;$D37,$A:$A,$O:$O),0)
  )
  +IFERROR(XLOOKUP(REGEXEXTRACT($J37,""^[^｜]+""),tr_mst!$A:$A,tr_mst!$D:$D),0)
  +IFERROR(XLOOKUP(REGEXEXTRACT($K37,""^[^｜]+""),tc_mst!$A:$A,tc_mst!$D:$D)"&amp;",0)
  +
  (
   IFERROR(XLOOKUP(REGEXEXTRACT($M37,""^[^｜]+""),ac_mst!$A:$A,ac_mst!$G:$G),0)
   +IFERROR(XLOOKUP(REGEXEXTRACT($N37,""^[^｜]+""),ac_mst!$A:$A,ac_mst!$G:$G),0)
   +IFERROR(
    XLOOKUP(
     IF(
      OR(
       IFERROR(REGEXEXTRACT($M37,""^[^｜"&amp;"]+""),"""")="""",
       IFERROR(REGEXEXTRACT($N37,""^[^｜]+""),"""")=""""
      ),
      """",
      IF(
       IFERROR(REGEXEXTRACT($M37,""^[^｜]+""),"""")&lt;IFERROR(REGEXEXTRACT($N37,""^[^｜]+""),""""),
       IFERROR(REGEXEXTRACT($M37,""^[^｜]+""),"""")&amp;""_"&amp;"""&amp;IFERROR(REGEXEXTRACT($N37,""^[^｜]+""),""""),
       IFERROR(REGEXEXTRACT($N37,""^[^｜]+""),"""")&amp;""_""&amp;IFERROR(REGEXEXTRACT($M37,""^[^｜]+""),"""")
      )
     ),
     sy_mst!$A:$A,
     sy_mst!$D:$D
    ),
    0
   )
  )
  *
  IFERROR(XLOOKUP(REGEXEXTR"&amp;"ACT($I37,""^[^｜]+""),ms_mst!$A:$A,ms_mst!$L:$L),1)
  *
  IF(
   $B37&gt;=IFERROR(XLOOKUP(REGEXEXTRACT($L37,""^[^｜]+""),sk_mst!$A:$A,sk_mst!$M:$M),999),
   IFERROR(XLOOKUP(REGEXEXTRACT($L37,""^[^｜]+""),sk_mst!$A:$A,sk_mst!$F:$F),1),
   1
  )
 )
)"),2800.0)</f>
        <v>2800</v>
      </c>
      <c r="P37" s="25">
        <f>IFERROR(__xludf.DUMMYFUNCTION("IF($A37="""","""",
 IF($F37=""market"",
  IFERROR(XLOOKUP(REGEXEXTRACT($J37,""^[^｜]+""),tr_mst!$A:$A,tr_mst!$E:$E),0)
  +IFERROR(XLOOKUP(REGEXEXTRACT($K37,""^[^｜]+""),tc_mst!$A:$A,tc_mst!$E:$E),0),
  IF($B37=0,
   IFERROR(XLOOKUP(REGEXEXTRACT($I37,""^[^｜]"&amp;"+""),ms_mst!$A:$A,ms_mst!$E:$E),0),
   IFERROR(XLOOKUP(""T""&amp;($B37-1)&amp;""_""&amp;$D37,$A:$A,$P:$P),0)
  )
  +IFERROR(XLOOKUP(REGEXEXTRACT($J37,""^[^｜]+""),tr_mst!$A:$A,tr_mst!$E:$E),0)
  +IFERROR(XLOOKUP(REGEXEXTRACT($K37,""^[^｜]+""),tc_mst!$A:$A,tc_mst!$E:$E)"&amp;",0)
  +
  (
   IFERROR(XLOOKUP(REGEXEXTRACT($M37,""^[^｜]+""),ac_mst!$A:$A,ac_mst!$H:$H),0)
   +IFERROR(XLOOKUP(REGEXEXTRACT($N37,""^[^｜]+""),ac_mst!$A:$A,ac_mst!$H:$H),0)
   +IFERROR(
    XLOOKUP(
     IF(
      OR(
       IFERROR(REGEXEXTRACT($M37,""^[^｜"&amp;"]+""),"""")="""",
       IFERROR(REGEXEXTRACT($N37,""^[^｜]+""),"""")=""""
      ),
      """",
      IF(
       IFERROR(REGEXEXTRACT($M37,""^[^｜]+""),"""")&lt;IFERROR(REGEXEXTRACT($N37,""^[^｜]+""),""""),
       IFERROR(REGEXEXTRACT($M37,""^[^｜]+""),"""")&amp;""_"&amp;"""&amp;IFERROR(REGEXEXTRACT($N37,""^[^｜]+""),""""),
       IFERROR(REGEXEXTRACT($N37,""^[^｜]+""),"""")&amp;""_""&amp;IFERROR(REGEXEXTRACT($M37,""^[^｜]+""),"""")
      )
     ),
     sy_mst!$A:$A,
     sy_mst!$E:$E
    ),
    0
   )
  )
  *
  IFERROR(XLOOKUP(REGEXEXTR"&amp;"ACT($I37,""^[^｜]+""),ms_mst!$A:$A,ms_mst!$M:$M),1)
  *
  IF(
   $B37&gt;=IFERROR(XLOOKUP(REGEXEXTRACT($L37,""^[^｜]+""),sk_mst!$A:$A,sk_mst!$M:$M),999),
   IFERROR(XLOOKUP(REGEXEXTRACT($L37,""^[^｜]+""),sk_mst!$A:$A,sk_mst!$G:$G),1),
   1
  )
 )
)"),-100.0)</f>
        <v>-100</v>
      </c>
      <c r="Q37" s="25">
        <f>IFERROR(__xludf.DUMMYFUNCTION("IF($A37="""","""",
 IF($F37=""market"",
  IFERROR(XLOOKUP(REGEXEXTRACT($J37,""^[^｜]+""),tr_mst!$A:$A,tr_mst!$F:$F),0)
  +IFERROR(XLOOKUP(REGEXEXTRACT($K37,""^[^｜]+""),tc_mst!$A:$A,tc_mst!$F:$F),0),
  IF($B37=0,
   IFERROR(XLOOKUP(REGEXEXTRACT($I37,""^[^｜]"&amp;"+""),ms_mst!$A:$A,ms_mst!$F:$F),0),
   IFERROR(XLOOKUP(""T""&amp;($B37-1)&amp;""_""&amp;$D37,$A:$A,$Q:$Q),0)
  )
  +IFERROR(XLOOKUP(REGEXEXTRACT($J37,""^[^｜]+""),tr_mst!$A:$A,tr_mst!$F:$F),0)
  +IFERROR(XLOOKUP(REGEXEXTRACT($K37,""^[^｜]+""),tc_mst!$A:$A,tc_mst!$F:$F)"&amp;",0)
  +
  (
   IFERROR(XLOOKUP(REGEXEXTRACT($M37,""^[^｜]+""),ac_mst!$A:$A,ac_mst!$I:$I),0)
   +IFERROR(XLOOKUP(REGEXEXTRACT($N37,""^[^｜]+""),ac_mst!$A:$A,ac_mst!$I:$I),0)
   +IFERROR(
    XLOOKUP(
     IF(
      OR(
       IFERROR(REGEXEXTRACT($M37,""^[^｜"&amp;"]+""),"""")="""",
       IFERROR(REGEXEXTRACT($N37,""^[^｜]+""),"""")=""""
      ),
      """",
      IF(
       IFERROR(REGEXEXTRACT($M37,""^[^｜]+""),"""")&lt;IFERROR(REGEXEXTRACT($N37,""^[^｜]+""),""""),
       IFERROR(REGEXEXTRACT($M37,""^[^｜]+""),"""")&amp;""_"&amp;"""&amp;IFERROR(REGEXEXTRACT($N37,""^[^｜]+""),""""),
       IFERROR(REGEXEXTRACT($N37,""^[^｜]+""),"""")&amp;""_""&amp;IFERROR(REGEXEXTRACT($M37,""^[^｜]+""),"""")
      )
     ),
     sy_mst!$A:$A,
     sy_mst!$F:$F
    ),
    0
   )
  )
  *
  IFERROR(XLOOKUP(REGEXEXTR"&amp;"ACT($I37,""^[^｜]+""),ms_mst!$A:$A,ms_mst!$N:$N),1)
  *
  IF(
   $B37&gt;=IFERROR(XLOOKUP(REGEXEXTRACT($L37,""^[^｜]+""),sk_mst!$A:$A,sk_mst!$M:$M),999),
   IFERROR(XLOOKUP(REGEXEXTRACT($L37,""^[^｜]+""),sk_mst!$A:$A,sk_mst!$H:$H),1),
   1
  )
 )
)"),0.0)</f>
        <v>0</v>
      </c>
      <c r="R37" s="25">
        <f>IFERROR(__xludf.DUMMYFUNCTION("IF($A37="""","""",
 IF($F37=""market"",
  IFERROR(XLOOKUP(REGEXEXTRACT($J37,""^[^｜]+""),tr_mst!$A:$A,tr_mst!$G:$G),0)
  +IFERROR(XLOOKUP(REGEXEXTRACT($K37,""^[^｜]+""),tc_mst!$A:$A,tc_mst!$G:$G),0),
  IF($B37=0,
   IFERROR(XLOOKUP(REGEXEXTRACT($I37,""^[^｜]"&amp;"+""),ms_mst!$A:$A,ms_mst!$G:$G),0),
   IFERROR(XLOOKUP(""T""&amp;($B37-1)&amp;""_""&amp;$D37,$A:$A,$R:$R),0)
  )
  +IFERROR(XLOOKUP(REGEXEXTRACT($J37,""^[^｜]+""),tr_mst!$A:$A,tr_mst!$G:$G),0)
  +IFERROR(XLOOKUP(REGEXEXTRACT($K37,""^[^｜]+""),tc_mst!$A:$A,tc_mst!$G:$G)"&amp;",0)
  +
  (
   IFERROR(XLOOKUP(REGEXEXTRACT($M37,""^[^｜]+""),ac_mst!$A:$A,ac_mst!$J:$J),0)
   +IFERROR(XLOOKUP(REGEXEXTRACT($N37,""^[^｜]+""),ac_mst!$A:$A,ac_mst!$J:$J),0)
   +IFERROR(
    XLOOKUP(
     IF(
      OR(
       IFERROR(REGEXEXTRACT($M37,""^[^｜"&amp;"]+""),"""")="""",
       IFERROR(REGEXEXTRACT($N37,""^[^｜]+""),"""")=""""
      ),
      """",
      IF(
       IFERROR(REGEXEXTRACT($M37,""^[^｜]+""),"""")&lt;IFERROR(REGEXEXTRACT($N37,""^[^｜]+""),""""),
       IFERROR(REGEXEXTRACT($M37,""^[^｜]+""),"""")&amp;""_"&amp;"""&amp;IFERROR(REGEXEXTRACT($N37,""^[^｜]+""),""""),
       IFERROR(REGEXEXTRACT($N37,""^[^｜]+""),"""")&amp;""_""&amp;IFERROR(REGEXEXTRACT($M37,""^[^｜]+""),"""")
      )
     ),
     sy_mst!$A:$A,
     sy_mst!$G:$G
    ),
    0
   )
  )
  *
  IFERROR(XLOOKUP(REGEXEXTR"&amp;"ACT($I37,""^[^｜]+""),ms_mst!$A:$A,ms_mst!$O:$O),1)
  *
  IF(
   $B37&gt;=IFERROR(XLOOKUP(REGEXEXTRACT($L37,""^[^｜]+""),sk_mst!$A:$A,sk_mst!$M:$M),999),
   IFERROR(XLOOKUP(REGEXEXTRACT($L37,""^[^｜]+""),sk_mst!$A:$A,sk_mst!$I:$I),1),
   1
  )
 )
)"),0.01)</f>
        <v>0.01</v>
      </c>
      <c r="S37" s="25">
        <f>IFERROR(__xludf.DUMMYFUNCTION("IF($A37="""","""",
 IF($F37=""market"",
  IFERROR(XLOOKUP(REGEXEXTRACT($J37,""^[^｜]+""),tr_mst!$A:$A,tr_mst!$H:$H),0)
  +IFERROR(XLOOKUP(REGEXEXTRACT($K37,""^[^｜]+""),tc_mst!$A:$A,tc_mst!$H:$H),0),
  IF($B37=0,
   IFERROR(XLOOKUP(REGEXEXTRACT($I37,""^[^｜]"&amp;"+""),ms_mst!$A:$A,ms_mst!$H:$H),0),
   IFERROR(XLOOKUP(""T""&amp;($B37-1)&amp;""_""&amp;$D37,$A:$A,$S:$S),0)
  )
  +IFERROR(XLOOKUP(REGEXEXTRACT($J37,""^[^｜]+""),tr_mst!$A:$A,tr_mst!$H:$H),0)
  +IFERROR(XLOOKUP(REGEXEXTRACT($K37,""^[^｜]+""),tc_mst!$A:$A,tc_mst!$H:$H)"&amp;",0)
  +
  (
   IFERROR(XLOOKUP(REGEXEXTRACT($M37,""^[^｜]+""),ac_mst!$A:$A,ac_mst!$K:$K),0)
   +IFERROR(XLOOKUP(REGEXEXTRACT($N37,""^[^｜]+""),ac_mst!$A:$A,ac_mst!$K:$K),0)
   +IFERROR(
    XLOOKUP(
     IF(
      OR(
       IFERROR(REGEXEXTRACT($M37,""^[^｜"&amp;"]+""),"""")="""",
       IFERROR(REGEXEXTRACT($N37,""^[^｜]+""),"""")=""""
      ),
      """",
      IF(
       IFERROR(REGEXEXTRACT($M37,""^[^｜]+""),"""")&lt;IFERROR(REGEXEXTRACT($N37,""^[^｜]+""),""""),
       IFERROR(REGEXEXTRACT($M37,""^[^｜]+""),"""")&amp;""_"&amp;"""&amp;IFERROR(REGEXEXTRACT($N37,""^[^｜]+""),""""),
       IFERROR(REGEXEXTRACT($N37,""^[^｜]+""),"""")&amp;""_""&amp;IFERROR(REGEXEXTRACT($M37,""^[^｜]+""),"""")
      )
     ),
     sy_mst!$A:$A,
     sy_mst!$H:$H
    ),
    0
   )
  )
  *
  IFERROR(XLOOKUP(REGEXEXTR"&amp;"ACT($I37,""^[^｜]+""),ms_mst!$A:$A,ms_mst!$P:$P),1)
  *
  IF(
   $B37&gt;=IFERROR(XLOOKUP(REGEXEXTRACT($L37,""^[^｜]+""),sk_mst!$A:$A,sk_mst!$M:$M),999),
   IFERROR(XLOOKUP(REGEXEXTRACT($L37,""^[^｜]+""),sk_mst!$A:$A,sk_mst!$J:$J),1),
   1
  )
 )
)"),3.0E-4)</f>
        <v>0.0003</v>
      </c>
      <c r="T37" s="25">
        <f>IFERROR(__xludf.DUMMYFUNCTION("IF($A37="""","""",
 IF($F37=""market"",
  IFERROR(XLOOKUP(REGEXEXTRACT($J37,""^[^｜]+""),tr_mst!$A:$A,tr_mst!$I:$I),0)
  +IFERROR(XLOOKUP(REGEXEXTRACT($K37,""^[^｜]+""),tc_mst!$A:$A,tc_mst!$I:$I),0),
  IF($B37=0,
   IFERROR(XLOOKUP(REGEXEXTRACT($I37,""^[^｜]"&amp;"+""),ms_mst!$A:$A,ms_mst!$I:$I),0),
   IFERROR(XLOOKUP(""T""&amp;($B37-1)&amp;""_""&amp;$D37,$A:$A,$T:$T),0)
  )
  +IFERROR(XLOOKUP(REGEXEXTRACT($J37,""^[^｜]+""),tr_mst!$A:$A,tr_mst!$I:$I),0)
  +IFERROR(XLOOKUP(REGEXEXTRACT($K37,""^[^｜]+""),tc_mst!$A:$A,tc_mst!$I:$I)"&amp;",0)
  +
  (
   IFERROR(XLOOKUP(REGEXEXTRACT($M37,""^[^｜]+""),ac_mst!$A:$A,ac_mst!$L:$L),0)
   +IFERROR(XLOOKUP(REGEXEXTRACT($N37,""^[^｜]+""),ac_mst!$A:$A,ac_mst!$L:$L),0)
   +IFERROR(
    XLOOKUP(
     IF(
      OR(
       IFERROR(REGEXEXTRACT($M37,""^[^｜"&amp;"]+""),"""")="""",
       IFERROR(REGEXEXTRACT($N37,""^[^｜]+""),"""")=""""
      ),
      """",
      IF(
       IFERROR(REGEXEXTRACT($M37,""^[^｜]+""),"""")&lt;IFERROR(REGEXEXTRACT($N37,""^[^｜]+""),""""),
       IFERROR(REGEXEXTRACT($M37,""^[^｜]+""),"""")&amp;""_"&amp;"""&amp;IFERROR(REGEXEXTRACT($N37,""^[^｜]+""),""""),
       IFERROR(REGEXEXTRACT($N37,""^[^｜]+""),"""")&amp;""_""&amp;IFERROR(REGEXEXTRACT($M37,""^[^｜]+""),"""")
      )
     ),
     sy_mst!$A:$A,
     sy_mst!$I:$I
    ),
    0
   )
  )
  *
  IFERROR(XLOOKUP(REGEXEXTR"&amp;"ACT($I37,""^[^｜]+""),ms_mst!$A:$A,ms_mst!$Q:$Q),1)
  *
  IF(
   $B37&gt;=IFERROR(XLOOKUP(REGEXEXTRACT($L37,""^[^｜]+""),sk_mst!$A:$A,sk_mst!$M:$M),999),
   IFERROR(XLOOKUP(REGEXEXTRACT($L37,""^[^｜]+""),sk_mst!$A:$A,sk_mst!$K:$K),1),
   1
  )
 )
)"),0.0)</f>
        <v>0</v>
      </c>
      <c r="U37" s="25">
        <f>IFERROR(__xludf.DUMMYFUNCTION("IF($A37="""","""",
 IF($F37=""market"",
  IFERROR(XLOOKUP(REGEXEXTRACT($J37,""^[^｜]+""),tr_mst!$A:$A,tr_mst!$J:$J),0)
  +IFERROR(XLOOKUP(REGEXEXTRACT($K37,""^[^｜]+""),tc_mst!$A:$A,tc_mst!$J:$J),0),
  IF($B37=0,
   IFERROR(XLOOKUP(REGEXEXTRACT($I37,""^[^｜]"&amp;"+""),ms_mst!$A:$A,ms_mst!$J:$J),0),
   IFERROR(XLOOKUP(""T""&amp;($B37-1)&amp;""_""&amp;$D37,$A:$A,$U:$U),0)
  )
  +IFERROR(XLOOKUP(REGEXEXTRACT($J37,""^[^｜]+""),tr_mst!$A:$A,tr_mst!$J:$J),0)
  +IFERROR(XLOOKUP(REGEXEXTRACT($K37,""^[^｜]+""),tc_mst!$A:$A,tc_mst!$J:$J)"&amp;",0)
  +
  (
   IFERROR(XLOOKUP(REGEXEXTRACT($M37,""^[^｜]+""),ac_mst!$A:$A,ac_mst!$M:$M),0)
   +IFERROR(XLOOKUP(REGEXEXTRACT($N37,""^[^｜]+""),ac_mst!$A:$A,ac_mst!$M:$M),0)
   +IFERROR(
    XLOOKUP(
     IF(
      OR(
       IFERROR(REGEXEXTRACT($M37,""^[^｜"&amp;"]+""),"""")="""",
       IFERROR(REGEXEXTRACT($N37,""^[^｜]+""),"""")=""""
      ),
      """",
      IF(
       IFERROR(REGEXEXTRACT($M37,""^[^｜]+""),"""")&lt;IFERROR(REGEXEXTRACT($N37,""^[^｜]+""),""""),
       IFERROR(REGEXEXTRACT($M37,""^[^｜]+""),"""")&amp;""_"&amp;"""&amp;IFERROR(REGEXEXTRACT($N37,""^[^｜]+""),""""),
       IFERROR(REGEXEXTRACT($N37,""^[^｜]+""),"""")&amp;""_""&amp;IFERROR(REGEXEXTRACT($M37,""^[^｜]+""),"""")
      )
     ),
     sy_mst!$A:$A,
     sy_mst!$J:$J
    ),
    0
   )
  )
  *
  IFERROR(XLOOKUP(REGEXEXTR"&amp;"ACT($I37,""^[^｜]+""),ms_mst!$A:$A,ms_mst!$R:$R),1)
  *
  IF(
   $B37&gt;=IFERROR(XLOOKUP(REGEXEXTRACT($L37,""^[^｜]+""),sk_mst!$A:$A,sk_mst!$M:$M),999),
   IFERROR(XLOOKUP(REGEXEXTRACT($L37,""^[^｜]+""),sk_mst!$A:$A,sk_mst!$L:$L),1),
   1
  )
 )
)"),5.0)</f>
        <v>5</v>
      </c>
      <c r="V37" s="25">
        <f t="shared" si="1"/>
        <v>0</v>
      </c>
      <c r="W37" s="25">
        <f t="shared" si="2"/>
        <v>-500</v>
      </c>
      <c r="X37" s="25">
        <f t="shared" si="3"/>
        <v>500</v>
      </c>
      <c r="Y37" s="25">
        <f t="shared" si="4"/>
        <v>0</v>
      </c>
      <c r="Z37" s="25">
        <f>IFERROR(__xludf.DUMMYFUNCTION("IF($A37="""","""",
 IF($F37&lt;&gt;""player"","""",
  IFERROR(
   RANK(
    $X37,
    FILTER($X:$X,$B:$B=$B37,$F:$F=""player"",$X:$X&lt;&gt;""""),
    0
   ),
   """"
  )
 )
)"),8.0)</f>
        <v>8</v>
      </c>
      <c r="AA37" s="25" t="str">
        <f t="shared" si="5"/>
        <v>8位</v>
      </c>
      <c r="AB37" s="26">
        <f t="shared" si="6"/>
        <v>0</v>
      </c>
    </row>
    <row r="38">
      <c r="A38" s="14" t="s">
        <v>211</v>
      </c>
      <c r="B38" s="25">
        <v>2.0</v>
      </c>
      <c r="C38" s="14" t="s">
        <v>180</v>
      </c>
      <c r="D38" s="14" t="s">
        <v>181</v>
      </c>
      <c r="E38" s="25" t="s">
        <v>153</v>
      </c>
      <c r="F38" s="25" t="s">
        <v>154</v>
      </c>
      <c r="G38" s="25" t="str">
        <f>IFERROR(__xludf.DUMMYFUNCTION("IF($F38=""market"","""",IFERROR(FILTER(member_log!$B$10:$B947,member_log!$C$10:$C947=$C38,member_log!$D$10:$D947=$E38,member_log!$G$10:$G947=""active""),""""))"),"")</f>
        <v/>
      </c>
      <c r="H38" s="25" t="str">
        <f>IFERROR(__xludf.DUMMYFUNCTION("IF($F38=""market"","""",IFERROR(FILTER(member_log!$E$10:$E947,member_log!$C$10:$C947=$C38,member_log!$D$10:$D947=$E38,member_log!$G$10:$G947=""active""),""""))"),"")</f>
        <v/>
      </c>
      <c r="I38" s="25" t="str">
        <f>IFERROR(__xludf.DUMMYFUNCTION("IF($F38&lt;&gt;""player"","""",IFERROR(INDEX(FILTER(group_setup!$D$2:$D947,group_setup!$B$2:$B947=$C38,group_setup!$G$2:$G947=TRUE,group_setup!$H$2:$H947=""completed""),1),""""))"),"")</f>
        <v/>
      </c>
      <c r="J38" s="25" t="str">
        <f>IFERROR(__xludf.DUMMYFUNCTION("IFERROR(FILTER(market_event_log!$D$2:$D947,market_event_log!$C$2:$C947=$B38,market_event_log!$N$2:$N947=""active""),"""")"),"T01")</f>
        <v>T01</v>
      </c>
      <c r="K38" s="25" t="str">
        <f>IFERROR(__xludf.DUMMYFUNCTION("IFERROR(FILTER(market_event_log!$G$2:$G947,market_event_log!$C$2:$C947=$B38,market_event_log!$N$2:$N947=""active""),"""")"),"C03")</f>
        <v>C03</v>
      </c>
      <c r="L38" s="25" t="str">
        <f>IFERROR(__xludf.DUMMYFUNCTION("IF($F38&lt;&gt;""player"","""",IFERROR(INDEX(FILTER(group_setup!$E$2:$E947,group_setup!$B$2:$B947=$C38,group_setup!$G$2:$G947=TRUE,group_setup!$H$2:$H947=""completed""),1),""""))"),"")</f>
        <v/>
      </c>
      <c r="M38" s="25" t="str">
        <f>IFERROR(__xludf.DUMMYFUNCTION("IF($F38=""market"","""",IF($E38=""HUMAN"",IFERROR(FILTER(turn_log!$G$2:$G947,turn_log!$C$2:$C947=$B38,turn_log!$D$2:$D947=$C38,turn_log!$F$2:$F947=$E38),""""),IFERROR(FILTER(turn_log!$I$2:$I947,turn_log!$C$2:$C947=$B38,turn_log!$D$2:$D947=$C38,turn_log!$F"&amp;"$2:$F947=$E38),"""")))"),"")</f>
        <v/>
      </c>
      <c r="N38" s="25" t="str">
        <f>IFERROR(__xludf.DUMMYFUNCTION("IF($F38=""market"","""",IF($E38=""HUMAN"",IFERROR(FILTER(turn_log!$H$2:$H947,turn_log!$C$2:$C947=$B38,turn_log!$D$2:$D947=$C38,turn_log!$F$2:$F947=$E38),""""),IFERROR(FILTER(turn_log!$J$2:$J947,turn_log!$C$2:$C947=$B38,turn_log!$D$2:$D947=$C38,turn_log!$F"&amp;"$2:$F947=$E38),"""")))"),"")</f>
        <v/>
      </c>
      <c r="O38" s="25">
        <f>IFERROR(__xludf.DUMMYFUNCTION("IF($A38="""","""",
 IF($F38=""market"",
  IFERROR(XLOOKUP(REGEXEXTRACT($J38,""^[^｜]+""),tr_mst!$A:$A,tr_mst!$D:$D),0)
  +IFERROR(XLOOKUP(REGEXEXTRACT($K38,""^[^｜]+""),tc_mst!$A:$A,tc_mst!$D:$D),0),
  IF($B38=0,
   IFERROR(XLOOKUP(REGEXEXTRACT($I38,""^[^｜]"&amp;"+""),ms_mst!$A:$A,ms_mst!$D:$D),0),
   IFERROR(XLOOKUP(""T""&amp;($B38-1)&amp;""_""&amp;$D38,$A:$A,$O:$O),0)
  )
  +IFERROR(XLOOKUP(REGEXEXTRACT($J38,""^[^｜]+""),tr_mst!$A:$A,tr_mst!$D:$D),0)
  +IFERROR(XLOOKUP(REGEXEXTRACT($K38,""^[^｜]+""),tc_mst!$A:$A,tc_mst!$D:$D)"&amp;",0)
  +
  (
   IFERROR(XLOOKUP(REGEXEXTRACT($M38,""^[^｜]+""),ac_mst!$A:$A,ac_mst!$G:$G),0)
   +IFERROR(XLOOKUP(REGEXEXTRACT($N38,""^[^｜]+""),ac_mst!$A:$A,ac_mst!$G:$G),0)
   +IFERROR(
    XLOOKUP(
     IF(
      OR(
       IFERROR(REGEXEXTRACT($M38,""^[^｜"&amp;"]+""),"""")="""",
       IFERROR(REGEXEXTRACT($N38,""^[^｜]+""),"""")=""""
      ),
      """",
      IF(
       IFERROR(REGEXEXTRACT($M38,""^[^｜]+""),"""")&lt;IFERROR(REGEXEXTRACT($N38,""^[^｜]+""),""""),
       IFERROR(REGEXEXTRACT($M38,""^[^｜]+""),"""")&amp;""_"&amp;"""&amp;IFERROR(REGEXEXTRACT($N38,""^[^｜]+""),""""),
       IFERROR(REGEXEXTRACT($N38,""^[^｜]+""),"""")&amp;""_""&amp;IFERROR(REGEXEXTRACT($M38,""^[^｜]+""),"""")
      )
     ),
     sy_mst!$A:$A,
     sy_mst!$D:$D
    ),
    0
   )
  )
  *
  IFERROR(XLOOKUP(REGEXEXTR"&amp;"ACT($I38,""^[^｜]+""),ms_mst!$A:$A,ms_mst!$L:$L),1)
  *
  IF(
   $B38&gt;=IFERROR(XLOOKUP(REGEXEXTRACT($L38,""^[^｜]+""),sk_mst!$A:$A,sk_mst!$M:$M),999),
   IFERROR(XLOOKUP(REGEXEXTRACT($L38,""^[^｜]+""),sk_mst!$A:$A,sk_mst!$F:$F),1),
   1
  )
 )
)"),2800.0)</f>
        <v>2800</v>
      </c>
      <c r="P38" s="25">
        <f>IFERROR(__xludf.DUMMYFUNCTION("IF($A38="""","""",
 IF($F38=""market"",
  IFERROR(XLOOKUP(REGEXEXTRACT($J38,""^[^｜]+""),tr_mst!$A:$A,tr_mst!$E:$E),0)
  +IFERROR(XLOOKUP(REGEXEXTRACT($K38,""^[^｜]+""),tc_mst!$A:$A,tc_mst!$E:$E),0),
  IF($B38=0,
   IFERROR(XLOOKUP(REGEXEXTRACT($I38,""^[^｜]"&amp;"+""),ms_mst!$A:$A,ms_mst!$E:$E),0),
   IFERROR(XLOOKUP(""T""&amp;($B38-1)&amp;""_""&amp;$D38,$A:$A,$P:$P),0)
  )
  +IFERROR(XLOOKUP(REGEXEXTRACT($J38,""^[^｜]+""),tr_mst!$A:$A,tr_mst!$E:$E),0)
  +IFERROR(XLOOKUP(REGEXEXTRACT($K38,""^[^｜]+""),tc_mst!$A:$A,tc_mst!$E:$E)"&amp;",0)
  +
  (
   IFERROR(XLOOKUP(REGEXEXTRACT($M38,""^[^｜]+""),ac_mst!$A:$A,ac_mst!$H:$H),0)
   +IFERROR(XLOOKUP(REGEXEXTRACT($N38,""^[^｜]+""),ac_mst!$A:$A,ac_mst!$H:$H),0)
   +IFERROR(
    XLOOKUP(
     IF(
      OR(
       IFERROR(REGEXEXTRACT($M38,""^[^｜"&amp;"]+""),"""")="""",
       IFERROR(REGEXEXTRACT($N38,""^[^｜]+""),"""")=""""
      ),
      """",
      IF(
       IFERROR(REGEXEXTRACT($M38,""^[^｜]+""),"""")&lt;IFERROR(REGEXEXTRACT($N38,""^[^｜]+""),""""),
       IFERROR(REGEXEXTRACT($M38,""^[^｜]+""),"""")&amp;""_"&amp;"""&amp;IFERROR(REGEXEXTRACT($N38,""^[^｜]+""),""""),
       IFERROR(REGEXEXTRACT($N38,""^[^｜]+""),"""")&amp;""_""&amp;IFERROR(REGEXEXTRACT($M38,""^[^｜]+""),"""")
      )
     ),
     sy_mst!$A:$A,
     sy_mst!$E:$E
    ),
    0
   )
  )
  *
  IFERROR(XLOOKUP(REGEXEXTR"&amp;"ACT($I38,""^[^｜]+""),ms_mst!$A:$A,ms_mst!$M:$M),1)
  *
  IF(
   $B38&gt;=IFERROR(XLOOKUP(REGEXEXTRACT($L38,""^[^｜]+""),sk_mst!$A:$A,sk_mst!$M:$M),999),
   IFERROR(XLOOKUP(REGEXEXTRACT($L38,""^[^｜]+""),sk_mst!$A:$A,sk_mst!$G:$G),1),
   1
  )
 )
)"),-100.0)</f>
        <v>-100</v>
      </c>
      <c r="Q38" s="25">
        <f>IFERROR(__xludf.DUMMYFUNCTION("IF($A38="""","""",
 IF($F38=""market"",
  IFERROR(XLOOKUP(REGEXEXTRACT($J38,""^[^｜]+""),tr_mst!$A:$A,tr_mst!$F:$F),0)
  +IFERROR(XLOOKUP(REGEXEXTRACT($K38,""^[^｜]+""),tc_mst!$A:$A,tc_mst!$F:$F),0),
  IF($B38=0,
   IFERROR(XLOOKUP(REGEXEXTRACT($I38,""^[^｜]"&amp;"+""),ms_mst!$A:$A,ms_mst!$F:$F),0),
   IFERROR(XLOOKUP(""T""&amp;($B38-1)&amp;""_""&amp;$D38,$A:$A,$Q:$Q),0)
  )
  +IFERROR(XLOOKUP(REGEXEXTRACT($J38,""^[^｜]+""),tr_mst!$A:$A,tr_mst!$F:$F),0)
  +IFERROR(XLOOKUP(REGEXEXTRACT($K38,""^[^｜]+""),tc_mst!$A:$A,tc_mst!$F:$F)"&amp;",0)
  +
  (
   IFERROR(XLOOKUP(REGEXEXTRACT($M38,""^[^｜]+""),ac_mst!$A:$A,ac_mst!$I:$I),0)
   +IFERROR(XLOOKUP(REGEXEXTRACT($N38,""^[^｜]+""),ac_mst!$A:$A,ac_mst!$I:$I),0)
   +IFERROR(
    XLOOKUP(
     IF(
      OR(
       IFERROR(REGEXEXTRACT($M38,""^[^｜"&amp;"]+""),"""")="""",
       IFERROR(REGEXEXTRACT($N38,""^[^｜]+""),"""")=""""
      ),
      """",
      IF(
       IFERROR(REGEXEXTRACT($M38,""^[^｜]+""),"""")&lt;IFERROR(REGEXEXTRACT($N38,""^[^｜]+""),""""),
       IFERROR(REGEXEXTRACT($M38,""^[^｜]+""),"""")&amp;""_"&amp;"""&amp;IFERROR(REGEXEXTRACT($N38,""^[^｜]+""),""""),
       IFERROR(REGEXEXTRACT($N38,""^[^｜]+""),"""")&amp;""_""&amp;IFERROR(REGEXEXTRACT($M38,""^[^｜]+""),"""")
      )
     ),
     sy_mst!$A:$A,
     sy_mst!$F:$F
    ),
    0
   )
  )
  *
  IFERROR(XLOOKUP(REGEXEXTR"&amp;"ACT($I38,""^[^｜]+""),ms_mst!$A:$A,ms_mst!$N:$N),1)
  *
  IF(
   $B38&gt;=IFERROR(XLOOKUP(REGEXEXTRACT($L38,""^[^｜]+""),sk_mst!$A:$A,sk_mst!$M:$M),999),
   IFERROR(XLOOKUP(REGEXEXTRACT($L38,""^[^｜]+""),sk_mst!$A:$A,sk_mst!$H:$H),1),
   1
  )
 )
)"),0.0)</f>
        <v>0</v>
      </c>
      <c r="R38" s="25">
        <f>IFERROR(__xludf.DUMMYFUNCTION("IF($A38="""","""",
 IF($F38=""market"",
  IFERROR(XLOOKUP(REGEXEXTRACT($J38,""^[^｜]+""),tr_mst!$A:$A,tr_mst!$G:$G),0)
  +IFERROR(XLOOKUP(REGEXEXTRACT($K38,""^[^｜]+""),tc_mst!$A:$A,tc_mst!$G:$G),0),
  IF($B38=0,
   IFERROR(XLOOKUP(REGEXEXTRACT($I38,""^[^｜]"&amp;"+""),ms_mst!$A:$A,ms_mst!$G:$G),0),
   IFERROR(XLOOKUP(""T""&amp;($B38-1)&amp;""_""&amp;$D38,$A:$A,$R:$R),0)
  )
  +IFERROR(XLOOKUP(REGEXEXTRACT($J38,""^[^｜]+""),tr_mst!$A:$A,tr_mst!$G:$G),0)
  +IFERROR(XLOOKUP(REGEXEXTRACT($K38,""^[^｜]+""),tc_mst!$A:$A,tc_mst!$G:$G)"&amp;",0)
  +
  (
   IFERROR(XLOOKUP(REGEXEXTRACT($M38,""^[^｜]+""),ac_mst!$A:$A,ac_mst!$J:$J),0)
   +IFERROR(XLOOKUP(REGEXEXTRACT($N38,""^[^｜]+""),ac_mst!$A:$A,ac_mst!$J:$J),0)
   +IFERROR(
    XLOOKUP(
     IF(
      OR(
       IFERROR(REGEXEXTRACT($M38,""^[^｜"&amp;"]+""),"""")="""",
       IFERROR(REGEXEXTRACT($N38,""^[^｜]+""),"""")=""""
      ),
      """",
      IF(
       IFERROR(REGEXEXTRACT($M38,""^[^｜]+""),"""")&lt;IFERROR(REGEXEXTRACT($N38,""^[^｜]+""),""""),
       IFERROR(REGEXEXTRACT($M38,""^[^｜]+""),"""")&amp;""_"&amp;"""&amp;IFERROR(REGEXEXTRACT($N38,""^[^｜]+""),""""),
       IFERROR(REGEXEXTRACT($N38,""^[^｜]+""),"""")&amp;""_""&amp;IFERROR(REGEXEXTRACT($M38,""^[^｜]+""),"""")
      )
     ),
     sy_mst!$A:$A,
     sy_mst!$G:$G
    ),
    0
   )
  )
  *
  IFERROR(XLOOKUP(REGEXEXTR"&amp;"ACT($I38,""^[^｜]+""),ms_mst!$A:$A,ms_mst!$O:$O),1)
  *
  IF(
   $B38&gt;=IFERROR(XLOOKUP(REGEXEXTRACT($L38,""^[^｜]+""),sk_mst!$A:$A,sk_mst!$M:$M),999),
   IFERROR(XLOOKUP(REGEXEXTRACT($L38,""^[^｜]+""),sk_mst!$A:$A,sk_mst!$I:$I),1),
   1
  )
 )
)"),0.01)</f>
        <v>0.01</v>
      </c>
      <c r="S38" s="25">
        <f>IFERROR(__xludf.DUMMYFUNCTION("IF($A38="""","""",
 IF($F38=""market"",
  IFERROR(XLOOKUP(REGEXEXTRACT($J38,""^[^｜]+""),tr_mst!$A:$A,tr_mst!$H:$H),0)
  +IFERROR(XLOOKUP(REGEXEXTRACT($K38,""^[^｜]+""),tc_mst!$A:$A,tc_mst!$H:$H),0),
  IF($B38=0,
   IFERROR(XLOOKUP(REGEXEXTRACT($I38,""^[^｜]"&amp;"+""),ms_mst!$A:$A,ms_mst!$H:$H),0),
   IFERROR(XLOOKUP(""T""&amp;($B38-1)&amp;""_""&amp;$D38,$A:$A,$S:$S),0)
  )
  +IFERROR(XLOOKUP(REGEXEXTRACT($J38,""^[^｜]+""),tr_mst!$A:$A,tr_mst!$H:$H),0)
  +IFERROR(XLOOKUP(REGEXEXTRACT($K38,""^[^｜]+""),tc_mst!$A:$A,tc_mst!$H:$H)"&amp;",0)
  +
  (
   IFERROR(XLOOKUP(REGEXEXTRACT($M38,""^[^｜]+""),ac_mst!$A:$A,ac_mst!$K:$K),0)
   +IFERROR(XLOOKUP(REGEXEXTRACT($N38,""^[^｜]+""),ac_mst!$A:$A,ac_mst!$K:$K),0)
   +IFERROR(
    XLOOKUP(
     IF(
      OR(
       IFERROR(REGEXEXTRACT($M38,""^[^｜"&amp;"]+""),"""")="""",
       IFERROR(REGEXEXTRACT($N38,""^[^｜]+""),"""")=""""
      ),
      """",
      IF(
       IFERROR(REGEXEXTRACT($M38,""^[^｜]+""),"""")&lt;IFERROR(REGEXEXTRACT($N38,""^[^｜]+""),""""),
       IFERROR(REGEXEXTRACT($M38,""^[^｜]+""),"""")&amp;""_"&amp;"""&amp;IFERROR(REGEXEXTRACT($N38,""^[^｜]+""),""""),
       IFERROR(REGEXEXTRACT($N38,""^[^｜]+""),"""")&amp;""_""&amp;IFERROR(REGEXEXTRACT($M38,""^[^｜]+""),"""")
      )
     ),
     sy_mst!$A:$A,
     sy_mst!$H:$H
    ),
    0
   )
  )
  *
  IFERROR(XLOOKUP(REGEXEXTR"&amp;"ACT($I38,""^[^｜]+""),ms_mst!$A:$A,ms_mst!$P:$P),1)
  *
  IF(
   $B38&gt;=IFERROR(XLOOKUP(REGEXEXTRACT($L38,""^[^｜]+""),sk_mst!$A:$A,sk_mst!$M:$M),999),
   IFERROR(XLOOKUP(REGEXEXTRACT($L38,""^[^｜]+""),sk_mst!$A:$A,sk_mst!$J:$J),1),
   1
  )
 )
)"),3.0E-4)</f>
        <v>0.0003</v>
      </c>
      <c r="T38" s="25">
        <f>IFERROR(__xludf.DUMMYFUNCTION("IF($A38="""","""",
 IF($F38=""market"",
  IFERROR(XLOOKUP(REGEXEXTRACT($J38,""^[^｜]+""),tr_mst!$A:$A,tr_mst!$I:$I),0)
  +IFERROR(XLOOKUP(REGEXEXTRACT($K38,""^[^｜]+""),tc_mst!$A:$A,tc_mst!$I:$I),0),
  IF($B38=0,
   IFERROR(XLOOKUP(REGEXEXTRACT($I38,""^[^｜]"&amp;"+""),ms_mst!$A:$A,ms_mst!$I:$I),0),
   IFERROR(XLOOKUP(""T""&amp;($B38-1)&amp;""_""&amp;$D38,$A:$A,$T:$T),0)
  )
  +IFERROR(XLOOKUP(REGEXEXTRACT($J38,""^[^｜]+""),tr_mst!$A:$A,tr_mst!$I:$I),0)
  +IFERROR(XLOOKUP(REGEXEXTRACT($K38,""^[^｜]+""),tc_mst!$A:$A,tc_mst!$I:$I)"&amp;",0)
  +
  (
   IFERROR(XLOOKUP(REGEXEXTRACT($M38,""^[^｜]+""),ac_mst!$A:$A,ac_mst!$L:$L),0)
   +IFERROR(XLOOKUP(REGEXEXTRACT($N38,""^[^｜]+""),ac_mst!$A:$A,ac_mst!$L:$L),0)
   +IFERROR(
    XLOOKUP(
     IF(
      OR(
       IFERROR(REGEXEXTRACT($M38,""^[^｜"&amp;"]+""),"""")="""",
       IFERROR(REGEXEXTRACT($N38,""^[^｜]+""),"""")=""""
      ),
      """",
      IF(
       IFERROR(REGEXEXTRACT($M38,""^[^｜]+""),"""")&lt;IFERROR(REGEXEXTRACT($N38,""^[^｜]+""),""""),
       IFERROR(REGEXEXTRACT($M38,""^[^｜]+""),"""")&amp;""_"&amp;"""&amp;IFERROR(REGEXEXTRACT($N38,""^[^｜]+""),""""),
       IFERROR(REGEXEXTRACT($N38,""^[^｜]+""),"""")&amp;""_""&amp;IFERROR(REGEXEXTRACT($M38,""^[^｜]+""),"""")
      )
     ),
     sy_mst!$A:$A,
     sy_mst!$I:$I
    ),
    0
   )
  )
  *
  IFERROR(XLOOKUP(REGEXEXTR"&amp;"ACT($I38,""^[^｜]+""),ms_mst!$A:$A,ms_mst!$Q:$Q),1)
  *
  IF(
   $B38&gt;=IFERROR(XLOOKUP(REGEXEXTRACT($L38,""^[^｜]+""),sk_mst!$A:$A,sk_mst!$M:$M),999),
   IFERROR(XLOOKUP(REGEXEXTRACT($L38,""^[^｜]+""),sk_mst!$A:$A,sk_mst!$K:$K),1),
   1
  )
 )
)"),0.0)</f>
        <v>0</v>
      </c>
      <c r="U38" s="25">
        <f>IFERROR(__xludf.DUMMYFUNCTION("IF($A38="""","""",
 IF($F38=""market"",
  IFERROR(XLOOKUP(REGEXEXTRACT($J38,""^[^｜]+""),tr_mst!$A:$A,tr_mst!$J:$J),0)
  +IFERROR(XLOOKUP(REGEXEXTRACT($K38,""^[^｜]+""),tc_mst!$A:$A,tc_mst!$J:$J),0),
  IF($B38=0,
   IFERROR(XLOOKUP(REGEXEXTRACT($I38,""^[^｜]"&amp;"+""),ms_mst!$A:$A,ms_mst!$J:$J),0),
   IFERROR(XLOOKUP(""T""&amp;($B38-1)&amp;""_""&amp;$D38,$A:$A,$U:$U),0)
  )
  +IFERROR(XLOOKUP(REGEXEXTRACT($J38,""^[^｜]+""),tr_mst!$A:$A,tr_mst!$J:$J),0)
  +IFERROR(XLOOKUP(REGEXEXTRACT($K38,""^[^｜]+""),tc_mst!$A:$A,tc_mst!$J:$J)"&amp;",0)
  +
  (
   IFERROR(XLOOKUP(REGEXEXTRACT($M38,""^[^｜]+""),ac_mst!$A:$A,ac_mst!$M:$M),0)
   +IFERROR(XLOOKUP(REGEXEXTRACT($N38,""^[^｜]+""),ac_mst!$A:$A,ac_mst!$M:$M),0)
   +IFERROR(
    XLOOKUP(
     IF(
      OR(
       IFERROR(REGEXEXTRACT($M38,""^[^｜"&amp;"]+""),"""")="""",
       IFERROR(REGEXEXTRACT($N38,""^[^｜]+""),"""")=""""
      ),
      """",
      IF(
       IFERROR(REGEXEXTRACT($M38,""^[^｜]+""),"""")&lt;IFERROR(REGEXEXTRACT($N38,""^[^｜]+""),""""),
       IFERROR(REGEXEXTRACT($M38,""^[^｜]+""),"""")&amp;""_"&amp;"""&amp;IFERROR(REGEXEXTRACT($N38,""^[^｜]+""),""""),
       IFERROR(REGEXEXTRACT($N38,""^[^｜]+""),"""")&amp;""_""&amp;IFERROR(REGEXEXTRACT($M38,""^[^｜]+""),"""")
      )
     ),
     sy_mst!$A:$A,
     sy_mst!$J:$J
    ),
    0
   )
  )
  *
  IFERROR(XLOOKUP(REGEXEXTR"&amp;"ACT($I38,""^[^｜]+""),ms_mst!$A:$A,ms_mst!$R:$R),1)
  *
  IF(
   $B38&gt;=IFERROR(XLOOKUP(REGEXEXTRACT($L38,""^[^｜]+""),sk_mst!$A:$A,sk_mst!$M:$M),999),
   IFERROR(XLOOKUP(REGEXEXTRACT($L38,""^[^｜]+""),sk_mst!$A:$A,sk_mst!$L:$L),1),
   1
  )
 )
)"),5.0)</f>
        <v>5</v>
      </c>
      <c r="V38" s="25">
        <f t="shared" si="1"/>
        <v>0</v>
      </c>
      <c r="W38" s="25">
        <f t="shared" si="2"/>
        <v>-500</v>
      </c>
      <c r="X38" s="25">
        <f t="shared" si="3"/>
        <v>500</v>
      </c>
      <c r="Y38" s="25">
        <f t="shared" si="4"/>
        <v>0</v>
      </c>
      <c r="Z38" s="25">
        <f>IFERROR(__xludf.DUMMYFUNCTION("IF($A38="""","""",
 IF($F38&lt;&gt;""player"","""",
  IFERROR(
   RANK(
    $X38,
    FILTER($X:$X,$B:$B=$B38,$F:$F=""player"",$X:$X&lt;&gt;""""),
    0
   ),
   """"
  )
 )
)"),8.0)</f>
        <v>8</v>
      </c>
      <c r="AA38" s="25" t="str">
        <f t="shared" si="5"/>
        <v>8位</v>
      </c>
      <c r="AB38" s="26">
        <f t="shared" si="6"/>
        <v>0</v>
      </c>
    </row>
    <row r="39">
      <c r="A39" s="14" t="s">
        <v>212</v>
      </c>
      <c r="B39" s="25">
        <v>2.0</v>
      </c>
      <c r="C39" s="14" t="s">
        <v>183</v>
      </c>
      <c r="D39" s="14" t="s">
        <v>184</v>
      </c>
      <c r="E39" s="25" t="s">
        <v>153</v>
      </c>
      <c r="F39" s="25" t="s">
        <v>154</v>
      </c>
      <c r="G39" s="25" t="str">
        <f>IFERROR(__xludf.DUMMYFUNCTION("IF($F39=""market"","""",IFERROR(FILTER(member_log!$B$10:$B947,member_log!$C$10:$C947=$C39,member_log!$D$10:$D947=$E39,member_log!$G$10:$G947=""active""),""""))"),"")</f>
        <v/>
      </c>
      <c r="H39" s="25" t="str">
        <f>IFERROR(__xludf.DUMMYFUNCTION("IF($F39=""market"","""",IFERROR(FILTER(member_log!$E$10:$E947,member_log!$C$10:$C947=$C39,member_log!$D$10:$D947=$E39,member_log!$G$10:$G947=""active""),""""))"),"")</f>
        <v/>
      </c>
      <c r="I39" s="25" t="str">
        <f>IFERROR(__xludf.DUMMYFUNCTION("IF($F39&lt;&gt;""player"","""",IFERROR(INDEX(FILTER(group_setup!$D$2:$D947,group_setup!$B$2:$B947=$C39,group_setup!$G$2:$G947=TRUE,group_setup!$H$2:$H947=""completed""),1),""""))"),"")</f>
        <v/>
      </c>
      <c r="J39" s="25" t="str">
        <f>IFERROR(__xludf.DUMMYFUNCTION("IFERROR(FILTER(market_event_log!$D$2:$D947,market_event_log!$C$2:$C947=$B39,market_event_log!$N$2:$N947=""active""),"""")"),"T01")</f>
        <v>T01</v>
      </c>
      <c r="K39" s="25" t="str">
        <f>IFERROR(__xludf.DUMMYFUNCTION("IFERROR(FILTER(market_event_log!$G$2:$G947,market_event_log!$C$2:$C947=$B39,market_event_log!$N$2:$N947=""active""),"""")"),"C03")</f>
        <v>C03</v>
      </c>
      <c r="L39" s="25" t="str">
        <f>IFERROR(__xludf.DUMMYFUNCTION("IF($F39&lt;&gt;""player"","""",IFERROR(INDEX(FILTER(group_setup!$E$2:$E947,group_setup!$B$2:$B947=$C39,group_setup!$G$2:$G947=TRUE,group_setup!$H$2:$H947=""completed""),1),""""))"),"")</f>
        <v/>
      </c>
      <c r="M39" s="25" t="str">
        <f>IFERROR(__xludf.DUMMYFUNCTION("IF($F39=""market"","""",IF($E39=""HUMAN"",IFERROR(FILTER(turn_log!$G$2:$G947,turn_log!$C$2:$C947=$B39,turn_log!$D$2:$D947=$C39,turn_log!$F$2:$F947=$E39),""""),IFERROR(FILTER(turn_log!$I$2:$I947,turn_log!$C$2:$C947=$B39,turn_log!$D$2:$D947=$C39,turn_log!$F"&amp;"$2:$F947=$E39),"""")))"),"")</f>
        <v/>
      </c>
      <c r="N39" s="25" t="str">
        <f>IFERROR(__xludf.DUMMYFUNCTION("IF($F39=""market"","""",IF($E39=""HUMAN"",IFERROR(FILTER(turn_log!$H$2:$H947,turn_log!$C$2:$C947=$B39,turn_log!$D$2:$D947=$C39,turn_log!$F$2:$F947=$E39),""""),IFERROR(FILTER(turn_log!$J$2:$J947,turn_log!$C$2:$C947=$B39,turn_log!$D$2:$D947=$C39,turn_log!$F"&amp;"$2:$F947=$E39),"""")))"),"")</f>
        <v/>
      </c>
      <c r="O39" s="25">
        <f>IFERROR(__xludf.DUMMYFUNCTION("IF($A39="""","""",
 IF($F39=""market"",
  IFERROR(XLOOKUP(REGEXEXTRACT($J39,""^[^｜]+""),tr_mst!$A:$A,tr_mst!$D:$D),0)
  +IFERROR(XLOOKUP(REGEXEXTRACT($K39,""^[^｜]+""),tc_mst!$A:$A,tc_mst!$D:$D),0),
  IF($B39=0,
   IFERROR(XLOOKUP(REGEXEXTRACT($I39,""^[^｜]"&amp;"+""),ms_mst!$A:$A,ms_mst!$D:$D),0),
   IFERROR(XLOOKUP(""T""&amp;($B39-1)&amp;""_""&amp;$D39,$A:$A,$O:$O),0)
  )
  +IFERROR(XLOOKUP(REGEXEXTRACT($J39,""^[^｜]+""),tr_mst!$A:$A,tr_mst!$D:$D),0)
  +IFERROR(XLOOKUP(REGEXEXTRACT($K39,""^[^｜]+""),tc_mst!$A:$A,tc_mst!$D:$D)"&amp;",0)
  +
  (
   IFERROR(XLOOKUP(REGEXEXTRACT($M39,""^[^｜]+""),ac_mst!$A:$A,ac_mst!$G:$G),0)
   +IFERROR(XLOOKUP(REGEXEXTRACT($N39,""^[^｜]+""),ac_mst!$A:$A,ac_mst!$G:$G),0)
   +IFERROR(
    XLOOKUP(
     IF(
      OR(
       IFERROR(REGEXEXTRACT($M39,""^[^｜"&amp;"]+""),"""")="""",
       IFERROR(REGEXEXTRACT($N39,""^[^｜]+""),"""")=""""
      ),
      """",
      IF(
       IFERROR(REGEXEXTRACT($M39,""^[^｜]+""),"""")&lt;IFERROR(REGEXEXTRACT($N39,""^[^｜]+""),""""),
       IFERROR(REGEXEXTRACT($M39,""^[^｜]+""),"""")&amp;""_"&amp;"""&amp;IFERROR(REGEXEXTRACT($N39,""^[^｜]+""),""""),
       IFERROR(REGEXEXTRACT($N39,""^[^｜]+""),"""")&amp;""_""&amp;IFERROR(REGEXEXTRACT($M39,""^[^｜]+""),"""")
      )
     ),
     sy_mst!$A:$A,
     sy_mst!$D:$D
    ),
    0
   )
  )
  *
  IFERROR(XLOOKUP(REGEXEXTR"&amp;"ACT($I39,""^[^｜]+""),ms_mst!$A:$A,ms_mst!$L:$L),1)
  *
  IF(
   $B39&gt;=IFERROR(XLOOKUP(REGEXEXTRACT($L39,""^[^｜]+""),sk_mst!$A:$A,sk_mst!$M:$M),999),
   IFERROR(XLOOKUP(REGEXEXTRACT($L39,""^[^｜]+""),sk_mst!$A:$A,sk_mst!$F:$F),1),
   1
  )
 )
)"),2800.0)</f>
        <v>2800</v>
      </c>
      <c r="P39" s="25">
        <f>IFERROR(__xludf.DUMMYFUNCTION("IF($A39="""","""",
 IF($F39=""market"",
  IFERROR(XLOOKUP(REGEXEXTRACT($J39,""^[^｜]+""),tr_mst!$A:$A,tr_mst!$E:$E),0)
  +IFERROR(XLOOKUP(REGEXEXTRACT($K39,""^[^｜]+""),tc_mst!$A:$A,tc_mst!$E:$E),0),
  IF($B39=0,
   IFERROR(XLOOKUP(REGEXEXTRACT($I39,""^[^｜]"&amp;"+""),ms_mst!$A:$A,ms_mst!$E:$E),0),
   IFERROR(XLOOKUP(""T""&amp;($B39-1)&amp;""_""&amp;$D39,$A:$A,$P:$P),0)
  )
  +IFERROR(XLOOKUP(REGEXEXTRACT($J39,""^[^｜]+""),tr_mst!$A:$A,tr_mst!$E:$E),0)
  +IFERROR(XLOOKUP(REGEXEXTRACT($K39,""^[^｜]+""),tc_mst!$A:$A,tc_mst!$E:$E)"&amp;",0)
  +
  (
   IFERROR(XLOOKUP(REGEXEXTRACT($M39,""^[^｜]+""),ac_mst!$A:$A,ac_mst!$H:$H),0)
   +IFERROR(XLOOKUP(REGEXEXTRACT($N39,""^[^｜]+""),ac_mst!$A:$A,ac_mst!$H:$H),0)
   +IFERROR(
    XLOOKUP(
     IF(
      OR(
       IFERROR(REGEXEXTRACT($M39,""^[^｜"&amp;"]+""),"""")="""",
       IFERROR(REGEXEXTRACT($N39,""^[^｜]+""),"""")=""""
      ),
      """",
      IF(
       IFERROR(REGEXEXTRACT($M39,""^[^｜]+""),"""")&lt;IFERROR(REGEXEXTRACT($N39,""^[^｜]+""),""""),
       IFERROR(REGEXEXTRACT($M39,""^[^｜]+""),"""")&amp;""_"&amp;"""&amp;IFERROR(REGEXEXTRACT($N39,""^[^｜]+""),""""),
       IFERROR(REGEXEXTRACT($N39,""^[^｜]+""),"""")&amp;""_""&amp;IFERROR(REGEXEXTRACT($M39,""^[^｜]+""),"""")
      )
     ),
     sy_mst!$A:$A,
     sy_mst!$E:$E
    ),
    0
   )
  )
  *
  IFERROR(XLOOKUP(REGEXEXTR"&amp;"ACT($I39,""^[^｜]+""),ms_mst!$A:$A,ms_mst!$M:$M),1)
  *
  IF(
   $B39&gt;=IFERROR(XLOOKUP(REGEXEXTRACT($L39,""^[^｜]+""),sk_mst!$A:$A,sk_mst!$M:$M),999),
   IFERROR(XLOOKUP(REGEXEXTRACT($L39,""^[^｜]+""),sk_mst!$A:$A,sk_mst!$G:$G),1),
   1
  )
 )
)"),-100.0)</f>
        <v>-100</v>
      </c>
      <c r="Q39" s="25">
        <f>IFERROR(__xludf.DUMMYFUNCTION("IF($A39="""","""",
 IF($F39=""market"",
  IFERROR(XLOOKUP(REGEXEXTRACT($J39,""^[^｜]+""),tr_mst!$A:$A,tr_mst!$F:$F),0)
  +IFERROR(XLOOKUP(REGEXEXTRACT($K39,""^[^｜]+""),tc_mst!$A:$A,tc_mst!$F:$F),0),
  IF($B39=0,
   IFERROR(XLOOKUP(REGEXEXTRACT($I39,""^[^｜]"&amp;"+""),ms_mst!$A:$A,ms_mst!$F:$F),0),
   IFERROR(XLOOKUP(""T""&amp;($B39-1)&amp;""_""&amp;$D39,$A:$A,$Q:$Q),0)
  )
  +IFERROR(XLOOKUP(REGEXEXTRACT($J39,""^[^｜]+""),tr_mst!$A:$A,tr_mst!$F:$F),0)
  +IFERROR(XLOOKUP(REGEXEXTRACT($K39,""^[^｜]+""),tc_mst!$A:$A,tc_mst!$F:$F)"&amp;",0)
  +
  (
   IFERROR(XLOOKUP(REGEXEXTRACT($M39,""^[^｜]+""),ac_mst!$A:$A,ac_mst!$I:$I),0)
   +IFERROR(XLOOKUP(REGEXEXTRACT($N39,""^[^｜]+""),ac_mst!$A:$A,ac_mst!$I:$I),0)
   +IFERROR(
    XLOOKUP(
     IF(
      OR(
       IFERROR(REGEXEXTRACT($M39,""^[^｜"&amp;"]+""),"""")="""",
       IFERROR(REGEXEXTRACT($N39,""^[^｜]+""),"""")=""""
      ),
      """",
      IF(
       IFERROR(REGEXEXTRACT($M39,""^[^｜]+""),"""")&lt;IFERROR(REGEXEXTRACT($N39,""^[^｜]+""),""""),
       IFERROR(REGEXEXTRACT($M39,""^[^｜]+""),"""")&amp;""_"&amp;"""&amp;IFERROR(REGEXEXTRACT($N39,""^[^｜]+""),""""),
       IFERROR(REGEXEXTRACT($N39,""^[^｜]+""),"""")&amp;""_""&amp;IFERROR(REGEXEXTRACT($M39,""^[^｜]+""),"""")
      )
     ),
     sy_mst!$A:$A,
     sy_mst!$F:$F
    ),
    0
   )
  )
  *
  IFERROR(XLOOKUP(REGEXEXTR"&amp;"ACT($I39,""^[^｜]+""),ms_mst!$A:$A,ms_mst!$N:$N),1)
  *
  IF(
   $B39&gt;=IFERROR(XLOOKUP(REGEXEXTRACT($L39,""^[^｜]+""),sk_mst!$A:$A,sk_mst!$M:$M),999),
   IFERROR(XLOOKUP(REGEXEXTRACT($L39,""^[^｜]+""),sk_mst!$A:$A,sk_mst!$H:$H),1),
   1
  )
 )
)"),0.0)</f>
        <v>0</v>
      </c>
      <c r="R39" s="25">
        <f>IFERROR(__xludf.DUMMYFUNCTION("IF($A39="""","""",
 IF($F39=""market"",
  IFERROR(XLOOKUP(REGEXEXTRACT($J39,""^[^｜]+""),tr_mst!$A:$A,tr_mst!$G:$G),0)
  +IFERROR(XLOOKUP(REGEXEXTRACT($K39,""^[^｜]+""),tc_mst!$A:$A,tc_mst!$G:$G),0),
  IF($B39=0,
   IFERROR(XLOOKUP(REGEXEXTRACT($I39,""^[^｜]"&amp;"+""),ms_mst!$A:$A,ms_mst!$G:$G),0),
   IFERROR(XLOOKUP(""T""&amp;($B39-1)&amp;""_""&amp;$D39,$A:$A,$R:$R),0)
  )
  +IFERROR(XLOOKUP(REGEXEXTRACT($J39,""^[^｜]+""),tr_mst!$A:$A,tr_mst!$G:$G),0)
  +IFERROR(XLOOKUP(REGEXEXTRACT($K39,""^[^｜]+""),tc_mst!$A:$A,tc_mst!$G:$G)"&amp;",0)
  +
  (
   IFERROR(XLOOKUP(REGEXEXTRACT($M39,""^[^｜]+""),ac_mst!$A:$A,ac_mst!$J:$J),0)
   +IFERROR(XLOOKUP(REGEXEXTRACT($N39,""^[^｜]+""),ac_mst!$A:$A,ac_mst!$J:$J),0)
   +IFERROR(
    XLOOKUP(
     IF(
      OR(
       IFERROR(REGEXEXTRACT($M39,""^[^｜"&amp;"]+""),"""")="""",
       IFERROR(REGEXEXTRACT($N39,""^[^｜]+""),"""")=""""
      ),
      """",
      IF(
       IFERROR(REGEXEXTRACT($M39,""^[^｜]+""),"""")&lt;IFERROR(REGEXEXTRACT($N39,""^[^｜]+""),""""),
       IFERROR(REGEXEXTRACT($M39,""^[^｜]+""),"""")&amp;""_"&amp;"""&amp;IFERROR(REGEXEXTRACT($N39,""^[^｜]+""),""""),
       IFERROR(REGEXEXTRACT($N39,""^[^｜]+""),"""")&amp;""_""&amp;IFERROR(REGEXEXTRACT($M39,""^[^｜]+""),"""")
      )
     ),
     sy_mst!$A:$A,
     sy_mst!$G:$G
    ),
    0
   )
  )
  *
  IFERROR(XLOOKUP(REGEXEXTR"&amp;"ACT($I39,""^[^｜]+""),ms_mst!$A:$A,ms_mst!$O:$O),1)
  *
  IF(
   $B39&gt;=IFERROR(XLOOKUP(REGEXEXTRACT($L39,""^[^｜]+""),sk_mst!$A:$A,sk_mst!$M:$M),999),
   IFERROR(XLOOKUP(REGEXEXTRACT($L39,""^[^｜]+""),sk_mst!$A:$A,sk_mst!$I:$I),1),
   1
  )
 )
)"),0.01)</f>
        <v>0.01</v>
      </c>
      <c r="S39" s="25">
        <f>IFERROR(__xludf.DUMMYFUNCTION("IF($A39="""","""",
 IF($F39=""market"",
  IFERROR(XLOOKUP(REGEXEXTRACT($J39,""^[^｜]+""),tr_mst!$A:$A,tr_mst!$H:$H),0)
  +IFERROR(XLOOKUP(REGEXEXTRACT($K39,""^[^｜]+""),tc_mst!$A:$A,tc_mst!$H:$H),0),
  IF($B39=0,
   IFERROR(XLOOKUP(REGEXEXTRACT($I39,""^[^｜]"&amp;"+""),ms_mst!$A:$A,ms_mst!$H:$H),0),
   IFERROR(XLOOKUP(""T""&amp;($B39-1)&amp;""_""&amp;$D39,$A:$A,$S:$S),0)
  )
  +IFERROR(XLOOKUP(REGEXEXTRACT($J39,""^[^｜]+""),tr_mst!$A:$A,tr_mst!$H:$H),0)
  +IFERROR(XLOOKUP(REGEXEXTRACT($K39,""^[^｜]+""),tc_mst!$A:$A,tc_mst!$H:$H)"&amp;",0)
  +
  (
   IFERROR(XLOOKUP(REGEXEXTRACT($M39,""^[^｜]+""),ac_mst!$A:$A,ac_mst!$K:$K),0)
   +IFERROR(XLOOKUP(REGEXEXTRACT($N39,""^[^｜]+""),ac_mst!$A:$A,ac_mst!$K:$K),0)
   +IFERROR(
    XLOOKUP(
     IF(
      OR(
       IFERROR(REGEXEXTRACT($M39,""^[^｜"&amp;"]+""),"""")="""",
       IFERROR(REGEXEXTRACT($N39,""^[^｜]+""),"""")=""""
      ),
      """",
      IF(
       IFERROR(REGEXEXTRACT($M39,""^[^｜]+""),"""")&lt;IFERROR(REGEXEXTRACT($N39,""^[^｜]+""),""""),
       IFERROR(REGEXEXTRACT($M39,""^[^｜]+""),"""")&amp;""_"&amp;"""&amp;IFERROR(REGEXEXTRACT($N39,""^[^｜]+""),""""),
       IFERROR(REGEXEXTRACT($N39,""^[^｜]+""),"""")&amp;""_""&amp;IFERROR(REGEXEXTRACT($M39,""^[^｜]+""),"""")
      )
     ),
     sy_mst!$A:$A,
     sy_mst!$H:$H
    ),
    0
   )
  )
  *
  IFERROR(XLOOKUP(REGEXEXTR"&amp;"ACT($I39,""^[^｜]+""),ms_mst!$A:$A,ms_mst!$P:$P),1)
  *
  IF(
   $B39&gt;=IFERROR(XLOOKUP(REGEXEXTRACT($L39,""^[^｜]+""),sk_mst!$A:$A,sk_mst!$M:$M),999),
   IFERROR(XLOOKUP(REGEXEXTRACT($L39,""^[^｜]+""),sk_mst!$A:$A,sk_mst!$J:$J),1),
   1
  )
 )
)"),3.0E-4)</f>
        <v>0.0003</v>
      </c>
      <c r="T39" s="25">
        <f>IFERROR(__xludf.DUMMYFUNCTION("IF($A39="""","""",
 IF($F39=""market"",
  IFERROR(XLOOKUP(REGEXEXTRACT($J39,""^[^｜]+""),tr_mst!$A:$A,tr_mst!$I:$I),0)
  +IFERROR(XLOOKUP(REGEXEXTRACT($K39,""^[^｜]+""),tc_mst!$A:$A,tc_mst!$I:$I),0),
  IF($B39=0,
   IFERROR(XLOOKUP(REGEXEXTRACT($I39,""^[^｜]"&amp;"+""),ms_mst!$A:$A,ms_mst!$I:$I),0),
   IFERROR(XLOOKUP(""T""&amp;($B39-1)&amp;""_""&amp;$D39,$A:$A,$T:$T),0)
  )
  +IFERROR(XLOOKUP(REGEXEXTRACT($J39,""^[^｜]+""),tr_mst!$A:$A,tr_mst!$I:$I),0)
  +IFERROR(XLOOKUP(REGEXEXTRACT($K39,""^[^｜]+""),tc_mst!$A:$A,tc_mst!$I:$I)"&amp;",0)
  +
  (
   IFERROR(XLOOKUP(REGEXEXTRACT($M39,""^[^｜]+""),ac_mst!$A:$A,ac_mst!$L:$L),0)
   +IFERROR(XLOOKUP(REGEXEXTRACT($N39,""^[^｜]+""),ac_mst!$A:$A,ac_mst!$L:$L),0)
   +IFERROR(
    XLOOKUP(
     IF(
      OR(
       IFERROR(REGEXEXTRACT($M39,""^[^｜"&amp;"]+""),"""")="""",
       IFERROR(REGEXEXTRACT($N39,""^[^｜]+""),"""")=""""
      ),
      """",
      IF(
       IFERROR(REGEXEXTRACT($M39,""^[^｜]+""),"""")&lt;IFERROR(REGEXEXTRACT($N39,""^[^｜]+""),""""),
       IFERROR(REGEXEXTRACT($M39,""^[^｜]+""),"""")&amp;""_"&amp;"""&amp;IFERROR(REGEXEXTRACT($N39,""^[^｜]+""),""""),
       IFERROR(REGEXEXTRACT($N39,""^[^｜]+""),"""")&amp;""_""&amp;IFERROR(REGEXEXTRACT($M39,""^[^｜]+""),"""")
      )
     ),
     sy_mst!$A:$A,
     sy_mst!$I:$I
    ),
    0
   )
  )
  *
  IFERROR(XLOOKUP(REGEXEXTR"&amp;"ACT($I39,""^[^｜]+""),ms_mst!$A:$A,ms_mst!$Q:$Q),1)
  *
  IF(
   $B39&gt;=IFERROR(XLOOKUP(REGEXEXTRACT($L39,""^[^｜]+""),sk_mst!$A:$A,sk_mst!$M:$M),999),
   IFERROR(XLOOKUP(REGEXEXTRACT($L39,""^[^｜]+""),sk_mst!$A:$A,sk_mst!$K:$K),1),
   1
  )
 )
)"),0.0)</f>
        <v>0</v>
      </c>
      <c r="U39" s="25">
        <f>IFERROR(__xludf.DUMMYFUNCTION("IF($A39="""","""",
 IF($F39=""market"",
  IFERROR(XLOOKUP(REGEXEXTRACT($J39,""^[^｜]+""),tr_mst!$A:$A,tr_mst!$J:$J),0)
  +IFERROR(XLOOKUP(REGEXEXTRACT($K39,""^[^｜]+""),tc_mst!$A:$A,tc_mst!$J:$J),0),
  IF($B39=0,
   IFERROR(XLOOKUP(REGEXEXTRACT($I39,""^[^｜]"&amp;"+""),ms_mst!$A:$A,ms_mst!$J:$J),0),
   IFERROR(XLOOKUP(""T""&amp;($B39-1)&amp;""_""&amp;$D39,$A:$A,$U:$U),0)
  )
  +IFERROR(XLOOKUP(REGEXEXTRACT($J39,""^[^｜]+""),tr_mst!$A:$A,tr_mst!$J:$J),0)
  +IFERROR(XLOOKUP(REGEXEXTRACT($K39,""^[^｜]+""),tc_mst!$A:$A,tc_mst!$J:$J)"&amp;",0)
  +
  (
   IFERROR(XLOOKUP(REGEXEXTRACT($M39,""^[^｜]+""),ac_mst!$A:$A,ac_mst!$M:$M),0)
   +IFERROR(XLOOKUP(REGEXEXTRACT($N39,""^[^｜]+""),ac_mst!$A:$A,ac_mst!$M:$M),0)
   +IFERROR(
    XLOOKUP(
     IF(
      OR(
       IFERROR(REGEXEXTRACT($M39,""^[^｜"&amp;"]+""),"""")="""",
       IFERROR(REGEXEXTRACT($N39,""^[^｜]+""),"""")=""""
      ),
      """",
      IF(
       IFERROR(REGEXEXTRACT($M39,""^[^｜]+""),"""")&lt;IFERROR(REGEXEXTRACT($N39,""^[^｜]+""),""""),
       IFERROR(REGEXEXTRACT($M39,""^[^｜]+""),"""")&amp;""_"&amp;"""&amp;IFERROR(REGEXEXTRACT($N39,""^[^｜]+""),""""),
       IFERROR(REGEXEXTRACT($N39,""^[^｜]+""),"""")&amp;""_""&amp;IFERROR(REGEXEXTRACT($M39,""^[^｜]+""),"""")
      )
     ),
     sy_mst!$A:$A,
     sy_mst!$J:$J
    ),
    0
   )
  )
  *
  IFERROR(XLOOKUP(REGEXEXTR"&amp;"ACT($I39,""^[^｜]+""),ms_mst!$A:$A,ms_mst!$R:$R),1)
  *
  IF(
   $B39&gt;=IFERROR(XLOOKUP(REGEXEXTRACT($L39,""^[^｜]+""),sk_mst!$A:$A,sk_mst!$M:$M),999),
   IFERROR(XLOOKUP(REGEXEXTRACT($L39,""^[^｜]+""),sk_mst!$A:$A,sk_mst!$L:$L),1),
   1
  )
 )
)"),5.0)</f>
        <v>5</v>
      </c>
      <c r="V39" s="25">
        <f t="shared" si="1"/>
        <v>0</v>
      </c>
      <c r="W39" s="25">
        <f t="shared" si="2"/>
        <v>-500</v>
      </c>
      <c r="X39" s="25">
        <f t="shared" si="3"/>
        <v>500</v>
      </c>
      <c r="Y39" s="25">
        <f t="shared" si="4"/>
        <v>0</v>
      </c>
      <c r="Z39" s="25">
        <f>IFERROR(__xludf.DUMMYFUNCTION("IF($A39="""","""",
 IF($F39&lt;&gt;""player"","""",
  IFERROR(
   RANK(
    $X39,
    FILTER($X:$X,$B:$B=$B39,$F:$F=""player"",$X:$X&lt;&gt;""""),
    0
   ),
   """"
  )
 )
)"),8.0)</f>
        <v>8</v>
      </c>
      <c r="AA39" s="25" t="str">
        <f t="shared" si="5"/>
        <v>8位</v>
      </c>
      <c r="AB39" s="26">
        <f t="shared" si="6"/>
        <v>0</v>
      </c>
    </row>
    <row r="40">
      <c r="A40" s="14" t="s">
        <v>213</v>
      </c>
      <c r="B40" s="25">
        <v>2.0</v>
      </c>
      <c r="C40" s="14" t="s">
        <v>186</v>
      </c>
      <c r="D40" s="14" t="s">
        <v>187</v>
      </c>
      <c r="E40" s="25" t="s">
        <v>153</v>
      </c>
      <c r="F40" s="25" t="s">
        <v>154</v>
      </c>
      <c r="G40" s="25" t="str">
        <f>IFERROR(__xludf.DUMMYFUNCTION("IF($F40=""market"","""",IFERROR(FILTER(member_log!$B$10:$B947,member_log!$C$10:$C947=$C40,member_log!$D$10:$D947=$E40,member_log!$G$10:$G947=""active""),""""))"),"")</f>
        <v/>
      </c>
      <c r="H40" s="25" t="str">
        <f>IFERROR(__xludf.DUMMYFUNCTION("IF($F40=""market"","""",IFERROR(FILTER(member_log!$E$10:$E947,member_log!$C$10:$C947=$C40,member_log!$D$10:$D947=$E40,member_log!$G$10:$G947=""active""),""""))"),"")</f>
        <v/>
      </c>
      <c r="I40" s="25" t="str">
        <f>IFERROR(__xludf.DUMMYFUNCTION("IF($F40&lt;&gt;""player"","""",IFERROR(INDEX(FILTER(group_setup!$D$2:$D947,group_setup!$B$2:$B947=$C40,group_setup!$G$2:$G947=TRUE,group_setup!$H$2:$H947=""completed""),1),""""))"),"")</f>
        <v/>
      </c>
      <c r="J40" s="25" t="str">
        <f>IFERROR(__xludf.DUMMYFUNCTION("IFERROR(FILTER(market_event_log!$D$2:$D947,market_event_log!$C$2:$C947=$B40,market_event_log!$N$2:$N947=""active""),"""")"),"T01")</f>
        <v>T01</v>
      </c>
      <c r="K40" s="25" t="str">
        <f>IFERROR(__xludf.DUMMYFUNCTION("IFERROR(FILTER(market_event_log!$G$2:$G947,market_event_log!$C$2:$C947=$B40,market_event_log!$N$2:$N947=""active""),"""")"),"C03")</f>
        <v>C03</v>
      </c>
      <c r="L40" s="25" t="str">
        <f>IFERROR(__xludf.DUMMYFUNCTION("IF($F40&lt;&gt;""player"","""",IFERROR(INDEX(FILTER(group_setup!$E$2:$E947,group_setup!$B$2:$B947=$C40,group_setup!$G$2:$G947=TRUE,group_setup!$H$2:$H947=""completed""),1),""""))"),"")</f>
        <v/>
      </c>
      <c r="M40" s="25" t="str">
        <f>IFERROR(__xludf.DUMMYFUNCTION("IF($F40=""market"","""",IF($E40=""HUMAN"",IFERROR(FILTER(turn_log!$G$2:$G947,turn_log!$C$2:$C947=$B40,turn_log!$D$2:$D947=$C40,turn_log!$F$2:$F947=$E40),""""),IFERROR(FILTER(turn_log!$I$2:$I947,turn_log!$C$2:$C947=$B40,turn_log!$D$2:$D947=$C40,turn_log!$F"&amp;"$2:$F947=$E40),"""")))"),"")</f>
        <v/>
      </c>
      <c r="N40" s="25" t="str">
        <f>IFERROR(__xludf.DUMMYFUNCTION("IF($F40=""market"","""",IF($E40=""HUMAN"",IFERROR(FILTER(turn_log!$H$2:$H947,turn_log!$C$2:$C947=$B40,turn_log!$D$2:$D947=$C40,turn_log!$F$2:$F947=$E40),""""),IFERROR(FILTER(turn_log!$J$2:$J947,turn_log!$C$2:$C947=$B40,turn_log!$D$2:$D947=$C40,turn_log!$F"&amp;"$2:$F947=$E40),"""")))"),"")</f>
        <v/>
      </c>
      <c r="O40" s="25">
        <f>IFERROR(__xludf.DUMMYFUNCTION("IF($A40="""","""",
 IF($F40=""market"",
  IFERROR(XLOOKUP(REGEXEXTRACT($J40,""^[^｜]+""),tr_mst!$A:$A,tr_mst!$D:$D),0)
  +IFERROR(XLOOKUP(REGEXEXTRACT($K40,""^[^｜]+""),tc_mst!$A:$A,tc_mst!$D:$D),0),
  IF($B40=0,
   IFERROR(XLOOKUP(REGEXEXTRACT($I40,""^[^｜]"&amp;"+""),ms_mst!$A:$A,ms_mst!$D:$D),0),
   IFERROR(XLOOKUP(""T""&amp;($B40-1)&amp;""_""&amp;$D40,$A:$A,$O:$O),0)
  )
  +IFERROR(XLOOKUP(REGEXEXTRACT($J40,""^[^｜]+""),tr_mst!$A:$A,tr_mst!$D:$D),0)
  +IFERROR(XLOOKUP(REGEXEXTRACT($K40,""^[^｜]+""),tc_mst!$A:$A,tc_mst!$D:$D)"&amp;",0)
  +
  (
   IFERROR(XLOOKUP(REGEXEXTRACT($M40,""^[^｜]+""),ac_mst!$A:$A,ac_mst!$G:$G),0)
   +IFERROR(XLOOKUP(REGEXEXTRACT($N40,""^[^｜]+""),ac_mst!$A:$A,ac_mst!$G:$G),0)
   +IFERROR(
    XLOOKUP(
     IF(
      OR(
       IFERROR(REGEXEXTRACT($M40,""^[^｜"&amp;"]+""),"""")="""",
       IFERROR(REGEXEXTRACT($N40,""^[^｜]+""),"""")=""""
      ),
      """",
      IF(
       IFERROR(REGEXEXTRACT($M40,""^[^｜]+""),"""")&lt;IFERROR(REGEXEXTRACT($N40,""^[^｜]+""),""""),
       IFERROR(REGEXEXTRACT($M40,""^[^｜]+""),"""")&amp;""_"&amp;"""&amp;IFERROR(REGEXEXTRACT($N40,""^[^｜]+""),""""),
       IFERROR(REGEXEXTRACT($N40,""^[^｜]+""),"""")&amp;""_""&amp;IFERROR(REGEXEXTRACT($M40,""^[^｜]+""),"""")
      )
     ),
     sy_mst!$A:$A,
     sy_mst!$D:$D
    ),
    0
   )
  )
  *
  IFERROR(XLOOKUP(REGEXEXTR"&amp;"ACT($I40,""^[^｜]+""),ms_mst!$A:$A,ms_mst!$L:$L),1)
  *
  IF(
   $B40&gt;=IFERROR(XLOOKUP(REGEXEXTRACT($L40,""^[^｜]+""),sk_mst!$A:$A,sk_mst!$M:$M),999),
   IFERROR(XLOOKUP(REGEXEXTRACT($L40,""^[^｜]+""),sk_mst!$A:$A,sk_mst!$F:$F),1),
   1
  )
 )
)"),2800.0)</f>
        <v>2800</v>
      </c>
      <c r="P40" s="25">
        <f>IFERROR(__xludf.DUMMYFUNCTION("IF($A40="""","""",
 IF($F40=""market"",
  IFERROR(XLOOKUP(REGEXEXTRACT($J40,""^[^｜]+""),tr_mst!$A:$A,tr_mst!$E:$E),0)
  +IFERROR(XLOOKUP(REGEXEXTRACT($K40,""^[^｜]+""),tc_mst!$A:$A,tc_mst!$E:$E),0),
  IF($B40=0,
   IFERROR(XLOOKUP(REGEXEXTRACT($I40,""^[^｜]"&amp;"+""),ms_mst!$A:$A,ms_mst!$E:$E),0),
   IFERROR(XLOOKUP(""T""&amp;($B40-1)&amp;""_""&amp;$D40,$A:$A,$P:$P),0)
  )
  +IFERROR(XLOOKUP(REGEXEXTRACT($J40,""^[^｜]+""),tr_mst!$A:$A,tr_mst!$E:$E),0)
  +IFERROR(XLOOKUP(REGEXEXTRACT($K40,""^[^｜]+""),tc_mst!$A:$A,tc_mst!$E:$E)"&amp;",0)
  +
  (
   IFERROR(XLOOKUP(REGEXEXTRACT($M40,""^[^｜]+""),ac_mst!$A:$A,ac_mst!$H:$H),0)
   +IFERROR(XLOOKUP(REGEXEXTRACT($N40,""^[^｜]+""),ac_mst!$A:$A,ac_mst!$H:$H),0)
   +IFERROR(
    XLOOKUP(
     IF(
      OR(
       IFERROR(REGEXEXTRACT($M40,""^[^｜"&amp;"]+""),"""")="""",
       IFERROR(REGEXEXTRACT($N40,""^[^｜]+""),"""")=""""
      ),
      """",
      IF(
       IFERROR(REGEXEXTRACT($M40,""^[^｜]+""),"""")&lt;IFERROR(REGEXEXTRACT($N40,""^[^｜]+""),""""),
       IFERROR(REGEXEXTRACT($M40,""^[^｜]+""),"""")&amp;""_"&amp;"""&amp;IFERROR(REGEXEXTRACT($N40,""^[^｜]+""),""""),
       IFERROR(REGEXEXTRACT($N40,""^[^｜]+""),"""")&amp;""_""&amp;IFERROR(REGEXEXTRACT($M40,""^[^｜]+""),"""")
      )
     ),
     sy_mst!$A:$A,
     sy_mst!$E:$E
    ),
    0
   )
  )
  *
  IFERROR(XLOOKUP(REGEXEXTR"&amp;"ACT($I40,""^[^｜]+""),ms_mst!$A:$A,ms_mst!$M:$M),1)
  *
  IF(
   $B40&gt;=IFERROR(XLOOKUP(REGEXEXTRACT($L40,""^[^｜]+""),sk_mst!$A:$A,sk_mst!$M:$M),999),
   IFERROR(XLOOKUP(REGEXEXTRACT($L40,""^[^｜]+""),sk_mst!$A:$A,sk_mst!$G:$G),1),
   1
  )
 )
)"),-100.0)</f>
        <v>-100</v>
      </c>
      <c r="Q40" s="25">
        <f>IFERROR(__xludf.DUMMYFUNCTION("IF($A40="""","""",
 IF($F40=""market"",
  IFERROR(XLOOKUP(REGEXEXTRACT($J40,""^[^｜]+""),tr_mst!$A:$A,tr_mst!$F:$F),0)
  +IFERROR(XLOOKUP(REGEXEXTRACT($K40,""^[^｜]+""),tc_mst!$A:$A,tc_mst!$F:$F),0),
  IF($B40=0,
   IFERROR(XLOOKUP(REGEXEXTRACT($I40,""^[^｜]"&amp;"+""),ms_mst!$A:$A,ms_mst!$F:$F),0),
   IFERROR(XLOOKUP(""T""&amp;($B40-1)&amp;""_""&amp;$D40,$A:$A,$Q:$Q),0)
  )
  +IFERROR(XLOOKUP(REGEXEXTRACT($J40,""^[^｜]+""),tr_mst!$A:$A,tr_mst!$F:$F),0)
  +IFERROR(XLOOKUP(REGEXEXTRACT($K40,""^[^｜]+""),tc_mst!$A:$A,tc_mst!$F:$F)"&amp;",0)
  +
  (
   IFERROR(XLOOKUP(REGEXEXTRACT($M40,""^[^｜]+""),ac_mst!$A:$A,ac_mst!$I:$I),0)
   +IFERROR(XLOOKUP(REGEXEXTRACT($N40,""^[^｜]+""),ac_mst!$A:$A,ac_mst!$I:$I),0)
   +IFERROR(
    XLOOKUP(
     IF(
      OR(
       IFERROR(REGEXEXTRACT($M40,""^[^｜"&amp;"]+""),"""")="""",
       IFERROR(REGEXEXTRACT($N40,""^[^｜]+""),"""")=""""
      ),
      """",
      IF(
       IFERROR(REGEXEXTRACT($M40,""^[^｜]+""),"""")&lt;IFERROR(REGEXEXTRACT($N40,""^[^｜]+""),""""),
       IFERROR(REGEXEXTRACT($M40,""^[^｜]+""),"""")&amp;""_"&amp;"""&amp;IFERROR(REGEXEXTRACT($N40,""^[^｜]+""),""""),
       IFERROR(REGEXEXTRACT($N40,""^[^｜]+""),"""")&amp;""_""&amp;IFERROR(REGEXEXTRACT($M40,""^[^｜]+""),"""")
      )
     ),
     sy_mst!$A:$A,
     sy_mst!$F:$F
    ),
    0
   )
  )
  *
  IFERROR(XLOOKUP(REGEXEXTR"&amp;"ACT($I40,""^[^｜]+""),ms_mst!$A:$A,ms_mst!$N:$N),1)
  *
  IF(
   $B40&gt;=IFERROR(XLOOKUP(REGEXEXTRACT($L40,""^[^｜]+""),sk_mst!$A:$A,sk_mst!$M:$M),999),
   IFERROR(XLOOKUP(REGEXEXTRACT($L40,""^[^｜]+""),sk_mst!$A:$A,sk_mst!$H:$H),1),
   1
  )
 )
)"),0.0)</f>
        <v>0</v>
      </c>
      <c r="R40" s="25">
        <f>IFERROR(__xludf.DUMMYFUNCTION("IF($A40="""","""",
 IF($F40=""market"",
  IFERROR(XLOOKUP(REGEXEXTRACT($J40,""^[^｜]+""),tr_mst!$A:$A,tr_mst!$G:$G),0)
  +IFERROR(XLOOKUP(REGEXEXTRACT($K40,""^[^｜]+""),tc_mst!$A:$A,tc_mst!$G:$G),0),
  IF($B40=0,
   IFERROR(XLOOKUP(REGEXEXTRACT($I40,""^[^｜]"&amp;"+""),ms_mst!$A:$A,ms_mst!$G:$G),0),
   IFERROR(XLOOKUP(""T""&amp;($B40-1)&amp;""_""&amp;$D40,$A:$A,$R:$R),0)
  )
  +IFERROR(XLOOKUP(REGEXEXTRACT($J40,""^[^｜]+""),tr_mst!$A:$A,tr_mst!$G:$G),0)
  +IFERROR(XLOOKUP(REGEXEXTRACT($K40,""^[^｜]+""),tc_mst!$A:$A,tc_mst!$G:$G)"&amp;",0)
  +
  (
   IFERROR(XLOOKUP(REGEXEXTRACT($M40,""^[^｜]+""),ac_mst!$A:$A,ac_mst!$J:$J),0)
   +IFERROR(XLOOKUP(REGEXEXTRACT($N40,""^[^｜]+""),ac_mst!$A:$A,ac_mst!$J:$J),0)
   +IFERROR(
    XLOOKUP(
     IF(
      OR(
       IFERROR(REGEXEXTRACT($M40,""^[^｜"&amp;"]+""),"""")="""",
       IFERROR(REGEXEXTRACT($N40,""^[^｜]+""),"""")=""""
      ),
      """",
      IF(
       IFERROR(REGEXEXTRACT($M40,""^[^｜]+""),"""")&lt;IFERROR(REGEXEXTRACT($N40,""^[^｜]+""),""""),
       IFERROR(REGEXEXTRACT($M40,""^[^｜]+""),"""")&amp;""_"&amp;"""&amp;IFERROR(REGEXEXTRACT($N40,""^[^｜]+""),""""),
       IFERROR(REGEXEXTRACT($N40,""^[^｜]+""),"""")&amp;""_""&amp;IFERROR(REGEXEXTRACT($M40,""^[^｜]+""),"""")
      )
     ),
     sy_mst!$A:$A,
     sy_mst!$G:$G
    ),
    0
   )
  )
  *
  IFERROR(XLOOKUP(REGEXEXTR"&amp;"ACT($I40,""^[^｜]+""),ms_mst!$A:$A,ms_mst!$O:$O),1)
  *
  IF(
   $B40&gt;=IFERROR(XLOOKUP(REGEXEXTRACT($L40,""^[^｜]+""),sk_mst!$A:$A,sk_mst!$M:$M),999),
   IFERROR(XLOOKUP(REGEXEXTRACT($L40,""^[^｜]+""),sk_mst!$A:$A,sk_mst!$I:$I),1),
   1
  )
 )
)"),0.01)</f>
        <v>0.01</v>
      </c>
      <c r="S40" s="25">
        <f>IFERROR(__xludf.DUMMYFUNCTION("IF($A40="""","""",
 IF($F40=""market"",
  IFERROR(XLOOKUP(REGEXEXTRACT($J40,""^[^｜]+""),tr_mst!$A:$A,tr_mst!$H:$H),0)
  +IFERROR(XLOOKUP(REGEXEXTRACT($K40,""^[^｜]+""),tc_mst!$A:$A,tc_mst!$H:$H),0),
  IF($B40=0,
   IFERROR(XLOOKUP(REGEXEXTRACT($I40,""^[^｜]"&amp;"+""),ms_mst!$A:$A,ms_mst!$H:$H),0),
   IFERROR(XLOOKUP(""T""&amp;($B40-1)&amp;""_""&amp;$D40,$A:$A,$S:$S),0)
  )
  +IFERROR(XLOOKUP(REGEXEXTRACT($J40,""^[^｜]+""),tr_mst!$A:$A,tr_mst!$H:$H),0)
  +IFERROR(XLOOKUP(REGEXEXTRACT($K40,""^[^｜]+""),tc_mst!$A:$A,tc_mst!$H:$H)"&amp;",0)
  +
  (
   IFERROR(XLOOKUP(REGEXEXTRACT($M40,""^[^｜]+""),ac_mst!$A:$A,ac_mst!$K:$K),0)
   +IFERROR(XLOOKUP(REGEXEXTRACT($N40,""^[^｜]+""),ac_mst!$A:$A,ac_mst!$K:$K),0)
   +IFERROR(
    XLOOKUP(
     IF(
      OR(
       IFERROR(REGEXEXTRACT($M40,""^[^｜"&amp;"]+""),"""")="""",
       IFERROR(REGEXEXTRACT($N40,""^[^｜]+""),"""")=""""
      ),
      """",
      IF(
       IFERROR(REGEXEXTRACT($M40,""^[^｜]+""),"""")&lt;IFERROR(REGEXEXTRACT($N40,""^[^｜]+""),""""),
       IFERROR(REGEXEXTRACT($M40,""^[^｜]+""),"""")&amp;""_"&amp;"""&amp;IFERROR(REGEXEXTRACT($N40,""^[^｜]+""),""""),
       IFERROR(REGEXEXTRACT($N40,""^[^｜]+""),"""")&amp;""_""&amp;IFERROR(REGEXEXTRACT($M40,""^[^｜]+""),"""")
      )
     ),
     sy_mst!$A:$A,
     sy_mst!$H:$H
    ),
    0
   )
  )
  *
  IFERROR(XLOOKUP(REGEXEXTR"&amp;"ACT($I40,""^[^｜]+""),ms_mst!$A:$A,ms_mst!$P:$P),1)
  *
  IF(
   $B40&gt;=IFERROR(XLOOKUP(REGEXEXTRACT($L40,""^[^｜]+""),sk_mst!$A:$A,sk_mst!$M:$M),999),
   IFERROR(XLOOKUP(REGEXEXTRACT($L40,""^[^｜]+""),sk_mst!$A:$A,sk_mst!$J:$J),1),
   1
  )
 )
)"),3.0E-4)</f>
        <v>0.0003</v>
      </c>
      <c r="T40" s="25">
        <f>IFERROR(__xludf.DUMMYFUNCTION("IF($A40="""","""",
 IF($F40=""market"",
  IFERROR(XLOOKUP(REGEXEXTRACT($J40,""^[^｜]+""),tr_mst!$A:$A,tr_mst!$I:$I),0)
  +IFERROR(XLOOKUP(REGEXEXTRACT($K40,""^[^｜]+""),tc_mst!$A:$A,tc_mst!$I:$I),0),
  IF($B40=0,
   IFERROR(XLOOKUP(REGEXEXTRACT($I40,""^[^｜]"&amp;"+""),ms_mst!$A:$A,ms_mst!$I:$I),0),
   IFERROR(XLOOKUP(""T""&amp;($B40-1)&amp;""_""&amp;$D40,$A:$A,$T:$T),0)
  )
  +IFERROR(XLOOKUP(REGEXEXTRACT($J40,""^[^｜]+""),tr_mst!$A:$A,tr_mst!$I:$I),0)
  +IFERROR(XLOOKUP(REGEXEXTRACT($K40,""^[^｜]+""),tc_mst!$A:$A,tc_mst!$I:$I)"&amp;",0)
  +
  (
   IFERROR(XLOOKUP(REGEXEXTRACT($M40,""^[^｜]+""),ac_mst!$A:$A,ac_mst!$L:$L),0)
   +IFERROR(XLOOKUP(REGEXEXTRACT($N40,""^[^｜]+""),ac_mst!$A:$A,ac_mst!$L:$L),0)
   +IFERROR(
    XLOOKUP(
     IF(
      OR(
       IFERROR(REGEXEXTRACT($M40,""^[^｜"&amp;"]+""),"""")="""",
       IFERROR(REGEXEXTRACT($N40,""^[^｜]+""),"""")=""""
      ),
      """",
      IF(
       IFERROR(REGEXEXTRACT($M40,""^[^｜]+""),"""")&lt;IFERROR(REGEXEXTRACT($N40,""^[^｜]+""),""""),
       IFERROR(REGEXEXTRACT($M40,""^[^｜]+""),"""")&amp;""_"&amp;"""&amp;IFERROR(REGEXEXTRACT($N40,""^[^｜]+""),""""),
       IFERROR(REGEXEXTRACT($N40,""^[^｜]+""),"""")&amp;""_""&amp;IFERROR(REGEXEXTRACT($M40,""^[^｜]+""),"""")
      )
     ),
     sy_mst!$A:$A,
     sy_mst!$I:$I
    ),
    0
   )
  )
  *
  IFERROR(XLOOKUP(REGEXEXTR"&amp;"ACT($I40,""^[^｜]+""),ms_mst!$A:$A,ms_mst!$Q:$Q),1)
  *
  IF(
   $B40&gt;=IFERROR(XLOOKUP(REGEXEXTRACT($L40,""^[^｜]+""),sk_mst!$A:$A,sk_mst!$M:$M),999),
   IFERROR(XLOOKUP(REGEXEXTRACT($L40,""^[^｜]+""),sk_mst!$A:$A,sk_mst!$K:$K),1),
   1
  )
 )
)"),0.0)</f>
        <v>0</v>
      </c>
      <c r="U40" s="25">
        <f>IFERROR(__xludf.DUMMYFUNCTION("IF($A40="""","""",
 IF($F40=""market"",
  IFERROR(XLOOKUP(REGEXEXTRACT($J40,""^[^｜]+""),tr_mst!$A:$A,tr_mst!$J:$J),0)
  +IFERROR(XLOOKUP(REGEXEXTRACT($K40,""^[^｜]+""),tc_mst!$A:$A,tc_mst!$J:$J),0),
  IF($B40=0,
   IFERROR(XLOOKUP(REGEXEXTRACT($I40,""^[^｜]"&amp;"+""),ms_mst!$A:$A,ms_mst!$J:$J),0),
   IFERROR(XLOOKUP(""T""&amp;($B40-1)&amp;""_""&amp;$D40,$A:$A,$U:$U),0)
  )
  +IFERROR(XLOOKUP(REGEXEXTRACT($J40,""^[^｜]+""),tr_mst!$A:$A,tr_mst!$J:$J),0)
  +IFERROR(XLOOKUP(REGEXEXTRACT($K40,""^[^｜]+""),tc_mst!$A:$A,tc_mst!$J:$J)"&amp;",0)
  +
  (
   IFERROR(XLOOKUP(REGEXEXTRACT($M40,""^[^｜]+""),ac_mst!$A:$A,ac_mst!$M:$M),0)
   +IFERROR(XLOOKUP(REGEXEXTRACT($N40,""^[^｜]+""),ac_mst!$A:$A,ac_mst!$M:$M),0)
   +IFERROR(
    XLOOKUP(
     IF(
      OR(
       IFERROR(REGEXEXTRACT($M40,""^[^｜"&amp;"]+""),"""")="""",
       IFERROR(REGEXEXTRACT($N40,""^[^｜]+""),"""")=""""
      ),
      """",
      IF(
       IFERROR(REGEXEXTRACT($M40,""^[^｜]+""),"""")&lt;IFERROR(REGEXEXTRACT($N40,""^[^｜]+""),""""),
       IFERROR(REGEXEXTRACT($M40,""^[^｜]+""),"""")&amp;""_"&amp;"""&amp;IFERROR(REGEXEXTRACT($N40,""^[^｜]+""),""""),
       IFERROR(REGEXEXTRACT($N40,""^[^｜]+""),"""")&amp;""_""&amp;IFERROR(REGEXEXTRACT($M40,""^[^｜]+""),"""")
      )
     ),
     sy_mst!$A:$A,
     sy_mst!$J:$J
    ),
    0
   )
  )
  *
  IFERROR(XLOOKUP(REGEXEXTR"&amp;"ACT($I40,""^[^｜]+""),ms_mst!$A:$A,ms_mst!$R:$R),1)
  *
  IF(
   $B40&gt;=IFERROR(XLOOKUP(REGEXEXTRACT($L40,""^[^｜]+""),sk_mst!$A:$A,sk_mst!$M:$M),999),
   IFERROR(XLOOKUP(REGEXEXTRACT($L40,""^[^｜]+""),sk_mst!$A:$A,sk_mst!$L:$L),1),
   1
  )
 )
)"),5.0)</f>
        <v>5</v>
      </c>
      <c r="V40" s="25">
        <f t="shared" si="1"/>
        <v>0</v>
      </c>
      <c r="W40" s="25">
        <f t="shared" si="2"/>
        <v>-500</v>
      </c>
      <c r="X40" s="25">
        <f t="shared" si="3"/>
        <v>500</v>
      </c>
      <c r="Y40" s="25">
        <f t="shared" si="4"/>
        <v>0</v>
      </c>
      <c r="Z40" s="25">
        <f>IFERROR(__xludf.DUMMYFUNCTION("IF($A40="""","""",
 IF($F40&lt;&gt;""player"","""",
  IFERROR(
   RANK(
    $X40,
    FILTER($X:$X,$B:$B=$B40,$F:$F=""player"",$X:$X&lt;&gt;""""),
    0
   ),
   """"
  )
 )
)"),8.0)</f>
        <v>8</v>
      </c>
      <c r="AA40" s="25" t="str">
        <f t="shared" si="5"/>
        <v>8位</v>
      </c>
      <c r="AB40" s="26">
        <f t="shared" si="6"/>
        <v>0</v>
      </c>
    </row>
    <row r="41">
      <c r="A41" s="14" t="s">
        <v>214</v>
      </c>
      <c r="B41" s="14">
        <v>3.0</v>
      </c>
      <c r="C41" s="14" t="s">
        <v>147</v>
      </c>
      <c r="D41" s="14" t="s">
        <v>148</v>
      </c>
      <c r="F41" s="14" t="s">
        <v>149</v>
      </c>
      <c r="I41" s="25" t="str">
        <f>IFERROR(__xludf.DUMMYFUNCTION("IF($F41&lt;&gt;""player"","""",IFERROR(INDEX(FILTER(group_setup!$D$2:$D947,group_setup!$B$2:$B947=$C41,group_setup!$G$2:$G947=TRUE,group_setup!$H$2:$H947=""completed""),1),""""))"),"")</f>
        <v/>
      </c>
      <c r="J41" s="25" t="str">
        <f>IFERROR(__xludf.DUMMYFUNCTION("IFERROR(FILTER(market_event_log!$D$2:$D947,market_event_log!$C$2:$C947=$B41,market_event_log!$N$2:$N947=""active""),"""")"),"T03")</f>
        <v>T03</v>
      </c>
      <c r="K41" s="25" t="str">
        <f>IFERROR(__xludf.DUMMYFUNCTION("IFERROR(FILTER(market_event_log!$G$2:$G947,market_event_log!$C$2:$C947=$B41,market_event_log!$N$2:$N947=""active""),"""")"),"C03")</f>
        <v>C03</v>
      </c>
      <c r="L41" s="25" t="str">
        <f>IFERROR(__xludf.DUMMYFUNCTION("IF($F41&lt;&gt;""player"","""",IFERROR(INDEX(FILTER(group_setup!$E$2:$E947,group_setup!$B$2:$B947=$C41,group_setup!$G$2:$G947=TRUE,group_setup!$H$2:$H947=""completed""),1),""""))"),"")</f>
        <v/>
      </c>
      <c r="M41" s="25" t="str">
        <f>IFERROR(__xludf.DUMMYFUNCTION("IF($F41=""market"","""",IF($E41=""HUMAN"",IFERROR(FILTER(turn_log!$G$2:$G947,turn_log!$C$2:$C947=$B41,turn_log!$D$2:$D947=$C41,turn_log!$F$2:$F947=$E41),""""),IFERROR(FILTER(turn_log!$I$2:$I947,turn_log!$C$2:$C947=$B41,turn_log!$D$2:$D947=$C41,turn_log!$F"&amp;"$2:$F947=$E41),"""")))"),"")</f>
        <v/>
      </c>
      <c r="N41" s="25" t="str">
        <f>IFERROR(__xludf.DUMMYFUNCTION("IF($F41=""market"","""",IF($E41=""HUMAN"",IFERROR(FILTER(turn_log!$H$2:$H947,turn_log!$C$2:$C947=$B41,turn_log!$D$2:$D947=$C41,turn_log!$F$2:$F947=$E41),""""),IFERROR(FILTER(turn_log!$J$2:$J947,turn_log!$C$2:$C947=$B41,turn_log!$D$2:$D947=$C41,turn_log!$F"&amp;"$2:$F947=$E41),"""")))"),"")</f>
        <v/>
      </c>
      <c r="O41" s="25">
        <f>IFERROR(__xludf.DUMMYFUNCTION("IF($A41="""","""",
 IF($F41=""market"",
  IFERROR(XLOOKUP(REGEXEXTRACT($J41,""^[^｜]+""),tr_mst!$A:$A,tr_mst!$D:$D),0)
  +IFERROR(XLOOKUP(REGEXEXTRACT($K41,""^[^｜]+""),tc_mst!$A:$A,tc_mst!$D:$D),0),
  IF($B41=0,
   IFERROR(XLOOKUP(REGEXEXTRACT($I41,""^[^｜]"&amp;"+""),ms_mst!$A:$A,ms_mst!$D:$D),0),
   IFERROR(XLOOKUP(""T""&amp;($B41-1)&amp;""_""&amp;$D41,$A:$A,$O:$O),0)
  )
  +IFERROR(XLOOKUP(REGEXEXTRACT($J41,""^[^｜]+""),tr_mst!$A:$A,tr_mst!$D:$D),0)
  +IFERROR(XLOOKUP(REGEXEXTRACT($K41,""^[^｜]+""),tc_mst!$A:$A,tc_mst!$D:$D)"&amp;",0)
  +
  (
   IFERROR(XLOOKUP(REGEXEXTRACT($M41,""^[^｜]+""),ac_mst!$A:$A,ac_mst!$G:$G),0)
   +IFERROR(XLOOKUP(REGEXEXTRACT($N41,""^[^｜]+""),ac_mst!$A:$A,ac_mst!$G:$G),0)
   +IFERROR(
    XLOOKUP(
     IF(
      OR(
       IFERROR(REGEXEXTRACT($M41,""^[^｜"&amp;"]+""),"""")="""",
       IFERROR(REGEXEXTRACT($N41,""^[^｜]+""),"""")=""""
      ),
      """",
      IF(
       IFERROR(REGEXEXTRACT($M41,""^[^｜]+""),"""")&lt;IFERROR(REGEXEXTRACT($N41,""^[^｜]+""),""""),
       IFERROR(REGEXEXTRACT($M41,""^[^｜]+""),"""")&amp;""_"&amp;"""&amp;IFERROR(REGEXEXTRACT($N41,""^[^｜]+""),""""),
       IFERROR(REGEXEXTRACT($N41,""^[^｜]+""),"""")&amp;""_""&amp;IFERROR(REGEXEXTRACT($M41,""^[^｜]+""),"""")
      )
     ),
     sy_mst!$A:$A,
     sy_mst!$D:$D
    ),
    0
   )
  )
  *
  IFERROR(XLOOKUP(REGEXEXTR"&amp;"ACT($I41,""^[^｜]+""),ms_mst!$A:$A,ms_mst!$L:$L),1)
  *
  IF(
   $B41&gt;=IFERROR(XLOOKUP(REGEXEXTRACT($L41,""^[^｜]+""),sk_mst!$A:$A,sk_mst!$M:$M),999),
   IFERROR(XLOOKUP(REGEXEXTRACT($L41,""^[^｜]+""),sk_mst!$A:$A,sk_mst!$F:$F),1),
   1
  )
 )
)"),1200.0)</f>
        <v>1200</v>
      </c>
      <c r="P41" s="25">
        <f>IFERROR(__xludf.DUMMYFUNCTION("IF($A41="""","""",
 IF($F41=""market"",
  IFERROR(XLOOKUP(REGEXEXTRACT($J41,""^[^｜]+""),tr_mst!$A:$A,tr_mst!$E:$E),0)
  +IFERROR(XLOOKUP(REGEXEXTRACT($K41,""^[^｜]+""),tc_mst!$A:$A,tc_mst!$E:$E),0),
  IF($B41=0,
   IFERROR(XLOOKUP(REGEXEXTRACT($I41,""^[^｜]"&amp;"+""),ms_mst!$A:$A,ms_mst!$E:$E),0),
   IFERROR(XLOOKUP(""T""&amp;($B41-1)&amp;""_""&amp;$D41,$A:$A,$P:$P),0)
  )
  +IFERROR(XLOOKUP(REGEXEXTRACT($J41,""^[^｜]+""),tr_mst!$A:$A,tr_mst!$E:$E),0)
  +IFERROR(XLOOKUP(REGEXEXTRACT($K41,""^[^｜]+""),tc_mst!$A:$A,tc_mst!$E:$E)"&amp;",0)
  +
  (
   IFERROR(XLOOKUP(REGEXEXTRACT($M41,""^[^｜]+""),ac_mst!$A:$A,ac_mst!$H:$H),0)
   +IFERROR(XLOOKUP(REGEXEXTRACT($N41,""^[^｜]+""),ac_mst!$A:$A,ac_mst!$H:$H),0)
   +IFERROR(
    XLOOKUP(
     IF(
      OR(
       IFERROR(REGEXEXTRACT($M41,""^[^｜"&amp;"]+""),"""")="""",
       IFERROR(REGEXEXTRACT($N41,""^[^｜]+""),"""")=""""
      ),
      """",
      IF(
       IFERROR(REGEXEXTRACT($M41,""^[^｜]+""),"""")&lt;IFERROR(REGEXEXTRACT($N41,""^[^｜]+""),""""),
       IFERROR(REGEXEXTRACT($M41,""^[^｜]+""),"""")&amp;""_"&amp;"""&amp;IFERROR(REGEXEXTRACT($N41,""^[^｜]+""),""""),
       IFERROR(REGEXEXTRACT($N41,""^[^｜]+""),"""")&amp;""_""&amp;IFERROR(REGEXEXTRACT($M41,""^[^｜]+""),"""")
      )
     ),
     sy_mst!$A:$A,
     sy_mst!$E:$E
    ),
    0
   )
  )
  *
  IFERROR(XLOOKUP(REGEXEXTR"&amp;"ACT($I41,""^[^｜]+""),ms_mst!$A:$A,ms_mst!$M:$M),1)
  *
  IF(
   $B41&gt;=IFERROR(XLOOKUP(REGEXEXTRACT($L41,""^[^｜]+""),sk_mst!$A:$A,sk_mst!$M:$M),999),
   IFERROR(XLOOKUP(REGEXEXTRACT($L41,""^[^｜]+""),sk_mst!$A:$A,sk_mst!$G:$G),1),
   1
  )
 )
)"),300.0)</f>
        <v>300</v>
      </c>
      <c r="Q41" s="25">
        <f>IFERROR(__xludf.DUMMYFUNCTION("IF($A41="""","""",
 IF($F41=""market"",
  IFERROR(XLOOKUP(REGEXEXTRACT($J41,""^[^｜]+""),tr_mst!$A:$A,tr_mst!$F:$F),0)
  +IFERROR(XLOOKUP(REGEXEXTRACT($K41,""^[^｜]+""),tc_mst!$A:$A,tc_mst!$F:$F),0),
  IF($B41=0,
   IFERROR(XLOOKUP(REGEXEXTRACT($I41,""^[^｜]"&amp;"+""),ms_mst!$A:$A,ms_mst!$F:$F),0),
   IFERROR(XLOOKUP(""T""&amp;($B41-1)&amp;""_""&amp;$D41,$A:$A,$Q:$Q),0)
  )
  +IFERROR(XLOOKUP(REGEXEXTRACT($J41,""^[^｜]+""),tr_mst!$A:$A,tr_mst!$F:$F),0)
  +IFERROR(XLOOKUP(REGEXEXTRACT($K41,""^[^｜]+""),tc_mst!$A:$A,tc_mst!$F:$F)"&amp;",0)
  +
  (
   IFERROR(XLOOKUP(REGEXEXTRACT($M41,""^[^｜]+""),ac_mst!$A:$A,ac_mst!$I:$I),0)
   +IFERROR(XLOOKUP(REGEXEXTRACT($N41,""^[^｜]+""),ac_mst!$A:$A,ac_mst!$I:$I),0)
   +IFERROR(
    XLOOKUP(
     IF(
      OR(
       IFERROR(REGEXEXTRACT($M41,""^[^｜"&amp;"]+""),"""")="""",
       IFERROR(REGEXEXTRACT($N41,""^[^｜]+""),"""")=""""
      ),
      """",
      IF(
       IFERROR(REGEXEXTRACT($M41,""^[^｜]+""),"""")&lt;IFERROR(REGEXEXTRACT($N41,""^[^｜]+""),""""),
       IFERROR(REGEXEXTRACT($M41,""^[^｜]+""),"""")&amp;""_"&amp;"""&amp;IFERROR(REGEXEXTRACT($N41,""^[^｜]+""),""""),
       IFERROR(REGEXEXTRACT($N41,""^[^｜]+""),"""")&amp;""_""&amp;IFERROR(REGEXEXTRACT($M41,""^[^｜]+""),"""")
      )
     ),
     sy_mst!$A:$A,
     sy_mst!$F:$F
    ),
    0
   )
  )
  *
  IFERROR(XLOOKUP(REGEXEXTR"&amp;"ACT($I41,""^[^｜]+""),ms_mst!$A:$A,ms_mst!$N:$N),1)
  *
  IF(
   $B41&gt;=IFERROR(XLOOKUP(REGEXEXTRACT($L41,""^[^｜]+""),sk_mst!$A:$A,sk_mst!$M:$M),999),
   IFERROR(XLOOKUP(REGEXEXTRACT($L41,""^[^｜]+""),sk_mst!$A:$A,sk_mst!$H:$H),1),
   1
  )
 )
)"),0.0)</f>
        <v>0</v>
      </c>
      <c r="R41" s="25">
        <f>IFERROR(__xludf.DUMMYFUNCTION("IF($A41="""","""",
 IF($F41=""market"",
  IFERROR(XLOOKUP(REGEXEXTRACT($J41,""^[^｜]+""),tr_mst!$A:$A,tr_mst!$G:$G),0)
  +IFERROR(XLOOKUP(REGEXEXTRACT($K41,""^[^｜]+""),tc_mst!$A:$A,tc_mst!$G:$G),0),
  IF($B41=0,
   IFERROR(XLOOKUP(REGEXEXTRACT($I41,""^[^｜]"&amp;"+""),ms_mst!$A:$A,ms_mst!$G:$G),0),
   IFERROR(XLOOKUP(""T""&amp;($B41-1)&amp;""_""&amp;$D41,$A:$A,$R:$R),0)
  )
  +IFERROR(XLOOKUP(REGEXEXTRACT($J41,""^[^｜]+""),tr_mst!$A:$A,tr_mst!$G:$G),0)
  +IFERROR(XLOOKUP(REGEXEXTRACT($K41,""^[^｜]+""),tc_mst!$A:$A,tc_mst!$G:$G)"&amp;",0)
  +
  (
   IFERROR(XLOOKUP(REGEXEXTRACT($M41,""^[^｜]+""),ac_mst!$A:$A,ac_mst!$J:$J),0)
   +IFERROR(XLOOKUP(REGEXEXTRACT($N41,""^[^｜]+""),ac_mst!$A:$A,ac_mst!$J:$J),0)
   +IFERROR(
    XLOOKUP(
     IF(
      OR(
       IFERROR(REGEXEXTRACT($M41,""^[^｜"&amp;"]+""),"""")="""",
       IFERROR(REGEXEXTRACT($N41,""^[^｜]+""),"""")=""""
      ),
      """",
      IF(
       IFERROR(REGEXEXTRACT($M41,""^[^｜]+""),"""")&lt;IFERROR(REGEXEXTRACT($N41,""^[^｜]+""),""""),
       IFERROR(REGEXEXTRACT($M41,""^[^｜]+""),"""")&amp;""_"&amp;"""&amp;IFERROR(REGEXEXTRACT($N41,""^[^｜]+""),""""),
       IFERROR(REGEXEXTRACT($N41,""^[^｜]+""),"""")&amp;""_""&amp;IFERROR(REGEXEXTRACT($M41,""^[^｜]+""),"""")
      )
     ),
     sy_mst!$A:$A,
     sy_mst!$G:$G
    ),
    0
   )
  )
  *
  IFERROR(XLOOKUP(REGEXEXTR"&amp;"ACT($I41,""^[^｜]+""),ms_mst!$A:$A,ms_mst!$O:$O),1)
  *
  IF(
   $B41&gt;=IFERROR(XLOOKUP(REGEXEXTRACT($L41,""^[^｜]+""),sk_mst!$A:$A,sk_mst!$M:$M),999),
   IFERROR(XLOOKUP(REGEXEXTRACT($L41,""^[^｜]+""),sk_mst!$A:$A,sk_mst!$I:$I),1),
   1
  )
 )
)"),0.02)</f>
        <v>0.02</v>
      </c>
      <c r="S41" s="25">
        <f>IFERROR(__xludf.DUMMYFUNCTION("IF($A41="""","""",
 IF($F41=""market"",
  IFERROR(XLOOKUP(REGEXEXTRACT($J41,""^[^｜]+""),tr_mst!$A:$A,tr_mst!$H:$H),0)
  +IFERROR(XLOOKUP(REGEXEXTRACT($K41,""^[^｜]+""),tc_mst!$A:$A,tc_mst!$H:$H),0),
  IF($B41=0,
   IFERROR(XLOOKUP(REGEXEXTRACT($I41,""^[^｜]"&amp;"+""),ms_mst!$A:$A,ms_mst!$H:$H),0),
   IFERROR(XLOOKUP(""T""&amp;($B41-1)&amp;""_""&amp;$D41,$A:$A,$S:$S),0)
  )
  +IFERROR(XLOOKUP(REGEXEXTRACT($J41,""^[^｜]+""),tr_mst!$A:$A,tr_mst!$H:$H),0)
  +IFERROR(XLOOKUP(REGEXEXTRACT($K41,""^[^｜]+""),tc_mst!$A:$A,tc_mst!$H:$H)"&amp;",0)
  +
  (
   IFERROR(XLOOKUP(REGEXEXTRACT($M41,""^[^｜]+""),ac_mst!$A:$A,ac_mst!$K:$K),0)
   +IFERROR(XLOOKUP(REGEXEXTRACT($N41,""^[^｜]+""),ac_mst!$A:$A,ac_mst!$K:$K),0)
   +IFERROR(
    XLOOKUP(
     IF(
      OR(
       IFERROR(REGEXEXTRACT($M41,""^[^｜"&amp;"]+""),"""")="""",
       IFERROR(REGEXEXTRACT($N41,""^[^｜]+""),"""")=""""
      ),
      """",
      IF(
       IFERROR(REGEXEXTRACT($M41,""^[^｜]+""),"""")&lt;IFERROR(REGEXEXTRACT($N41,""^[^｜]+""),""""),
       IFERROR(REGEXEXTRACT($M41,""^[^｜]+""),"""")&amp;""_"&amp;"""&amp;IFERROR(REGEXEXTRACT($N41,""^[^｜]+""),""""),
       IFERROR(REGEXEXTRACT($N41,""^[^｜]+""),"""")&amp;""_""&amp;IFERROR(REGEXEXTRACT($M41,""^[^｜]+""),"""")
      )
     ),
     sy_mst!$A:$A,
     sy_mst!$H:$H
    ),
    0
   )
  )
  *
  IFERROR(XLOOKUP(REGEXEXTR"&amp;"ACT($I41,""^[^｜]+""),ms_mst!$A:$A,ms_mst!$P:$P),1)
  *
  IF(
   $B41&gt;=IFERROR(XLOOKUP(REGEXEXTRACT($L41,""^[^｜]+""),sk_mst!$A:$A,sk_mst!$M:$M),999),
   IFERROR(XLOOKUP(REGEXEXTRACT($L41,""^[^｜]+""),sk_mst!$A:$A,sk_mst!$J:$J),1),
   1
  )
 )
)"),7.999999999999999E-4)</f>
        <v>0.0008</v>
      </c>
      <c r="T41" s="25">
        <f>IFERROR(__xludf.DUMMYFUNCTION("IF($A41="""","""",
 IF($F41=""market"",
  IFERROR(XLOOKUP(REGEXEXTRACT($J41,""^[^｜]+""),tr_mst!$A:$A,tr_mst!$I:$I),0)
  +IFERROR(XLOOKUP(REGEXEXTRACT($K41,""^[^｜]+""),tc_mst!$A:$A,tc_mst!$I:$I),0),
  IF($B41=0,
   IFERROR(XLOOKUP(REGEXEXTRACT($I41,""^[^｜]"&amp;"+""),ms_mst!$A:$A,ms_mst!$I:$I),0),
   IFERROR(XLOOKUP(""T""&amp;($B41-1)&amp;""_""&amp;$D41,$A:$A,$T:$T),0)
  )
  +IFERROR(XLOOKUP(REGEXEXTRACT($J41,""^[^｜]+""),tr_mst!$A:$A,tr_mst!$I:$I),0)
  +IFERROR(XLOOKUP(REGEXEXTRACT($K41,""^[^｜]+""),tc_mst!$A:$A,tc_mst!$I:$I)"&amp;",0)
  +
  (
   IFERROR(XLOOKUP(REGEXEXTRACT($M41,""^[^｜]+""),ac_mst!$A:$A,ac_mst!$L:$L),0)
   +IFERROR(XLOOKUP(REGEXEXTRACT($N41,""^[^｜]+""),ac_mst!$A:$A,ac_mst!$L:$L),0)
   +IFERROR(
    XLOOKUP(
     IF(
      OR(
       IFERROR(REGEXEXTRACT($M41,""^[^｜"&amp;"]+""),"""")="""",
       IFERROR(REGEXEXTRACT($N41,""^[^｜]+""),"""")=""""
      ),
      """",
      IF(
       IFERROR(REGEXEXTRACT($M41,""^[^｜]+""),"""")&lt;IFERROR(REGEXEXTRACT($N41,""^[^｜]+""),""""),
       IFERROR(REGEXEXTRACT($M41,""^[^｜]+""),"""")&amp;""_"&amp;"""&amp;IFERROR(REGEXEXTRACT($N41,""^[^｜]+""),""""),
       IFERROR(REGEXEXTRACT($N41,""^[^｜]+""),"""")&amp;""_""&amp;IFERROR(REGEXEXTRACT($M41,""^[^｜]+""),"""")
      )
     ),
     sy_mst!$A:$A,
     sy_mst!$I:$I
    ),
    0
   )
  )
  *
  IFERROR(XLOOKUP(REGEXEXTR"&amp;"ACT($I41,""^[^｜]+""),ms_mst!$A:$A,ms_mst!$Q:$Q),1)
  *
  IF(
   $B41&gt;=IFERROR(XLOOKUP(REGEXEXTRACT($L41,""^[^｜]+""),sk_mst!$A:$A,sk_mst!$M:$M),999),
   IFERROR(XLOOKUP(REGEXEXTRACT($L41,""^[^｜]+""),sk_mst!$A:$A,sk_mst!$K:$K),1),
   1
  )
 )
)"),200.0)</f>
        <v>200</v>
      </c>
      <c r="U41" s="25">
        <f>IFERROR(__xludf.DUMMYFUNCTION("IF($A41="""","""",
 IF($F41=""market"",
  IFERROR(XLOOKUP(REGEXEXTRACT($J41,""^[^｜]+""),tr_mst!$A:$A,tr_mst!$J:$J),0)
  +IFERROR(XLOOKUP(REGEXEXTRACT($K41,""^[^｜]+""),tc_mst!$A:$A,tc_mst!$J:$J),0),
  IF($B41=0,
   IFERROR(XLOOKUP(REGEXEXTRACT($I41,""^[^｜]"&amp;"+""),ms_mst!$A:$A,ms_mst!$J:$J),0),
   IFERROR(XLOOKUP(""T""&amp;($B41-1)&amp;""_""&amp;$D41,$A:$A,$U:$U),0)
  )
  +IFERROR(XLOOKUP(REGEXEXTRACT($J41,""^[^｜]+""),tr_mst!$A:$A,tr_mst!$J:$J),0)
  +IFERROR(XLOOKUP(REGEXEXTRACT($K41,""^[^｜]+""),tc_mst!$A:$A,tc_mst!$J:$J)"&amp;",0)
  +
  (
   IFERROR(XLOOKUP(REGEXEXTRACT($M41,""^[^｜]+""),ac_mst!$A:$A,ac_mst!$M:$M),0)
   +IFERROR(XLOOKUP(REGEXEXTRACT($N41,""^[^｜]+""),ac_mst!$A:$A,ac_mst!$M:$M),0)
   +IFERROR(
    XLOOKUP(
     IF(
      OR(
       IFERROR(REGEXEXTRACT($M41,""^[^｜"&amp;"]+""),"""")="""",
       IFERROR(REGEXEXTRACT($N41,""^[^｜]+""),"""")=""""
      ),
      """",
      IF(
       IFERROR(REGEXEXTRACT($M41,""^[^｜]+""),"""")&lt;IFERROR(REGEXEXTRACT($N41,""^[^｜]+""),""""),
       IFERROR(REGEXEXTRACT($M41,""^[^｜]+""),"""")&amp;""_"&amp;"""&amp;IFERROR(REGEXEXTRACT($N41,""^[^｜]+""),""""),
       IFERROR(REGEXEXTRACT($N41,""^[^｜]+""),"""")&amp;""_""&amp;IFERROR(REGEXEXTRACT($M41,""^[^｜]+""),"""")
      )
     ),
     sy_mst!$A:$A,
     sy_mst!$J:$J
    ),
    0
   )
  )
  *
  IFERROR(XLOOKUP(REGEXEXTR"&amp;"ACT($I41,""^[^｜]+""),ms_mst!$A:$A,ms_mst!$R:$R),1)
  *
  IF(
   $B41&gt;=IFERROR(XLOOKUP(REGEXEXTRACT($L41,""^[^｜]+""),sk_mst!$A:$A,sk_mst!$M:$M),999),
   IFERROR(XLOOKUP(REGEXEXTRACT($L41,""^[^｜]+""),sk_mst!$A:$A,sk_mst!$L:$L),1),
   1
  )
 )
)"),0.0)</f>
        <v>0</v>
      </c>
      <c r="V41" s="25" t="str">
        <f t="shared" si="1"/>
        <v/>
      </c>
      <c r="W41" s="25" t="str">
        <f t="shared" si="2"/>
        <v/>
      </c>
      <c r="X41" s="25" t="str">
        <f t="shared" si="3"/>
        <v/>
      </c>
      <c r="Y41" s="25" t="str">
        <f t="shared" si="4"/>
        <v/>
      </c>
      <c r="Z41" s="25" t="str">
        <f>IFERROR(__xludf.DUMMYFUNCTION("IF($A41="""","""",
 IF($F41&lt;&gt;""player"","""",
  IFERROR(
   RANK(
    $X41,
    FILTER($X:$X,$B:$B=$B41,$F:$F=""player"",$X:$X&lt;&gt;""""),
    0
   ),
   """"
  )
 )
)"),"")</f>
        <v/>
      </c>
      <c r="AA41" s="25" t="str">
        <f t="shared" si="5"/>
        <v/>
      </c>
      <c r="AB41" s="26" t="str">
        <f t="shared" si="6"/>
        <v/>
      </c>
    </row>
    <row r="42">
      <c r="A42" s="25" t="s">
        <v>215</v>
      </c>
      <c r="B42" s="14">
        <v>3.0</v>
      </c>
      <c r="C42" s="14" t="s">
        <v>151</v>
      </c>
      <c r="D42" s="14" t="s">
        <v>152</v>
      </c>
      <c r="E42" s="25" t="s">
        <v>153</v>
      </c>
      <c r="F42" s="25" t="s">
        <v>154</v>
      </c>
      <c r="I42" s="25" t="str">
        <f>IFERROR(__xludf.DUMMYFUNCTION("IF($F42&lt;&gt;""player"","""",IFERROR(INDEX(FILTER(group_setup!$D$2:$D947,group_setup!$B$2:$B947=$C42,group_setup!$G$2:$G947=TRUE,group_setup!$H$2:$H947=""completed""),1),""""))"),"M03")</f>
        <v>M03</v>
      </c>
      <c r="J42" s="25" t="str">
        <f>IFERROR(__xludf.DUMMYFUNCTION("IFERROR(FILTER(market_event_log!$D$2:$D947,market_event_log!$C$2:$C947=$B42,market_event_log!$N$2:$N947=""active""),"""")"),"T03")</f>
        <v>T03</v>
      </c>
      <c r="K42" s="25" t="str">
        <f>IFERROR(__xludf.DUMMYFUNCTION("IFERROR(FILTER(market_event_log!$G$2:$G947,market_event_log!$C$2:$C947=$B42,market_event_log!$N$2:$N947=""active""),"""")"),"C03")</f>
        <v>C03</v>
      </c>
      <c r="L42" s="25" t="str">
        <f>IFERROR(__xludf.DUMMYFUNCTION("IF($F42&lt;&gt;""player"","""",IFERROR(INDEX(FILTER(group_setup!$E$2:$E947,group_setup!$B$2:$B947=$C42,group_setup!$G$2:$G947=TRUE,group_setup!$H$2:$H947=""completed""),1),""""))"),"S02")</f>
        <v>S02</v>
      </c>
      <c r="M42" s="25" t="str">
        <f>IFERROR(__xludf.DUMMYFUNCTION("IF($F42=""market"","""",IF($E42=""HUMAN"",IFERROR(FILTER(turn_log!$G$2:$G947,turn_log!$C$2:$C947=$B42,turn_log!$D$2:$D947=$C42,turn_log!$F$2:$F947=$E42),""""),IFERROR(FILTER(turn_log!$I$2:$I947,turn_log!$C$2:$C947=$B42,turn_log!$D$2:$D947=$C42,turn_log!$F"&amp;"$2:$F947=$E42),"""")))"),"A05")</f>
        <v>A05</v>
      </c>
      <c r="N42" s="25" t="str">
        <f>IFERROR(__xludf.DUMMYFUNCTION("IF($F42=""market"","""",IF($E42=""HUMAN"",IFERROR(FILTER(turn_log!$H$2:$H947,turn_log!$C$2:$C947=$B42,turn_log!$D$2:$D947=$C42,turn_log!$F$2:$F947=$E42),""""),IFERROR(FILTER(turn_log!$J$2:$J947,turn_log!$C$2:$C947=$B42,turn_log!$D$2:$D947=$C42,turn_log!$F"&amp;"$2:$F947=$E42),"""")))"),"A16")</f>
        <v>A16</v>
      </c>
      <c r="O42" s="25">
        <f>IFERROR(__xludf.DUMMYFUNCTION("IF($A42="""","""",
 IF($F42=""market"",
  IFERROR(XLOOKUP(REGEXEXTRACT($J42,""^[^｜]+""),tr_mst!$A:$A,tr_mst!$D:$D),0)
  +IFERROR(XLOOKUP(REGEXEXTRACT($K42,""^[^｜]+""),tc_mst!$A:$A,tc_mst!$D:$D),0),
  IF($B42=0,
   IFERROR(XLOOKUP(REGEXEXTRACT($I42,""^[^｜]"&amp;"+""),ms_mst!$A:$A,ms_mst!$D:$D),0),
   IFERROR(XLOOKUP(""T""&amp;($B42-1)&amp;""_""&amp;$D42,$A:$A,$O:$O),0)
  )
  +IFERROR(XLOOKUP(REGEXEXTRACT($J42,""^[^｜]+""),tr_mst!$A:$A,tr_mst!$D:$D),0)
  +IFERROR(XLOOKUP(REGEXEXTRACT($K42,""^[^｜]+""),tc_mst!$A:$A,tc_mst!$D:$D)"&amp;",0)
  +
  (
   IFERROR(XLOOKUP(REGEXEXTRACT($M42,""^[^｜]+""),ac_mst!$A:$A,ac_mst!$G:$G),0)
   +IFERROR(XLOOKUP(REGEXEXTRACT($N42,""^[^｜]+""),ac_mst!$A:$A,ac_mst!$G:$G),0)
   +IFERROR(
    XLOOKUP(
     IF(
      OR(
       IFERROR(REGEXEXTRACT($M42,""^[^｜"&amp;"]+""),"""")="""",
       IFERROR(REGEXEXTRACT($N42,""^[^｜]+""),"""")=""""
      ),
      """",
      IF(
       IFERROR(REGEXEXTRACT($M42,""^[^｜]+""),"""")&lt;IFERROR(REGEXEXTRACT($N42,""^[^｜]+""),""""),
       IFERROR(REGEXEXTRACT($M42,""^[^｜]+""),"""")&amp;""_"&amp;"""&amp;IFERROR(REGEXEXTRACT($N42,""^[^｜]+""),""""),
       IFERROR(REGEXEXTRACT($N42,""^[^｜]+""),"""")&amp;""_""&amp;IFERROR(REGEXEXTRACT($M42,""^[^｜]+""),"""")
      )
     ),
     sy_mst!$A:$A,
     sy_mst!$D:$D
    ),
    0
   )
  )
  *
  IFERROR(XLOOKUP(REGEXEXTR"&amp;"ACT($I42,""^[^｜]+""),ms_mst!$A:$A,ms_mst!$L:$L),1)
  *
  IF(
   $B42&gt;=IFERROR(XLOOKUP(REGEXEXTRACT($L42,""^[^｜]+""),sk_mst!$A:$A,sk_mst!$M:$M),999),
   IFERROR(XLOOKUP(REGEXEXTRACT($L42,""^[^｜]+""),sk_mst!$A:$A,sk_mst!$F:$F),1),
   1
  )
 )
)"),13075.0)</f>
        <v>13075</v>
      </c>
      <c r="P42" s="25">
        <f>IFERROR(__xludf.DUMMYFUNCTION("IF($A42="""","""",
 IF($F42=""market"",
  IFERROR(XLOOKUP(REGEXEXTRACT($J42,""^[^｜]+""),tr_mst!$A:$A,tr_mst!$E:$E),0)
  +IFERROR(XLOOKUP(REGEXEXTRACT($K42,""^[^｜]+""),tc_mst!$A:$A,tc_mst!$E:$E),0),
  IF($B42=0,
   IFERROR(XLOOKUP(REGEXEXTRACT($I42,""^[^｜]"&amp;"+""),ms_mst!$A:$A,ms_mst!$E:$E),0),
   IFERROR(XLOOKUP(""T""&amp;($B42-1)&amp;""_""&amp;$D42,$A:$A,$P:$P),0)
  )
  +IFERROR(XLOOKUP(REGEXEXTRACT($J42,""^[^｜]+""),tr_mst!$A:$A,tr_mst!$E:$E),0)
  +IFERROR(XLOOKUP(REGEXEXTRACT($K42,""^[^｜]+""),tc_mst!$A:$A,tc_mst!$E:$E)"&amp;",0)
  +
  (
   IFERROR(XLOOKUP(REGEXEXTRACT($M42,""^[^｜]+""),ac_mst!$A:$A,ac_mst!$H:$H),0)
   +IFERROR(XLOOKUP(REGEXEXTRACT($N42,""^[^｜]+""),ac_mst!$A:$A,ac_mst!$H:$H),0)
   +IFERROR(
    XLOOKUP(
     IF(
      OR(
       IFERROR(REGEXEXTRACT($M42,""^[^｜"&amp;"]+""),"""")="""",
       IFERROR(REGEXEXTRACT($N42,""^[^｜]+""),"""")=""""
      ),
      """",
      IF(
       IFERROR(REGEXEXTRACT($M42,""^[^｜]+""),"""")&lt;IFERROR(REGEXEXTRACT($N42,""^[^｜]+""),""""),
       IFERROR(REGEXEXTRACT($M42,""^[^｜]+""),"""")&amp;""_"&amp;"""&amp;IFERROR(REGEXEXTRACT($N42,""^[^｜]+""),""""),
       IFERROR(REGEXEXTRACT($N42,""^[^｜]+""),"""")&amp;""_""&amp;IFERROR(REGEXEXTRACT($M42,""^[^｜]+""),"""")
      )
     ),
     sy_mst!$A:$A,
     sy_mst!$E:$E
    ),
    0
   )
  )
  *
  IFERROR(XLOOKUP(REGEXEXTR"&amp;"ACT($I42,""^[^｜]+""),ms_mst!$A:$A,ms_mst!$M:$M),1)
  *
  IF(
   $B42&gt;=IFERROR(XLOOKUP(REGEXEXTRACT($L42,""^[^｜]+""),sk_mst!$A:$A,sk_mst!$M:$M),999),
   IFERROR(XLOOKUP(REGEXEXTRACT($L42,""^[^｜]+""),sk_mst!$A:$A,sk_mst!$G:$G),1),
   1
  )
 )
)"),1700.0)</f>
        <v>1700</v>
      </c>
      <c r="Q42" s="25">
        <f>IFERROR(__xludf.DUMMYFUNCTION("IF($A42="""","""",
 IF($F42=""market"",
  IFERROR(XLOOKUP(REGEXEXTRACT($J42,""^[^｜]+""),tr_mst!$A:$A,tr_mst!$F:$F),0)
  +IFERROR(XLOOKUP(REGEXEXTRACT($K42,""^[^｜]+""),tc_mst!$A:$A,tc_mst!$F:$F),0),
  IF($B42=0,
   IFERROR(XLOOKUP(REGEXEXTRACT($I42,""^[^｜]"&amp;"+""),ms_mst!$A:$A,ms_mst!$F:$F),0),
   IFERROR(XLOOKUP(""T""&amp;($B42-1)&amp;""_""&amp;$D42,$A:$A,$Q:$Q),0)
  )
  +IFERROR(XLOOKUP(REGEXEXTRACT($J42,""^[^｜]+""),tr_mst!$A:$A,tr_mst!$F:$F),0)
  +IFERROR(XLOOKUP(REGEXEXTRACT($K42,""^[^｜]+""),tc_mst!$A:$A,tc_mst!$F:$F)"&amp;",0)
  +
  (
   IFERROR(XLOOKUP(REGEXEXTRACT($M42,""^[^｜]+""),ac_mst!$A:$A,ac_mst!$I:$I),0)
   +IFERROR(XLOOKUP(REGEXEXTRACT($N42,""^[^｜]+""),ac_mst!$A:$A,ac_mst!$I:$I),0)
   +IFERROR(
    XLOOKUP(
     IF(
      OR(
       IFERROR(REGEXEXTRACT($M42,""^[^｜"&amp;"]+""),"""")="""",
       IFERROR(REGEXEXTRACT($N42,""^[^｜]+""),"""")=""""
      ),
      """",
      IF(
       IFERROR(REGEXEXTRACT($M42,""^[^｜]+""),"""")&lt;IFERROR(REGEXEXTRACT($N42,""^[^｜]+""),""""),
       IFERROR(REGEXEXTRACT($M42,""^[^｜]+""),"""")&amp;""_"&amp;"""&amp;IFERROR(REGEXEXTRACT($N42,""^[^｜]+""),""""),
       IFERROR(REGEXEXTRACT($N42,""^[^｜]+""),"""")&amp;""_""&amp;IFERROR(REGEXEXTRACT($M42,""^[^｜]+""),"""")
      )
     ),
     sy_mst!$A:$A,
     sy_mst!$F:$F
    ),
    0
   )
  )
  *
  IFERROR(XLOOKUP(REGEXEXTR"&amp;"ACT($I42,""^[^｜]+""),ms_mst!$A:$A,ms_mst!$N:$N),1)
  *
  IF(
   $B42&gt;=IFERROR(XLOOKUP(REGEXEXTRACT($L42,""^[^｜]+""),sk_mst!$A:$A,sk_mst!$M:$M),999),
   IFERROR(XLOOKUP(REGEXEXTRACT($L42,""^[^｜]+""),sk_mst!$A:$A,sk_mst!$H:$H),1),
   1
  )
 )
)"),0.45)</f>
        <v>0.45</v>
      </c>
      <c r="R42" s="25">
        <f>IFERROR(__xludf.DUMMYFUNCTION("IF($A42="""","""",
 IF($F42=""market"",
  IFERROR(XLOOKUP(REGEXEXTRACT($J42,""^[^｜]+""),tr_mst!$A:$A,tr_mst!$G:$G),0)
  +IFERROR(XLOOKUP(REGEXEXTRACT($K42,""^[^｜]+""),tc_mst!$A:$A,tc_mst!$G:$G),0),
  IF($B42=0,
   IFERROR(XLOOKUP(REGEXEXTRACT($I42,""^[^｜]"&amp;"+""),ms_mst!$A:$A,ms_mst!$G:$G),0),
   IFERROR(XLOOKUP(""T""&amp;($B42-1)&amp;""_""&amp;$D42,$A:$A,$R:$R),0)
  )
  +IFERROR(XLOOKUP(REGEXEXTRACT($J42,""^[^｜]+""),tr_mst!$A:$A,tr_mst!$G:$G),0)
  +IFERROR(XLOOKUP(REGEXEXTRACT($K42,""^[^｜]+""),tc_mst!$A:$A,tc_mst!$G:$G)"&amp;",0)
  +
  (
   IFERROR(XLOOKUP(REGEXEXTRACT($M42,""^[^｜]+""),ac_mst!$A:$A,ac_mst!$J:$J),0)
   +IFERROR(XLOOKUP(REGEXEXTRACT($N42,""^[^｜]+""),ac_mst!$A:$A,ac_mst!$J:$J),0)
   +IFERROR(
    XLOOKUP(
     IF(
      OR(
       IFERROR(REGEXEXTRACT($M42,""^[^｜"&amp;"]+""),"""")="""",
       IFERROR(REGEXEXTRACT($N42,""^[^｜]+""),"""")=""""
      ),
      """",
      IF(
       IFERROR(REGEXEXTRACT($M42,""^[^｜]+""),"""")&lt;IFERROR(REGEXEXTRACT($N42,""^[^｜]+""),""""),
       IFERROR(REGEXEXTRACT($M42,""^[^｜]+""),"""")&amp;""_"&amp;"""&amp;IFERROR(REGEXEXTRACT($N42,""^[^｜]+""),""""),
       IFERROR(REGEXEXTRACT($N42,""^[^｜]+""),"""")&amp;""_""&amp;IFERROR(REGEXEXTRACT($M42,""^[^｜]+""),"""")
      )
     ),
     sy_mst!$A:$A,
     sy_mst!$G:$G
    ),
    0
   )
  )
  *
  IFERROR(XLOOKUP(REGEXEXTR"&amp;"ACT($I42,""^[^｜]+""),ms_mst!$A:$A,ms_mst!$O:$O),1)
  *
  IF(
   $B42&gt;=IFERROR(XLOOKUP(REGEXEXTRACT($L42,""^[^｜]+""),sk_mst!$A:$A,sk_mst!$M:$M),999),
   IFERROR(XLOOKUP(REGEXEXTRACT($L42,""^[^｜]+""),sk_mst!$A:$A,sk_mst!$I:$I),1),
   1
  )
 )
)"),1.8719999999999999)</f>
        <v>1.872</v>
      </c>
      <c r="S42" s="25">
        <f>IFERROR(__xludf.DUMMYFUNCTION("IF($A42="""","""",
 IF($F42=""market"",
  IFERROR(XLOOKUP(REGEXEXTRACT($J42,""^[^｜]+""),tr_mst!$A:$A,tr_mst!$H:$H),0)
  +IFERROR(XLOOKUP(REGEXEXTRACT($K42,""^[^｜]+""),tc_mst!$A:$A,tc_mst!$H:$H),0),
  IF($B42=0,
   IFERROR(XLOOKUP(REGEXEXTRACT($I42,""^[^｜]"&amp;"+""),ms_mst!$A:$A,ms_mst!$H:$H),0),
   IFERROR(XLOOKUP(""T""&amp;($B42-1)&amp;""_""&amp;$D42,$A:$A,$S:$S),0)
  )
  +IFERROR(XLOOKUP(REGEXEXTRACT($J42,""^[^｜]+""),tr_mst!$A:$A,tr_mst!$H:$H),0)
  +IFERROR(XLOOKUP(REGEXEXTRACT($K42,""^[^｜]+""),tc_mst!$A:$A,tc_mst!$H:$H)"&amp;",0)
  +
  (
   IFERROR(XLOOKUP(REGEXEXTRACT($M42,""^[^｜]+""),ac_mst!$A:$A,ac_mst!$K:$K),0)
   +IFERROR(XLOOKUP(REGEXEXTRACT($N42,""^[^｜]+""),ac_mst!$A:$A,ac_mst!$K:$K),0)
   +IFERROR(
    XLOOKUP(
     IF(
      OR(
       IFERROR(REGEXEXTRACT($M42,""^[^｜"&amp;"]+""),"""")="""",
       IFERROR(REGEXEXTRACT($N42,""^[^｜]+""),"""")=""""
      ),
      """",
      IF(
       IFERROR(REGEXEXTRACT($M42,""^[^｜]+""),"""")&lt;IFERROR(REGEXEXTRACT($N42,""^[^｜]+""),""""),
       IFERROR(REGEXEXTRACT($M42,""^[^｜]+""),"""")&amp;""_"&amp;"""&amp;IFERROR(REGEXEXTRACT($N42,""^[^｜]+""),""""),
       IFERROR(REGEXEXTRACT($N42,""^[^｜]+""),"""")&amp;""_""&amp;IFERROR(REGEXEXTRACT($M42,""^[^｜]+""),"""")
      )
     ),
     sy_mst!$A:$A,
     sy_mst!$H:$H
    ),
    0
   )
  )
  *
  IFERROR(XLOOKUP(REGEXEXTR"&amp;"ACT($I42,""^[^｜]+""),ms_mst!$A:$A,ms_mst!$P:$P),1)
  *
  IF(
   $B42&gt;=IFERROR(XLOOKUP(REGEXEXTRACT($L42,""^[^｜]+""),sk_mst!$A:$A,sk_mst!$M:$M),999),
   IFERROR(XLOOKUP(REGEXEXTRACT($L42,""^[^｜]+""),sk_mst!$A:$A,sk_mst!$J:$J),1),
   1
  )
 )
)"),0.01575)</f>
        <v>0.01575</v>
      </c>
      <c r="T42" s="25">
        <f>IFERROR(__xludf.DUMMYFUNCTION("IF($A42="""","""",
 IF($F42=""market"",
  IFERROR(XLOOKUP(REGEXEXTRACT($J42,""^[^｜]+""),tr_mst!$A:$A,tr_mst!$I:$I),0)
  +IFERROR(XLOOKUP(REGEXEXTRACT($K42,""^[^｜]+""),tc_mst!$A:$A,tc_mst!$I:$I),0),
  IF($B42=0,
   IFERROR(XLOOKUP(REGEXEXTRACT($I42,""^[^｜]"&amp;"+""),ms_mst!$A:$A,ms_mst!$I:$I),0),
   IFERROR(XLOOKUP(""T""&amp;($B42-1)&amp;""_""&amp;$D42,$A:$A,$T:$T),0)
  )
  +IFERROR(XLOOKUP(REGEXEXTRACT($J42,""^[^｜]+""),tr_mst!$A:$A,tr_mst!$I:$I),0)
  +IFERROR(XLOOKUP(REGEXEXTRACT($K42,""^[^｜]+""),tc_mst!$A:$A,tc_mst!$I:$I)"&amp;",0)
  +
  (
   IFERROR(XLOOKUP(REGEXEXTRACT($M42,""^[^｜]+""),ac_mst!$A:$A,ac_mst!$L:$L),0)
   +IFERROR(XLOOKUP(REGEXEXTRACT($N42,""^[^｜]+""),ac_mst!$A:$A,ac_mst!$L:$L),0)
   +IFERROR(
    XLOOKUP(
     IF(
      OR(
       IFERROR(REGEXEXTRACT($M42,""^[^｜"&amp;"]+""),"""")="""",
       IFERROR(REGEXEXTRACT($N42,""^[^｜]+""),"""")=""""
      ),
      """",
      IF(
       IFERROR(REGEXEXTRACT($M42,""^[^｜]+""),"""")&lt;IFERROR(REGEXEXTRACT($N42,""^[^｜]+""),""""),
       IFERROR(REGEXEXTRACT($M42,""^[^｜]+""),"""")&amp;""_"&amp;"""&amp;IFERROR(REGEXEXTRACT($N42,""^[^｜]+""),""""),
       IFERROR(REGEXEXTRACT($N42,""^[^｜]+""),"""")&amp;""_""&amp;IFERROR(REGEXEXTRACT($M42,""^[^｜]+""),"""")
      )
     ),
     sy_mst!$A:$A,
     sy_mst!$I:$I
    ),
    0
   )
  )
  *
  IFERROR(XLOOKUP(REGEXEXTR"&amp;"ACT($I42,""^[^｜]+""),ms_mst!$A:$A,ms_mst!$Q:$Q),1)
  *
  IF(
   $B42&gt;=IFERROR(XLOOKUP(REGEXEXTRACT($L42,""^[^｜]+""),sk_mst!$A:$A,sk_mst!$M:$M),999),
   IFERROR(XLOOKUP(REGEXEXTRACT($L42,""^[^｜]+""),sk_mst!$A:$A,sk_mst!$K:$K),1),
   1
  )
 )
)"),4300.0)</f>
        <v>4300</v>
      </c>
      <c r="U42" s="25">
        <f>IFERROR(__xludf.DUMMYFUNCTION("IF($A42="""","""",
 IF($F42=""market"",
  IFERROR(XLOOKUP(REGEXEXTRACT($J42,""^[^｜]+""),tr_mst!$A:$A,tr_mst!$J:$J),0)
  +IFERROR(XLOOKUP(REGEXEXTRACT($K42,""^[^｜]+""),tc_mst!$A:$A,tc_mst!$J:$J),0),
  IF($B42=0,
   IFERROR(XLOOKUP(REGEXEXTRACT($I42,""^[^｜]"&amp;"+""),ms_mst!$A:$A,ms_mst!$J:$J),0),
   IFERROR(XLOOKUP(""T""&amp;($B42-1)&amp;""_""&amp;$D42,$A:$A,$U:$U),0)
  )
  +IFERROR(XLOOKUP(REGEXEXTRACT($J42,""^[^｜]+""),tr_mst!$A:$A,tr_mst!$J:$J),0)
  +IFERROR(XLOOKUP(REGEXEXTRACT($K42,""^[^｜]+""),tc_mst!$A:$A,tc_mst!$J:$J)"&amp;",0)
  +
  (
   IFERROR(XLOOKUP(REGEXEXTRACT($M42,""^[^｜]+""),ac_mst!$A:$A,ac_mst!$M:$M),0)
   +IFERROR(XLOOKUP(REGEXEXTRACT($N42,""^[^｜]+""),ac_mst!$A:$A,ac_mst!$M:$M),0)
   +IFERROR(
    XLOOKUP(
     IF(
      OR(
       IFERROR(REGEXEXTRACT($M42,""^[^｜"&amp;"]+""),"""")="""",
       IFERROR(REGEXEXTRACT($N42,""^[^｜]+""),"""")=""""
      ),
      """",
      IF(
       IFERROR(REGEXEXTRACT($M42,""^[^｜]+""),"""")&lt;IFERROR(REGEXEXTRACT($N42,""^[^｜]+""),""""),
       IFERROR(REGEXEXTRACT($M42,""^[^｜]+""),"""")&amp;""_"&amp;"""&amp;IFERROR(REGEXEXTRACT($N42,""^[^｜]+""),""""),
       IFERROR(REGEXEXTRACT($N42,""^[^｜]+""),"""")&amp;""_""&amp;IFERROR(REGEXEXTRACT($M42,""^[^｜]+""),"""")
      )
     ),
     sy_mst!$A:$A,
     sy_mst!$J:$J
    ),
    0
   )
  )
  *
  IFERROR(XLOOKUP(REGEXEXTR"&amp;"ACT($I42,""^[^｜]+""),ms_mst!$A:$A,ms_mst!$R:$R),1)
  *
  IF(
   $B42&gt;=IFERROR(XLOOKUP(REGEXEXTRACT($L42,""^[^｜]+""),sk_mst!$A:$A,sk_mst!$M:$M),999),
   IFERROR(XLOOKUP(REGEXEXTRACT($L42,""^[^｜]+""),sk_mst!$A:$A,sk_mst!$L:$L),1),
   1
  )
 )
)"),45.0)</f>
        <v>45</v>
      </c>
      <c r="V42" s="25">
        <f t="shared" si="1"/>
        <v>1030256</v>
      </c>
      <c r="W42" s="25">
        <f t="shared" si="2"/>
        <v>76500</v>
      </c>
      <c r="X42" s="25">
        <f t="shared" si="3"/>
        <v>953756</v>
      </c>
      <c r="Y42" s="25">
        <f t="shared" si="4"/>
        <v>13.47</v>
      </c>
      <c r="Z42" s="25">
        <f>IFERROR(__xludf.DUMMYFUNCTION("IF($A42="""","""",
 IF($F42&lt;&gt;""player"","""",
  IFERROR(
   RANK(
    $X42,
    FILTER($X:$X,$B:$B=$B42,$F:$F=""player"",$X:$X&lt;&gt;""""),
    0
   ),
   """"
  )
 )
)"),2.0)</f>
        <v>2</v>
      </c>
      <c r="AA42" s="25" t="str">
        <f t="shared" si="5"/>
        <v>2位</v>
      </c>
      <c r="AB42" s="26">
        <f t="shared" si="6"/>
        <v>1.922046569</v>
      </c>
    </row>
    <row r="43">
      <c r="A43" s="25" t="s">
        <v>216</v>
      </c>
      <c r="B43" s="14">
        <v>3.0</v>
      </c>
      <c r="C43" s="14" t="s">
        <v>156</v>
      </c>
      <c r="D43" s="14" t="s">
        <v>157</v>
      </c>
      <c r="E43" s="25" t="s">
        <v>153</v>
      </c>
      <c r="F43" s="25" t="s">
        <v>154</v>
      </c>
      <c r="I43" s="25" t="str">
        <f>IFERROR(__xludf.DUMMYFUNCTION("IF($F43&lt;&gt;""player"","""",IFERROR(INDEX(FILTER(group_setup!$D$2:$D947,group_setup!$B$2:$B947=$C43,group_setup!$G$2:$G947=TRUE,group_setup!$H$2:$H947=""completed""),1),""""))"),"M12")</f>
        <v>M12</v>
      </c>
      <c r="J43" s="25" t="str">
        <f>IFERROR(__xludf.DUMMYFUNCTION("IFERROR(FILTER(market_event_log!$D$2:$D947,market_event_log!$C$2:$C947=$B43,market_event_log!$N$2:$N947=""active""),"""")"),"T03")</f>
        <v>T03</v>
      </c>
      <c r="K43" s="25" t="str">
        <f>IFERROR(__xludf.DUMMYFUNCTION("IFERROR(FILTER(market_event_log!$G$2:$G947,market_event_log!$C$2:$C947=$B43,market_event_log!$N$2:$N947=""active""),"""")"),"C03")</f>
        <v>C03</v>
      </c>
      <c r="L43" s="25" t="str">
        <f>IFERROR(__xludf.DUMMYFUNCTION("IF($F43&lt;&gt;""player"","""",IFERROR(INDEX(FILTER(group_setup!$E$2:$E947,group_setup!$B$2:$B947=$C43,group_setup!$G$2:$G947=TRUE,group_setup!$H$2:$H947=""completed""),1),""""))"),"S02")</f>
        <v>S02</v>
      </c>
      <c r="M43" s="25" t="str">
        <f>IFERROR(__xludf.DUMMYFUNCTION("IF($F43=""market"","""",IF($E43=""HUMAN"",IFERROR(FILTER(turn_log!$G$2:$G947,turn_log!$C$2:$C947=$B43,turn_log!$D$2:$D947=$C43,turn_log!$F$2:$F947=$E43),""""),IFERROR(FILTER(turn_log!$I$2:$I947,turn_log!$C$2:$C947=$B43,turn_log!$D$2:$D947=$C43,turn_log!$F"&amp;"$2:$F947=$E43),"""")))"),"A13")</f>
        <v>A13</v>
      </c>
      <c r="N43" s="25" t="str">
        <f>IFERROR(__xludf.DUMMYFUNCTION("IF($F43=""market"","""",IF($E43=""HUMAN"",IFERROR(FILTER(turn_log!$H$2:$H947,turn_log!$C$2:$C947=$B43,turn_log!$D$2:$D947=$C43,turn_log!$F$2:$F947=$E43),""""),IFERROR(FILTER(turn_log!$J$2:$J947,turn_log!$C$2:$C947=$B43,turn_log!$D$2:$D947=$C43,turn_log!$F"&amp;"$2:$F947=$E43),"""")))"),"A23")</f>
        <v>A23</v>
      </c>
      <c r="O43" s="25">
        <f>IFERROR(__xludf.DUMMYFUNCTION("IF($A43="""","""",
 IF($F43=""market"",
  IFERROR(XLOOKUP(REGEXEXTRACT($J43,""^[^｜]+""),tr_mst!$A:$A,tr_mst!$D:$D),0)
  +IFERROR(XLOOKUP(REGEXEXTRACT($K43,""^[^｜]+""),tc_mst!$A:$A,tc_mst!$D:$D),0),
  IF($B43=0,
   IFERROR(XLOOKUP(REGEXEXTRACT($I43,""^[^｜]"&amp;"+""),ms_mst!$A:$A,ms_mst!$D:$D),0),
   IFERROR(XLOOKUP(""T""&amp;($B43-1)&amp;""_""&amp;$D43,$A:$A,$O:$O),0)
  )
  +IFERROR(XLOOKUP(REGEXEXTRACT($J43,""^[^｜]+""),tr_mst!$A:$A,tr_mst!$D:$D),0)
  +IFERROR(XLOOKUP(REGEXEXTRACT($K43,""^[^｜]+""),tc_mst!$A:$A,tc_mst!$D:$D)"&amp;",0)
  +
  (
   IFERROR(XLOOKUP(REGEXEXTRACT($M43,""^[^｜]+""),ac_mst!$A:$A,ac_mst!$G:$G),0)
   +IFERROR(XLOOKUP(REGEXEXTRACT($N43,""^[^｜]+""),ac_mst!$A:$A,ac_mst!$G:$G),0)
   +IFERROR(
    XLOOKUP(
     IF(
      OR(
       IFERROR(REGEXEXTRACT($M43,""^[^｜"&amp;"]+""),"""")="""",
       IFERROR(REGEXEXTRACT($N43,""^[^｜]+""),"""")=""""
      ),
      """",
      IF(
       IFERROR(REGEXEXTRACT($M43,""^[^｜]+""),"""")&lt;IFERROR(REGEXEXTRACT($N43,""^[^｜]+""),""""),
       IFERROR(REGEXEXTRACT($M43,""^[^｜]+""),"""")&amp;""_"&amp;"""&amp;IFERROR(REGEXEXTRACT($N43,""^[^｜]+""),""""),
       IFERROR(REGEXEXTRACT($N43,""^[^｜]+""),"""")&amp;""_""&amp;IFERROR(REGEXEXTRACT($M43,""^[^｜]+""),"""")
      )
     ),
     sy_mst!$A:$A,
     sy_mst!$D:$D
    ),
    0
   )
  )
  *
  IFERROR(XLOOKUP(REGEXEXTR"&amp;"ACT($I43,""^[^｜]+""),ms_mst!$A:$A,ms_mst!$L:$L),1)
  *
  IF(
   $B43&gt;=IFERROR(XLOOKUP(REGEXEXTRACT($L43,""^[^｜]+""),sk_mst!$A:$A,sk_mst!$M:$M),999),
   IFERROR(XLOOKUP(REGEXEXTRACT($L43,""^[^｜]+""),sk_mst!$A:$A,sk_mst!$F:$F),1),
   1
  )
 )
)"),12000.0)</f>
        <v>12000</v>
      </c>
      <c r="P43" s="25">
        <f>IFERROR(__xludf.DUMMYFUNCTION("IF($A43="""","""",
 IF($F43=""market"",
  IFERROR(XLOOKUP(REGEXEXTRACT($J43,""^[^｜]+""),tr_mst!$A:$A,tr_mst!$E:$E),0)
  +IFERROR(XLOOKUP(REGEXEXTRACT($K43,""^[^｜]+""),tc_mst!$A:$A,tc_mst!$E:$E),0),
  IF($B43=0,
   IFERROR(XLOOKUP(REGEXEXTRACT($I43,""^[^｜]"&amp;"+""),ms_mst!$A:$A,ms_mst!$E:$E),0),
   IFERROR(XLOOKUP(""T""&amp;($B43-1)&amp;""_""&amp;$D43,$A:$A,$P:$P),0)
  )
  +IFERROR(XLOOKUP(REGEXEXTRACT($J43,""^[^｜]+""),tr_mst!$A:$A,tr_mst!$E:$E),0)
  +IFERROR(XLOOKUP(REGEXEXTRACT($K43,""^[^｜]+""),tc_mst!$A:$A,tc_mst!$E:$E)"&amp;",0)
  +
  (
   IFERROR(XLOOKUP(REGEXEXTRACT($M43,""^[^｜]+""),ac_mst!$A:$A,ac_mst!$H:$H),0)
   +IFERROR(XLOOKUP(REGEXEXTRACT($N43,""^[^｜]+""),ac_mst!$A:$A,ac_mst!$H:$H),0)
   +IFERROR(
    XLOOKUP(
     IF(
      OR(
       IFERROR(REGEXEXTRACT($M43,""^[^｜"&amp;"]+""),"""")="""",
       IFERROR(REGEXEXTRACT($N43,""^[^｜]+""),"""")=""""
      ),
      """",
      IF(
       IFERROR(REGEXEXTRACT($M43,""^[^｜]+""),"""")&lt;IFERROR(REGEXEXTRACT($N43,""^[^｜]+""),""""),
       IFERROR(REGEXEXTRACT($M43,""^[^｜]+""),"""")&amp;""_"&amp;"""&amp;IFERROR(REGEXEXTRACT($N43,""^[^｜]+""),""""),
       IFERROR(REGEXEXTRACT($N43,""^[^｜]+""),"""")&amp;""_""&amp;IFERROR(REGEXEXTRACT($M43,""^[^｜]+""),"""")
      )
     ),
     sy_mst!$A:$A,
     sy_mst!$E:$E
    ),
    0
   )
  )
  *
  IFERROR(XLOOKUP(REGEXEXTR"&amp;"ACT($I43,""^[^｜]+""),ms_mst!$A:$A,ms_mst!$M:$M),1)
  *
  IF(
   $B43&gt;=IFERROR(XLOOKUP(REGEXEXTRACT($L43,""^[^｜]+""),sk_mst!$A:$A,sk_mst!$M:$M),999),
   IFERROR(XLOOKUP(REGEXEXTRACT($L43,""^[^｜]+""),sk_mst!$A:$A,sk_mst!$G:$G),1),
   1
  )
 )
)"),2700.0)</f>
        <v>2700</v>
      </c>
      <c r="Q43" s="25">
        <f>IFERROR(__xludf.DUMMYFUNCTION("IF($A43="""","""",
 IF($F43=""market"",
  IFERROR(XLOOKUP(REGEXEXTRACT($J43,""^[^｜]+""),tr_mst!$A:$A,tr_mst!$F:$F),0)
  +IFERROR(XLOOKUP(REGEXEXTRACT($K43,""^[^｜]+""),tc_mst!$A:$A,tc_mst!$F:$F),0),
  IF($B43=0,
   IFERROR(XLOOKUP(REGEXEXTRACT($I43,""^[^｜]"&amp;"+""),ms_mst!$A:$A,ms_mst!$F:$F),0),
   IFERROR(XLOOKUP(""T""&amp;($B43-1)&amp;""_""&amp;$D43,$A:$A,$Q:$Q),0)
  )
  +IFERROR(XLOOKUP(REGEXEXTRACT($J43,""^[^｜]+""),tr_mst!$A:$A,tr_mst!$F:$F),0)
  +IFERROR(XLOOKUP(REGEXEXTRACT($K43,""^[^｜]+""),tc_mst!$A:$A,tc_mst!$F:$F)"&amp;",0)
  +
  (
   IFERROR(XLOOKUP(REGEXEXTRACT($M43,""^[^｜]+""),ac_mst!$A:$A,ac_mst!$I:$I),0)
   +IFERROR(XLOOKUP(REGEXEXTRACT($N43,""^[^｜]+""),ac_mst!$A:$A,ac_mst!$I:$I),0)
   +IFERROR(
    XLOOKUP(
     IF(
      OR(
       IFERROR(REGEXEXTRACT($M43,""^[^｜"&amp;"]+""),"""")="""",
       IFERROR(REGEXEXTRACT($N43,""^[^｜]+""),"""")=""""
      ),
      """",
      IF(
       IFERROR(REGEXEXTRACT($M43,""^[^｜]+""),"""")&lt;IFERROR(REGEXEXTRACT($N43,""^[^｜]+""),""""),
       IFERROR(REGEXEXTRACT($M43,""^[^｜]+""),"""")&amp;""_"&amp;"""&amp;IFERROR(REGEXEXTRACT($N43,""^[^｜]+""),""""),
       IFERROR(REGEXEXTRACT($N43,""^[^｜]+""),"""")&amp;""_""&amp;IFERROR(REGEXEXTRACT($M43,""^[^｜]+""),"""")
      )
     ),
     sy_mst!$A:$A,
     sy_mst!$F:$F
    ),
    0
   )
  )
  *
  IFERROR(XLOOKUP(REGEXEXTR"&amp;"ACT($I43,""^[^｜]+""),ms_mst!$A:$A,ms_mst!$N:$N),1)
  *
  IF(
   $B43&gt;=IFERROR(XLOOKUP(REGEXEXTRACT($L43,""^[^｜]+""),sk_mst!$A:$A,sk_mst!$M:$M),999),
   IFERROR(XLOOKUP(REGEXEXTRACT($L43,""^[^｜]+""),sk_mst!$A:$A,sk_mst!$H:$H),1),
   1
  )
 )
)"),0.4859999999999999)</f>
        <v>0.486</v>
      </c>
      <c r="R43" s="25">
        <f>IFERROR(__xludf.DUMMYFUNCTION("IF($A43="""","""",
 IF($F43=""market"",
  IFERROR(XLOOKUP(REGEXEXTRACT($J43,""^[^｜]+""),tr_mst!$A:$A,tr_mst!$G:$G),0)
  +IFERROR(XLOOKUP(REGEXEXTRACT($K43,""^[^｜]+""),tc_mst!$A:$A,tc_mst!$G:$G),0),
  IF($B43=0,
   IFERROR(XLOOKUP(REGEXEXTRACT($I43,""^[^｜]"&amp;"+""),ms_mst!$A:$A,ms_mst!$G:$G),0),
   IFERROR(XLOOKUP(""T""&amp;($B43-1)&amp;""_""&amp;$D43,$A:$A,$R:$R),0)
  )
  +IFERROR(XLOOKUP(REGEXEXTRACT($J43,""^[^｜]+""),tr_mst!$A:$A,tr_mst!$G:$G),0)
  +IFERROR(XLOOKUP(REGEXEXTRACT($K43,""^[^｜]+""),tc_mst!$A:$A,tc_mst!$G:$G)"&amp;",0)
  +
  (
   IFERROR(XLOOKUP(REGEXEXTRACT($M43,""^[^｜]+""),ac_mst!$A:$A,ac_mst!$J:$J),0)
   +IFERROR(XLOOKUP(REGEXEXTRACT($N43,""^[^｜]+""),ac_mst!$A:$A,ac_mst!$J:$J),0)
   +IFERROR(
    XLOOKUP(
     IF(
      OR(
       IFERROR(REGEXEXTRACT($M43,""^[^｜"&amp;"]+""),"""")="""",
       IFERROR(REGEXEXTRACT($N43,""^[^｜]+""),"""")=""""
      ),
      """",
      IF(
       IFERROR(REGEXEXTRACT($M43,""^[^｜]+""),"""")&lt;IFERROR(REGEXEXTRACT($N43,""^[^｜]+""),""""),
       IFERROR(REGEXEXTRACT($M43,""^[^｜]+""),"""")&amp;""_"&amp;"""&amp;IFERROR(REGEXEXTRACT($N43,""^[^｜]+""),""""),
       IFERROR(REGEXEXTRACT($N43,""^[^｜]+""),"""")&amp;""_""&amp;IFERROR(REGEXEXTRACT($M43,""^[^｜]+""),"""")
      )
     ),
     sy_mst!$A:$A,
     sy_mst!$G:$G
    ),
    0
   )
  )
  *
  IFERROR(XLOOKUP(REGEXEXTR"&amp;"ACT($I43,""^[^｜]+""),ms_mst!$A:$A,ms_mst!$O:$O),1)
  *
  IF(
   $B43&gt;=IFERROR(XLOOKUP(REGEXEXTRACT($L43,""^[^｜]+""),sk_mst!$A:$A,sk_mst!$M:$M),999),
   IFERROR(XLOOKUP(REGEXEXTRACT($L43,""^[^｜]+""),sk_mst!$A:$A,sk_mst!$I:$I),1),
   1
  )
 )
)"),1.6325)</f>
        <v>1.6325</v>
      </c>
      <c r="S43" s="25">
        <f>IFERROR(__xludf.DUMMYFUNCTION("IF($A43="""","""",
 IF($F43=""market"",
  IFERROR(XLOOKUP(REGEXEXTRACT($J43,""^[^｜]+""),tr_mst!$A:$A,tr_mst!$H:$H),0)
  +IFERROR(XLOOKUP(REGEXEXTRACT($K43,""^[^｜]+""),tc_mst!$A:$A,tc_mst!$H:$H),0),
  IF($B43=0,
   IFERROR(XLOOKUP(REGEXEXTRACT($I43,""^[^｜]"&amp;"+""),ms_mst!$A:$A,ms_mst!$H:$H),0),
   IFERROR(XLOOKUP(""T""&amp;($B43-1)&amp;""_""&amp;$D43,$A:$A,$S:$S),0)
  )
  +IFERROR(XLOOKUP(REGEXEXTRACT($J43,""^[^｜]+""),tr_mst!$A:$A,tr_mst!$H:$H),0)
  +IFERROR(XLOOKUP(REGEXEXTRACT($K43,""^[^｜]+""),tc_mst!$A:$A,tc_mst!$H:$H)"&amp;",0)
  +
  (
   IFERROR(XLOOKUP(REGEXEXTRACT($M43,""^[^｜]+""),ac_mst!$A:$A,ac_mst!$K:$K),0)
   +IFERROR(XLOOKUP(REGEXEXTRACT($N43,""^[^｜]+""),ac_mst!$A:$A,ac_mst!$K:$K),0)
   +IFERROR(
    XLOOKUP(
     IF(
      OR(
       IFERROR(REGEXEXTRACT($M43,""^[^｜"&amp;"]+""),"""")="""",
       IFERROR(REGEXEXTRACT($N43,""^[^｜]+""),"""")=""""
      ),
      """",
      IF(
       IFERROR(REGEXEXTRACT($M43,""^[^｜]+""),"""")&lt;IFERROR(REGEXEXTRACT($N43,""^[^｜]+""),""""),
       IFERROR(REGEXEXTRACT($M43,""^[^｜]+""),"""")&amp;""_"&amp;"""&amp;IFERROR(REGEXEXTRACT($N43,""^[^｜]+""),""""),
       IFERROR(REGEXEXTRACT($N43,""^[^｜]+""),"""")&amp;""_""&amp;IFERROR(REGEXEXTRACT($M43,""^[^｜]+""),"""")
      )
     ),
     sy_mst!$A:$A,
     sy_mst!$H:$H
    ),
    0
   )
  )
  *
  IFERROR(XLOOKUP(REGEXEXTR"&amp;"ACT($I43,""^[^｜]+""),ms_mst!$A:$A,ms_mst!$P:$P),1)
  *
  IF(
   $B43&gt;=IFERROR(XLOOKUP(REGEXEXTRACT($L43,""^[^｜]+""),sk_mst!$A:$A,sk_mst!$M:$M),999),
   IFERROR(XLOOKUP(REGEXEXTRACT($L43,""^[^｜]+""),sk_mst!$A:$A,sk_mst!$J:$J),1),
   1
  )
 )
)"),0.014882499999999998)</f>
        <v>0.0148825</v>
      </c>
      <c r="T43" s="25">
        <f>IFERROR(__xludf.DUMMYFUNCTION("IF($A43="""","""",
 IF($F43=""market"",
  IFERROR(XLOOKUP(REGEXEXTRACT($J43,""^[^｜]+""),tr_mst!$A:$A,tr_mst!$I:$I),0)
  +IFERROR(XLOOKUP(REGEXEXTRACT($K43,""^[^｜]+""),tc_mst!$A:$A,tc_mst!$I:$I),0),
  IF($B43=0,
   IFERROR(XLOOKUP(REGEXEXTRACT($I43,""^[^｜]"&amp;"+""),ms_mst!$A:$A,ms_mst!$I:$I),0),
   IFERROR(XLOOKUP(""T""&amp;($B43-1)&amp;""_""&amp;$D43,$A:$A,$T:$T),0)
  )
  +IFERROR(XLOOKUP(REGEXEXTRACT($J43,""^[^｜]+""),tr_mst!$A:$A,tr_mst!$I:$I),0)
  +IFERROR(XLOOKUP(REGEXEXTRACT($K43,""^[^｜]+""),tc_mst!$A:$A,tc_mst!$I:$I)"&amp;",0)
  +
  (
   IFERROR(XLOOKUP(REGEXEXTRACT($M43,""^[^｜]+""),ac_mst!$A:$A,ac_mst!$L:$L),0)
   +IFERROR(XLOOKUP(REGEXEXTRACT($N43,""^[^｜]+""),ac_mst!$A:$A,ac_mst!$L:$L),0)
   +IFERROR(
    XLOOKUP(
     IF(
      OR(
       IFERROR(REGEXEXTRACT($M43,""^[^｜"&amp;"]+""),"""")="""",
       IFERROR(REGEXEXTRACT($N43,""^[^｜]+""),"""")=""""
      ),
      """",
      IF(
       IFERROR(REGEXEXTRACT($M43,""^[^｜]+""),"""")&lt;IFERROR(REGEXEXTRACT($N43,""^[^｜]+""),""""),
       IFERROR(REGEXEXTRACT($M43,""^[^｜]+""),"""")&amp;""_"&amp;"""&amp;IFERROR(REGEXEXTRACT($N43,""^[^｜]+""),""""),
       IFERROR(REGEXEXTRACT($N43,""^[^｜]+""),"""")&amp;""_""&amp;IFERROR(REGEXEXTRACT($M43,""^[^｜]+""),"""")
      )
     ),
     sy_mst!$A:$A,
     sy_mst!$I:$I
    ),
    0
   )
  )
  *
  IFERROR(XLOOKUP(REGEXEXTR"&amp;"ACT($I43,""^[^｜]+""),ms_mst!$A:$A,ms_mst!$Q:$Q),1)
  *
  IF(
   $B43&gt;=IFERROR(XLOOKUP(REGEXEXTRACT($L43,""^[^｜]+""),sk_mst!$A:$A,sk_mst!$M:$M),999),
   IFERROR(XLOOKUP(REGEXEXTRACT($L43,""^[^｜]+""),sk_mst!$A:$A,sk_mst!$K:$K),1),
   1
  )
 )
)"),4810.0)</f>
        <v>4810</v>
      </c>
      <c r="U43" s="25">
        <f>IFERROR(__xludf.DUMMYFUNCTION("IF($A43="""","""",
 IF($F43=""market"",
  IFERROR(XLOOKUP(REGEXEXTRACT($J43,""^[^｜]+""),tr_mst!$A:$A,tr_mst!$J:$J),0)
  +IFERROR(XLOOKUP(REGEXEXTRACT($K43,""^[^｜]+""),tc_mst!$A:$A,tc_mst!$J:$J),0),
  IF($B43=0,
   IFERROR(XLOOKUP(REGEXEXTRACT($I43,""^[^｜]"&amp;"+""),ms_mst!$A:$A,ms_mst!$J:$J),0),
   IFERROR(XLOOKUP(""T""&amp;($B43-1)&amp;""_""&amp;$D43,$A:$A,$U:$U),0)
  )
  +IFERROR(XLOOKUP(REGEXEXTRACT($J43,""^[^｜]+""),tr_mst!$A:$A,tr_mst!$J:$J),0)
  +IFERROR(XLOOKUP(REGEXEXTRACT($K43,""^[^｜]+""),tc_mst!$A:$A,tc_mst!$J:$J)"&amp;",0)
  +
  (
   IFERROR(XLOOKUP(REGEXEXTRACT($M43,""^[^｜]+""),ac_mst!$A:$A,ac_mst!$M:$M),0)
   +IFERROR(XLOOKUP(REGEXEXTRACT($N43,""^[^｜]+""),ac_mst!$A:$A,ac_mst!$M:$M),0)
   +IFERROR(
    XLOOKUP(
     IF(
      OR(
       IFERROR(REGEXEXTRACT($M43,""^[^｜"&amp;"]+""),"""")="""",
       IFERROR(REGEXEXTRACT($N43,""^[^｜]+""),"""")=""""
      ),
      """",
      IF(
       IFERROR(REGEXEXTRACT($M43,""^[^｜]+""),"""")&lt;IFERROR(REGEXEXTRACT($N43,""^[^｜]+""),""""),
       IFERROR(REGEXEXTRACT($M43,""^[^｜]+""),"""")&amp;""_"&amp;"""&amp;IFERROR(REGEXEXTRACT($N43,""^[^｜]+""),""""),
       IFERROR(REGEXEXTRACT($N43,""^[^｜]+""),"""")&amp;""_""&amp;IFERROR(REGEXEXTRACT($M43,""^[^｜]+""),"""")
      )
     ),
     sy_mst!$A:$A,
     sy_mst!$J:$J
    ),
    0
   )
  )
  *
  IFERROR(XLOOKUP(REGEXEXTR"&amp;"ACT($I43,""^[^｜]+""),ms_mst!$A:$A,ms_mst!$R:$R),1)
  *
  IF(
   $B43&gt;=IFERROR(XLOOKUP(REGEXEXTRACT($L43,""^[^｜]+""),sk_mst!$A:$A,sk_mst!$M:$M),999),
   IFERROR(XLOOKUP(REGEXEXTRACT($L43,""^[^｜]+""),sk_mst!$A:$A,sk_mst!$L:$L),1),
   1
  )
 )
)"),52.9)</f>
        <v>52.9</v>
      </c>
      <c r="V43" s="25">
        <f t="shared" si="1"/>
        <v>882988</v>
      </c>
      <c r="W43" s="25">
        <f t="shared" si="2"/>
        <v>142830</v>
      </c>
      <c r="X43" s="25">
        <f t="shared" si="3"/>
        <v>740158</v>
      </c>
      <c r="Y43" s="25">
        <f t="shared" si="4"/>
        <v>6.18</v>
      </c>
      <c r="Z43" s="25">
        <f>IFERROR(__xludf.DUMMYFUNCTION("IF($A43="""","""",
 IF($F43&lt;&gt;""player"","""",
  IFERROR(
   RANK(
    $X43,
    FILTER($X:$X,$B:$B=$B43,$F:$F=""player"",$X:$X&lt;&gt;""""),
    0
   ),
   """"
  )
 )
)"),4.0)</f>
        <v>4</v>
      </c>
      <c r="AA43" s="25" t="str">
        <f t="shared" si="5"/>
        <v>4位</v>
      </c>
      <c r="AB43" s="26">
        <f t="shared" si="6"/>
        <v>2.732158795</v>
      </c>
    </row>
    <row r="44">
      <c r="A44" s="25" t="s">
        <v>217</v>
      </c>
      <c r="B44" s="14">
        <v>3.0</v>
      </c>
      <c r="C44" s="14" t="s">
        <v>159</v>
      </c>
      <c r="D44" s="14" t="s">
        <v>160</v>
      </c>
      <c r="E44" s="25" t="s">
        <v>153</v>
      </c>
      <c r="F44" s="25" t="s">
        <v>154</v>
      </c>
      <c r="I44" s="25" t="str">
        <f>IFERROR(__xludf.DUMMYFUNCTION("IF($F44&lt;&gt;""player"","""",IFERROR(INDEX(FILTER(group_setup!$D$2:$D947,group_setup!$B$2:$B947=$C44,group_setup!$G$2:$G947=TRUE,group_setup!$H$2:$H947=""completed""),1),""""))"),"M03")</f>
        <v>M03</v>
      </c>
      <c r="J44" s="25" t="str">
        <f>IFERROR(__xludf.DUMMYFUNCTION("IFERROR(FILTER(market_event_log!$D$2:$D947,market_event_log!$C$2:$C947=$B44,market_event_log!$N$2:$N947=""active""),"""")"),"T03")</f>
        <v>T03</v>
      </c>
      <c r="K44" s="25" t="str">
        <f>IFERROR(__xludf.DUMMYFUNCTION("IFERROR(FILTER(market_event_log!$G$2:$G947,market_event_log!$C$2:$C947=$B44,market_event_log!$N$2:$N947=""active""),"""")"),"C03")</f>
        <v>C03</v>
      </c>
      <c r="L44" s="25" t="str">
        <f>IFERROR(__xludf.DUMMYFUNCTION("IF($F44&lt;&gt;""player"","""",IFERROR(INDEX(FILTER(group_setup!$E$2:$E947,group_setup!$B$2:$B947=$C44,group_setup!$G$2:$G947=TRUE,group_setup!$H$2:$H947=""completed""),1),""""))"),"S02")</f>
        <v>S02</v>
      </c>
      <c r="M44" s="25" t="str">
        <f>IFERROR(__xludf.DUMMYFUNCTION("IF($F44=""market"","""",IF($E44=""HUMAN"",IFERROR(FILTER(turn_log!$G$2:$G947,turn_log!$C$2:$C947=$B44,turn_log!$D$2:$D947=$C44,turn_log!$F$2:$F947=$E44),""""),IFERROR(FILTER(turn_log!$I$2:$I947,turn_log!$C$2:$C947=$B44,turn_log!$D$2:$D947=$C44,turn_log!$F"&amp;"$2:$F947=$E44),"""")))"),"A06")</f>
        <v>A06</v>
      </c>
      <c r="N44" s="25" t="str">
        <f>IFERROR(__xludf.DUMMYFUNCTION("IF($F44=""market"","""",IF($E44=""HUMAN"",IFERROR(FILTER(turn_log!$H$2:$H947,turn_log!$C$2:$C947=$B44,turn_log!$D$2:$D947=$C44,turn_log!$F$2:$F947=$E44),""""),IFERROR(FILTER(turn_log!$J$2:$J947,turn_log!$C$2:$C947=$B44,turn_log!$D$2:$D947=$C44,turn_log!$F"&amp;"$2:$F947=$E44),"""")))"),"A09")</f>
        <v>A09</v>
      </c>
      <c r="O44" s="25">
        <f>IFERROR(__xludf.DUMMYFUNCTION("IF($A44="""","""",
 IF($F44=""market"",
  IFERROR(XLOOKUP(REGEXEXTRACT($J44,""^[^｜]+""),tr_mst!$A:$A,tr_mst!$D:$D),0)
  +IFERROR(XLOOKUP(REGEXEXTRACT($K44,""^[^｜]+""),tc_mst!$A:$A,tc_mst!$D:$D),0),
  IF($B44=0,
   IFERROR(XLOOKUP(REGEXEXTRACT($I44,""^[^｜]"&amp;"+""),ms_mst!$A:$A,ms_mst!$D:$D),0),
   IFERROR(XLOOKUP(""T""&amp;($B44-1)&amp;""_""&amp;$D44,$A:$A,$O:$O),0)
  )
  +IFERROR(XLOOKUP(REGEXEXTRACT($J44,""^[^｜]+""),tr_mst!$A:$A,tr_mst!$D:$D),0)
  +IFERROR(XLOOKUP(REGEXEXTRACT($K44,""^[^｜]+""),tc_mst!$A:$A,tc_mst!$D:$D)"&amp;",0)
  +
  (
   IFERROR(XLOOKUP(REGEXEXTRACT($M44,""^[^｜]+""),ac_mst!$A:$A,ac_mst!$G:$G),0)
   +IFERROR(XLOOKUP(REGEXEXTRACT($N44,""^[^｜]+""),ac_mst!$A:$A,ac_mst!$G:$G),0)
   +IFERROR(
    XLOOKUP(
     IF(
      OR(
       IFERROR(REGEXEXTRACT($M44,""^[^｜"&amp;"]+""),"""")="""",
       IFERROR(REGEXEXTRACT($N44,""^[^｜]+""),"""")=""""
      ),
      """",
      IF(
       IFERROR(REGEXEXTRACT($M44,""^[^｜]+""),"""")&lt;IFERROR(REGEXEXTRACT($N44,""^[^｜]+""),""""),
       IFERROR(REGEXEXTRACT($M44,""^[^｜]+""),"""")&amp;""_"&amp;"""&amp;IFERROR(REGEXEXTRACT($N44,""^[^｜]+""),""""),
       IFERROR(REGEXEXTRACT($N44,""^[^｜]+""),"""")&amp;""_""&amp;IFERROR(REGEXEXTRACT($M44,""^[^｜]+""),"""")
      )
     ),
     sy_mst!$A:$A,
     sy_mst!$D:$D
    ),
    0
   )
  )
  *
  IFERROR(XLOOKUP(REGEXEXTR"&amp;"ACT($I44,""^[^｜]+""),ms_mst!$A:$A,ms_mst!$L:$L),1)
  *
  IF(
   $B44&gt;=IFERROR(XLOOKUP(REGEXEXTRACT($L44,""^[^｜]+""),sk_mst!$A:$A,sk_mst!$M:$M),999),
   IFERROR(XLOOKUP(REGEXEXTRACT($L44,""^[^｜]+""),sk_mst!$A:$A,sk_mst!$F:$F),1),
   1
  )
 )
)"),14225.0)</f>
        <v>14225</v>
      </c>
      <c r="P44" s="25">
        <f>IFERROR(__xludf.DUMMYFUNCTION("IF($A44="""","""",
 IF($F44=""market"",
  IFERROR(XLOOKUP(REGEXEXTRACT($J44,""^[^｜]+""),tr_mst!$A:$A,tr_mst!$E:$E),0)
  +IFERROR(XLOOKUP(REGEXEXTRACT($K44,""^[^｜]+""),tc_mst!$A:$A,tc_mst!$E:$E),0),
  IF($B44=0,
   IFERROR(XLOOKUP(REGEXEXTRACT($I44,""^[^｜]"&amp;"+""),ms_mst!$A:$A,ms_mst!$E:$E),0),
   IFERROR(XLOOKUP(""T""&amp;($B44-1)&amp;""_""&amp;$D44,$A:$A,$P:$P),0)
  )
  +IFERROR(XLOOKUP(REGEXEXTRACT($J44,""^[^｜]+""),tr_mst!$A:$A,tr_mst!$E:$E),0)
  +IFERROR(XLOOKUP(REGEXEXTRACT($K44,""^[^｜]+""),tc_mst!$A:$A,tc_mst!$E:$E)"&amp;",0)
  +
  (
   IFERROR(XLOOKUP(REGEXEXTRACT($M44,""^[^｜]+""),ac_mst!$A:$A,ac_mst!$H:$H),0)
   +IFERROR(XLOOKUP(REGEXEXTRACT($N44,""^[^｜]+""),ac_mst!$A:$A,ac_mst!$H:$H),0)
   +IFERROR(
    XLOOKUP(
     IF(
      OR(
       IFERROR(REGEXEXTRACT($M44,""^[^｜"&amp;"]+""),"""")="""",
       IFERROR(REGEXEXTRACT($N44,""^[^｜]+""),"""")=""""
      ),
      """",
      IF(
       IFERROR(REGEXEXTRACT($M44,""^[^｜]+""),"""")&lt;IFERROR(REGEXEXTRACT($N44,""^[^｜]+""),""""),
       IFERROR(REGEXEXTRACT($M44,""^[^｜]+""),"""")&amp;""_"&amp;"""&amp;IFERROR(REGEXEXTRACT($N44,""^[^｜]+""),""""),
       IFERROR(REGEXEXTRACT($N44,""^[^｜]+""),"""")&amp;""_""&amp;IFERROR(REGEXEXTRACT($M44,""^[^｜]+""),"""")
      )
     ),
     sy_mst!$A:$A,
     sy_mst!$E:$E
    ),
    0
   )
  )
  *
  IFERROR(XLOOKUP(REGEXEXTR"&amp;"ACT($I44,""^[^｜]+""),ms_mst!$A:$A,ms_mst!$M:$M),1)
  *
  IF(
   $B44&gt;=IFERROR(XLOOKUP(REGEXEXTRACT($L44,""^[^｜]+""),sk_mst!$A:$A,sk_mst!$M:$M),999),
   IFERROR(XLOOKUP(REGEXEXTRACT($L44,""^[^｜]+""),sk_mst!$A:$A,sk_mst!$G:$G),1),
   1
  )
 )
)"),1700.0)</f>
        <v>1700</v>
      </c>
      <c r="Q44" s="25">
        <f>IFERROR(__xludf.DUMMYFUNCTION("IF($A44="""","""",
 IF($F44=""market"",
  IFERROR(XLOOKUP(REGEXEXTRACT($J44,""^[^｜]+""),tr_mst!$A:$A,tr_mst!$F:$F),0)
  +IFERROR(XLOOKUP(REGEXEXTRACT($K44,""^[^｜]+""),tc_mst!$A:$A,tc_mst!$F:$F),0),
  IF($B44=0,
   IFERROR(XLOOKUP(REGEXEXTRACT($I44,""^[^｜]"&amp;"+""),ms_mst!$A:$A,ms_mst!$F:$F),0),
   IFERROR(XLOOKUP(""T""&amp;($B44-1)&amp;""_""&amp;$D44,$A:$A,$Q:$Q),0)
  )
  +IFERROR(XLOOKUP(REGEXEXTRACT($J44,""^[^｜]+""),tr_mst!$A:$A,tr_mst!$F:$F),0)
  +IFERROR(XLOOKUP(REGEXEXTRACT($K44,""^[^｜]+""),tc_mst!$A:$A,tc_mst!$F:$F)"&amp;",0)
  +
  (
   IFERROR(XLOOKUP(REGEXEXTRACT($M44,""^[^｜]+""),ac_mst!$A:$A,ac_mst!$I:$I),0)
   +IFERROR(XLOOKUP(REGEXEXTRACT($N44,""^[^｜]+""),ac_mst!$A:$A,ac_mst!$I:$I),0)
   +IFERROR(
    XLOOKUP(
     IF(
      OR(
       IFERROR(REGEXEXTRACT($M44,""^[^｜"&amp;"]+""),"""")="""",
       IFERROR(REGEXEXTRACT($N44,""^[^｜]+""),"""")=""""
      ),
      """",
      IF(
       IFERROR(REGEXEXTRACT($M44,""^[^｜]+""),"""")&lt;IFERROR(REGEXEXTRACT($N44,""^[^｜]+""),""""),
       IFERROR(REGEXEXTRACT($M44,""^[^｜]+""),"""")&amp;""_"&amp;"""&amp;IFERROR(REGEXEXTRACT($N44,""^[^｜]+""),""""),
       IFERROR(REGEXEXTRACT($N44,""^[^｜]+""),"""")&amp;""_""&amp;IFERROR(REGEXEXTRACT($M44,""^[^｜]+""),"""")
      )
     ),
     sy_mst!$A:$A,
     sy_mst!$F:$F
    ),
    0
   )
  )
  *
  IFERROR(XLOOKUP(REGEXEXTR"&amp;"ACT($I44,""^[^｜]+""),ms_mst!$A:$A,ms_mst!$N:$N),1)
  *
  IF(
   $B44&gt;=IFERROR(XLOOKUP(REGEXEXTRACT($L44,""^[^｜]+""),sk_mst!$A:$A,sk_mst!$M:$M),999),
   IFERROR(XLOOKUP(REGEXEXTRACT($L44,""^[^｜]+""),sk_mst!$A:$A,sk_mst!$H:$H),1),
   1
  )
 )
)"),0.44000000000000006)</f>
        <v>0.44</v>
      </c>
      <c r="R44" s="25">
        <f>IFERROR(__xludf.DUMMYFUNCTION("IF($A44="""","""",
 IF($F44=""market"",
  IFERROR(XLOOKUP(REGEXEXTRACT($J44,""^[^｜]+""),tr_mst!$A:$A,tr_mst!$G:$G),0)
  +IFERROR(XLOOKUP(REGEXEXTRACT($K44,""^[^｜]+""),tc_mst!$A:$A,tc_mst!$G:$G),0),
  IF($B44=0,
   IFERROR(XLOOKUP(REGEXEXTRACT($I44,""^[^｜]"&amp;"+""),ms_mst!$A:$A,ms_mst!$G:$G),0),
   IFERROR(XLOOKUP(""T""&amp;($B44-1)&amp;""_""&amp;$D44,$A:$A,$R:$R),0)
  )
  +IFERROR(XLOOKUP(REGEXEXTRACT($J44,""^[^｜]+""),tr_mst!$A:$A,tr_mst!$G:$G),0)
  +IFERROR(XLOOKUP(REGEXEXTRACT($K44,""^[^｜]+""),tc_mst!$A:$A,tc_mst!$G:$G)"&amp;",0)
  +
  (
   IFERROR(XLOOKUP(REGEXEXTRACT($M44,""^[^｜]+""),ac_mst!$A:$A,ac_mst!$J:$J),0)
   +IFERROR(XLOOKUP(REGEXEXTRACT($N44,""^[^｜]+""),ac_mst!$A:$A,ac_mst!$J:$J),0)
   +IFERROR(
    XLOOKUP(
     IF(
      OR(
       IFERROR(REGEXEXTRACT($M44,""^[^｜"&amp;"]+""),"""")="""",
       IFERROR(REGEXEXTRACT($N44,""^[^｜]+""),"""")=""""
      ),
      """",
      IF(
       IFERROR(REGEXEXTRACT($M44,""^[^｜]+""),"""")&lt;IFERROR(REGEXEXTRACT($N44,""^[^｜]+""),""""),
       IFERROR(REGEXEXTRACT($M44,""^[^｜]+""),"""")&amp;""_"&amp;"""&amp;IFERROR(REGEXEXTRACT($N44,""^[^｜]+""),""""),
       IFERROR(REGEXEXTRACT($N44,""^[^｜]+""),"""")&amp;""_""&amp;IFERROR(REGEXEXTRACT($M44,""^[^｜]+""),"""")
      )
     ),
     sy_mst!$A:$A,
     sy_mst!$G:$G
    ),
    0
   )
  )
  *
  IFERROR(XLOOKUP(REGEXEXTR"&amp;"ACT($I44,""^[^｜]+""),ms_mst!$A:$A,ms_mst!$O:$O),1)
  *
  IF(
   $B44&gt;=IFERROR(XLOOKUP(REGEXEXTRACT($L44,""^[^｜]+""),sk_mst!$A:$A,sk_mst!$M:$M),999),
   IFERROR(XLOOKUP(REGEXEXTRACT($L44,""^[^｜]+""),sk_mst!$A:$A,sk_mst!$I:$I),1),
   1
  )
 )
)"),1.8375000000000001)</f>
        <v>1.8375</v>
      </c>
      <c r="S44" s="25">
        <f>IFERROR(__xludf.DUMMYFUNCTION("IF($A44="""","""",
 IF($F44=""market"",
  IFERROR(XLOOKUP(REGEXEXTRACT($J44,""^[^｜]+""),tr_mst!$A:$A,tr_mst!$H:$H),0)
  +IFERROR(XLOOKUP(REGEXEXTRACT($K44,""^[^｜]+""),tc_mst!$A:$A,tc_mst!$H:$H),0),
  IF($B44=0,
   IFERROR(XLOOKUP(REGEXEXTRACT($I44,""^[^｜]"&amp;"+""),ms_mst!$A:$A,ms_mst!$H:$H),0),
   IFERROR(XLOOKUP(""T""&amp;($B44-1)&amp;""_""&amp;$D44,$A:$A,$S:$S),0)
  )
  +IFERROR(XLOOKUP(REGEXEXTRACT($J44,""^[^｜]+""),tr_mst!$A:$A,tr_mst!$H:$H),0)
  +IFERROR(XLOOKUP(REGEXEXTRACT($K44,""^[^｜]+""),tc_mst!$A:$A,tc_mst!$H:$H)"&amp;",0)
  +
  (
   IFERROR(XLOOKUP(REGEXEXTRACT($M44,""^[^｜]+""),ac_mst!$A:$A,ac_mst!$K:$K),0)
   +IFERROR(XLOOKUP(REGEXEXTRACT($N44,""^[^｜]+""),ac_mst!$A:$A,ac_mst!$K:$K),0)
   +IFERROR(
    XLOOKUP(
     IF(
      OR(
       IFERROR(REGEXEXTRACT($M44,""^[^｜"&amp;"]+""),"""")="""",
       IFERROR(REGEXEXTRACT($N44,""^[^｜]+""),"""")=""""
      ),
      """",
      IF(
       IFERROR(REGEXEXTRACT($M44,""^[^｜]+""),"""")&lt;IFERROR(REGEXEXTRACT($N44,""^[^｜]+""),""""),
       IFERROR(REGEXEXTRACT($M44,""^[^｜]+""),"""")&amp;""_"&amp;"""&amp;IFERROR(REGEXEXTRACT($N44,""^[^｜]+""),""""),
       IFERROR(REGEXEXTRACT($N44,""^[^｜]+""),"""")&amp;""_""&amp;IFERROR(REGEXEXTRACT($M44,""^[^｜]+""),"""")
      )
     ),
     sy_mst!$A:$A,
     sy_mst!$H:$H
    ),
    0
   )
  )
  *
  IFERROR(XLOOKUP(REGEXEXTR"&amp;"ACT($I44,""^[^｜]+""),ms_mst!$A:$A,ms_mst!$P:$P),1)
  *
  IF(
   $B44&gt;=IFERROR(XLOOKUP(REGEXEXTRACT($L44,""^[^｜]+""),sk_mst!$A:$A,sk_mst!$M:$M),999),
   IFERROR(XLOOKUP(REGEXEXTRACT($L44,""^[^｜]+""),sk_mst!$A:$A,sk_mst!$J:$J),1),
   1
  )
 )
)"),0.016430000000000004)</f>
        <v>0.01643</v>
      </c>
      <c r="T44" s="25">
        <f>IFERROR(__xludf.DUMMYFUNCTION("IF($A44="""","""",
 IF($F44=""market"",
  IFERROR(XLOOKUP(REGEXEXTRACT($J44,""^[^｜]+""),tr_mst!$A:$A,tr_mst!$I:$I),0)
  +IFERROR(XLOOKUP(REGEXEXTRACT($K44,""^[^｜]+""),tc_mst!$A:$A,tc_mst!$I:$I),0),
  IF($B44=0,
   IFERROR(XLOOKUP(REGEXEXTRACT($I44,""^[^｜]"&amp;"+""),ms_mst!$A:$A,ms_mst!$I:$I),0),
   IFERROR(XLOOKUP(""T""&amp;($B44-1)&amp;""_""&amp;$D44,$A:$A,$T:$T),0)
  )
  +IFERROR(XLOOKUP(REGEXEXTRACT($J44,""^[^｜]+""),tr_mst!$A:$A,tr_mst!$I:$I),0)
  +IFERROR(XLOOKUP(REGEXEXTRACT($K44,""^[^｜]+""),tc_mst!$A:$A,tc_mst!$I:$I)"&amp;",0)
  +
  (
   IFERROR(XLOOKUP(REGEXEXTRACT($M44,""^[^｜]+""),ac_mst!$A:$A,ac_mst!$L:$L),0)
   +IFERROR(XLOOKUP(REGEXEXTRACT($N44,""^[^｜]+""),ac_mst!$A:$A,ac_mst!$L:$L),0)
   +IFERROR(
    XLOOKUP(
     IF(
      OR(
       IFERROR(REGEXEXTRACT($M44,""^[^｜"&amp;"]+""),"""")="""",
       IFERROR(REGEXEXTRACT($N44,""^[^｜]+""),"""")=""""
      ),
      """",
      IF(
       IFERROR(REGEXEXTRACT($M44,""^[^｜]+""),"""")&lt;IFERROR(REGEXEXTRACT($N44,""^[^｜]+""),""""),
       IFERROR(REGEXEXTRACT($M44,""^[^｜]+""),"""")&amp;""_"&amp;"""&amp;IFERROR(REGEXEXTRACT($N44,""^[^｜]+""),""""),
       IFERROR(REGEXEXTRACT($N44,""^[^｜]+""),"""")&amp;""_""&amp;IFERROR(REGEXEXTRACT($M44,""^[^｜]+""),"""")
      )
     ),
     sy_mst!$A:$A,
     sy_mst!$I:$I
    ),
    0
   )
  )
  *
  IFERROR(XLOOKUP(REGEXEXTR"&amp;"ACT($I44,""^[^｜]+""),ms_mst!$A:$A,ms_mst!$Q:$Q),1)
  *
  IF(
   $B44&gt;=IFERROR(XLOOKUP(REGEXEXTRACT($L44,""^[^｜]+""),sk_mst!$A:$A,sk_mst!$M:$M),999),
   IFERROR(XLOOKUP(REGEXEXTRACT($L44,""^[^｜]+""),sk_mst!$A:$A,sk_mst!$K:$K),1),
   1
  )
 )
)"),4600.0)</f>
        <v>4600</v>
      </c>
      <c r="U44" s="25">
        <f>IFERROR(__xludf.DUMMYFUNCTION("IF($A44="""","""",
 IF($F44=""market"",
  IFERROR(XLOOKUP(REGEXEXTRACT($J44,""^[^｜]+""),tr_mst!$A:$A,tr_mst!$J:$J),0)
  +IFERROR(XLOOKUP(REGEXEXTRACT($K44,""^[^｜]+""),tc_mst!$A:$A,tc_mst!$J:$J),0),
  IF($B44=0,
   IFERROR(XLOOKUP(REGEXEXTRACT($I44,""^[^｜]"&amp;"+""),ms_mst!$A:$A,ms_mst!$J:$J),0),
   IFERROR(XLOOKUP(""T""&amp;($B44-1)&amp;""_""&amp;$D44,$A:$A,$U:$U),0)
  )
  +IFERROR(XLOOKUP(REGEXEXTRACT($J44,""^[^｜]+""),tr_mst!$A:$A,tr_mst!$J:$J),0)
  +IFERROR(XLOOKUP(REGEXEXTRACT($K44,""^[^｜]+""),tc_mst!$A:$A,tc_mst!$J:$J)"&amp;",0)
  +
  (
   IFERROR(XLOOKUP(REGEXEXTRACT($M44,""^[^｜]+""),ac_mst!$A:$A,ac_mst!$M:$M),0)
   +IFERROR(XLOOKUP(REGEXEXTRACT($N44,""^[^｜]+""),ac_mst!$A:$A,ac_mst!$M:$M),0)
   +IFERROR(
    XLOOKUP(
     IF(
      OR(
       IFERROR(REGEXEXTRACT($M44,""^[^｜"&amp;"]+""),"""")="""",
       IFERROR(REGEXEXTRACT($N44,""^[^｜]+""),"""")=""""
      ),
      """",
      IF(
       IFERROR(REGEXEXTRACT($M44,""^[^｜]+""),"""")&lt;IFERROR(REGEXEXTRACT($N44,""^[^｜]+""),""""),
       IFERROR(REGEXEXTRACT($M44,""^[^｜]+""),"""")&amp;""_"&amp;"""&amp;IFERROR(REGEXEXTRACT($N44,""^[^｜]+""),""""),
       IFERROR(REGEXEXTRACT($N44,""^[^｜]+""),"""")&amp;""_""&amp;IFERROR(REGEXEXTRACT($M44,""^[^｜]+""),"""")
      )
     ),
     sy_mst!$A:$A,
     sy_mst!$J:$J
    ),
    0
   )
  )
  *
  IFERROR(XLOOKUP(REGEXEXTR"&amp;"ACT($I44,""^[^｜]+""),ms_mst!$A:$A,ms_mst!$R:$R),1)
  *
  IF(
   $B44&gt;=IFERROR(XLOOKUP(REGEXEXTRACT($L44,""^[^｜]+""),sk_mst!$A:$A,sk_mst!$M:$M),999),
   IFERROR(XLOOKUP(REGEXEXTRACT($L44,""^[^｜]+""),sk_mst!$A:$A,sk_mst!$L:$L),1),
   1
  )
 )
)"),45.0)</f>
        <v>45</v>
      </c>
      <c r="V44" s="25">
        <f t="shared" si="1"/>
        <v>1238483</v>
      </c>
      <c r="W44" s="25">
        <f t="shared" si="2"/>
        <v>76500</v>
      </c>
      <c r="X44" s="25">
        <f t="shared" si="3"/>
        <v>1161983</v>
      </c>
      <c r="Y44" s="25">
        <f t="shared" si="4"/>
        <v>16.19</v>
      </c>
      <c r="Z44" s="25">
        <f>IFERROR(__xludf.DUMMYFUNCTION("IF($A44="""","""",
 IF($F44&lt;&gt;""player"","""",
  IFERROR(
   RANK(
    $X44,
    FILTER($X:$X,$B:$B=$B44,$F:$F=""player"",$X:$X&lt;&gt;""""),
    0
   ),
   """"
  )
 )
)"),1.0)</f>
        <v>1</v>
      </c>
      <c r="AA44" s="25" t="str">
        <f t="shared" si="5"/>
        <v>1位</v>
      </c>
      <c r="AB44" s="26">
        <f t="shared" si="6"/>
        <v>2.559996936</v>
      </c>
    </row>
    <row r="45">
      <c r="A45" s="25" t="s">
        <v>218</v>
      </c>
      <c r="B45" s="14">
        <v>3.0</v>
      </c>
      <c r="C45" s="14" t="s">
        <v>162</v>
      </c>
      <c r="D45" s="14" t="s">
        <v>163</v>
      </c>
      <c r="E45" s="25" t="s">
        <v>153</v>
      </c>
      <c r="F45" s="25" t="s">
        <v>154</v>
      </c>
      <c r="I45" s="25" t="str">
        <f>IFERROR(__xludf.DUMMYFUNCTION("IF($F45&lt;&gt;""player"","""",IFERROR(INDEX(FILTER(group_setup!$D$2:$D947,group_setup!$B$2:$B947=$C45,group_setup!$G$2:$G947=TRUE,group_setup!$H$2:$H947=""completed""),1),""""))"),"M01")</f>
        <v>M01</v>
      </c>
      <c r="J45" s="25" t="str">
        <f>IFERROR(__xludf.DUMMYFUNCTION("IFERROR(FILTER(market_event_log!$D$2:$D947,market_event_log!$C$2:$C947=$B45,market_event_log!$N$2:$N947=""active""),"""")"),"T03")</f>
        <v>T03</v>
      </c>
      <c r="K45" s="25" t="str">
        <f>IFERROR(__xludf.DUMMYFUNCTION("IFERROR(FILTER(market_event_log!$G$2:$G947,market_event_log!$C$2:$C947=$B45,market_event_log!$N$2:$N947=""active""),"""")"),"C03")</f>
        <v>C03</v>
      </c>
      <c r="L45" s="25" t="str">
        <f>IFERROR(__xludf.DUMMYFUNCTION("IF($F45&lt;&gt;""player"","""",IFERROR(INDEX(FILTER(group_setup!$E$2:$E947,group_setup!$B$2:$B947=$C45,group_setup!$G$2:$G947=TRUE,group_setup!$H$2:$H947=""completed""),1),""""))"),"S01")</f>
        <v>S01</v>
      </c>
      <c r="M45" s="25" t="str">
        <f>IFERROR(__xludf.DUMMYFUNCTION("IF($F45=""market"","""",IF($E45=""HUMAN"",IFERROR(FILTER(turn_log!$G$2:$G947,turn_log!$C$2:$C947=$B45,turn_log!$D$2:$D947=$C45,turn_log!$F$2:$F947=$E45),""""),IFERROR(FILTER(turn_log!$I$2:$I947,turn_log!$C$2:$C947=$B45,turn_log!$D$2:$D947=$C45,turn_log!$F"&amp;"$2:$F947=$E45),"""")))"),"A16")</f>
        <v>A16</v>
      </c>
      <c r="N45" s="25" t="str">
        <f>IFERROR(__xludf.DUMMYFUNCTION("IF($F45=""market"","""",IF($E45=""HUMAN"",IFERROR(FILTER(turn_log!$H$2:$H947,turn_log!$C$2:$C947=$B45,turn_log!$D$2:$D947=$C45,turn_log!$F$2:$F947=$E45),""""),IFERROR(FILTER(turn_log!$J$2:$J947,turn_log!$C$2:$C947=$B45,turn_log!$D$2:$D947=$C45,turn_log!$F"&amp;"$2:$F947=$E45),"""")))"),"A17")</f>
        <v>A17</v>
      </c>
      <c r="O45" s="25">
        <f>IFERROR(__xludf.DUMMYFUNCTION("IF($A45="""","""",
 IF($F45=""market"",
  IFERROR(XLOOKUP(REGEXEXTRACT($J45,""^[^｜]+""),tr_mst!$A:$A,tr_mst!$D:$D),0)
  +IFERROR(XLOOKUP(REGEXEXTRACT($K45,""^[^｜]+""),tc_mst!$A:$A,tc_mst!$D:$D),0),
  IF($B45=0,
   IFERROR(XLOOKUP(REGEXEXTRACT($I45,""^[^｜]"&amp;"+""),ms_mst!$A:$A,ms_mst!$D:$D),0),
   IFERROR(XLOOKUP(""T""&amp;($B45-1)&amp;""_""&amp;$D45,$A:$A,$O:$O),0)
  )
  +IFERROR(XLOOKUP(REGEXEXTRACT($J45,""^[^｜]+""),tr_mst!$A:$A,tr_mst!$D:$D),0)
  +IFERROR(XLOOKUP(REGEXEXTRACT($K45,""^[^｜]+""),tc_mst!$A:$A,tc_mst!$D:$D)"&amp;",0)
  +
  (
   IFERROR(XLOOKUP(REGEXEXTRACT($M45,""^[^｜]+""),ac_mst!$A:$A,ac_mst!$G:$G),0)
   +IFERROR(XLOOKUP(REGEXEXTRACT($N45,""^[^｜]+""),ac_mst!$A:$A,ac_mst!$G:$G),0)
   +IFERROR(
    XLOOKUP(
     IF(
      OR(
       IFERROR(REGEXEXTRACT($M45,""^[^｜"&amp;"]+""),"""")="""",
       IFERROR(REGEXEXTRACT($N45,""^[^｜]+""),"""")=""""
      ),
      """",
      IF(
       IFERROR(REGEXEXTRACT($M45,""^[^｜]+""),"""")&lt;IFERROR(REGEXEXTRACT($N45,""^[^｜]+""),""""),
       IFERROR(REGEXEXTRACT($M45,""^[^｜]+""),"""")&amp;""_"&amp;"""&amp;IFERROR(REGEXEXTRACT($N45,""^[^｜]+""),""""),
       IFERROR(REGEXEXTRACT($N45,""^[^｜]+""),"""")&amp;""_""&amp;IFERROR(REGEXEXTRACT($M45,""^[^｜]+""),"""")
      )
     ),
     sy_mst!$A:$A,
     sy_mst!$D:$D
    ),
    0
   )
  )
  *
  IFERROR(XLOOKUP(REGEXEXTR"&amp;"ACT($I45,""^[^｜]+""),ms_mst!$A:$A,ms_mst!$L:$L),1)
  *
  IF(
   $B45&gt;=IFERROR(XLOOKUP(REGEXEXTRACT($L45,""^[^｜]+""),sk_mst!$A:$A,sk_mst!$M:$M),999),
   IFERROR(XLOOKUP(REGEXEXTRACT($L45,""^[^｜]+""),sk_mst!$A:$A,sk_mst!$F:$F),1),
   1
  )
 )
)"),11160.0)</f>
        <v>11160</v>
      </c>
      <c r="P45" s="25">
        <f>IFERROR(__xludf.DUMMYFUNCTION("IF($A45="""","""",
 IF($F45=""market"",
  IFERROR(XLOOKUP(REGEXEXTRACT($J45,""^[^｜]+""),tr_mst!$A:$A,tr_mst!$E:$E),0)
  +IFERROR(XLOOKUP(REGEXEXTRACT($K45,""^[^｜]+""),tc_mst!$A:$A,tc_mst!$E:$E),0),
  IF($B45=0,
   IFERROR(XLOOKUP(REGEXEXTRACT($I45,""^[^｜]"&amp;"+""),ms_mst!$A:$A,ms_mst!$E:$E),0),
   IFERROR(XLOOKUP(""T""&amp;($B45-1)&amp;""_""&amp;$D45,$A:$A,$P:$P),0)
  )
  +IFERROR(XLOOKUP(REGEXEXTRACT($J45,""^[^｜]+""),tr_mst!$A:$A,tr_mst!$E:$E),0)
  +IFERROR(XLOOKUP(REGEXEXTRACT($K45,""^[^｜]+""),tc_mst!$A:$A,tc_mst!$E:$E)"&amp;",0)
  +
  (
   IFERROR(XLOOKUP(REGEXEXTRACT($M45,""^[^｜]+""),ac_mst!$A:$A,ac_mst!$H:$H),0)
   +IFERROR(XLOOKUP(REGEXEXTRACT($N45,""^[^｜]+""),ac_mst!$A:$A,ac_mst!$H:$H),0)
   +IFERROR(
    XLOOKUP(
     IF(
      OR(
       IFERROR(REGEXEXTRACT($M45,""^[^｜"&amp;"]+""),"""")="""",
       IFERROR(REGEXEXTRACT($N45,""^[^｜]+""),"""")=""""
      ),
      """",
      IF(
       IFERROR(REGEXEXTRACT($M45,""^[^｜]+""),"""")&lt;IFERROR(REGEXEXTRACT($N45,""^[^｜]+""),""""),
       IFERROR(REGEXEXTRACT($M45,""^[^｜]+""),"""")&amp;""_"&amp;"""&amp;IFERROR(REGEXEXTRACT($N45,""^[^｜]+""),""""),
       IFERROR(REGEXEXTRACT($N45,""^[^｜]+""),"""")&amp;""_""&amp;IFERROR(REGEXEXTRACT($M45,""^[^｜]+""),"""")
      )
     ),
     sy_mst!$A:$A,
     sy_mst!$E:$E
    ),
    0
   )
  )
  *
  IFERROR(XLOOKUP(REGEXEXTR"&amp;"ACT($I45,""^[^｜]+""),ms_mst!$A:$A,ms_mst!$M:$M),1)
  *
  IF(
   $B45&gt;=IFERROR(XLOOKUP(REGEXEXTRACT($L45,""^[^｜]+""),sk_mst!$A:$A,sk_mst!$M:$M),999),
   IFERROR(XLOOKUP(REGEXEXTRACT($L45,""^[^｜]+""),sk_mst!$A:$A,sk_mst!$G:$G),1),
   1
  )
 )
)"),3000.0)</f>
        <v>3000</v>
      </c>
      <c r="Q45" s="25">
        <f>IFERROR(__xludf.DUMMYFUNCTION("IF($A45="""","""",
 IF($F45=""market"",
  IFERROR(XLOOKUP(REGEXEXTRACT($J45,""^[^｜]+""),tr_mst!$A:$A,tr_mst!$F:$F),0)
  +IFERROR(XLOOKUP(REGEXEXTRACT($K45,""^[^｜]+""),tc_mst!$A:$A,tc_mst!$F:$F),0),
  IF($B45=0,
   IFERROR(XLOOKUP(REGEXEXTRACT($I45,""^[^｜]"&amp;"+""),ms_mst!$A:$A,ms_mst!$F:$F),0),
   IFERROR(XLOOKUP(""T""&amp;($B45-1)&amp;""_""&amp;$D45,$A:$A,$Q:$Q),0)
  )
  +IFERROR(XLOOKUP(REGEXEXTRACT($J45,""^[^｜]+""),tr_mst!$A:$A,tr_mst!$F:$F),0)
  +IFERROR(XLOOKUP(REGEXEXTRACT($K45,""^[^｜]+""),tc_mst!$A:$A,tc_mst!$F:$F)"&amp;",0)
  +
  (
   IFERROR(XLOOKUP(REGEXEXTRACT($M45,""^[^｜]+""),ac_mst!$A:$A,ac_mst!$I:$I),0)
   +IFERROR(XLOOKUP(REGEXEXTRACT($N45,""^[^｜]+""),ac_mst!$A:$A,ac_mst!$I:$I),0)
   +IFERROR(
    XLOOKUP(
     IF(
      OR(
       IFERROR(REGEXEXTRACT($M45,""^[^｜"&amp;"]+""),"""")="""",
       IFERROR(REGEXEXTRACT($N45,""^[^｜]+""),"""")=""""
      ),
      """",
      IF(
       IFERROR(REGEXEXTRACT($M45,""^[^｜]+""),"""")&lt;IFERROR(REGEXEXTRACT($N45,""^[^｜]+""),""""),
       IFERROR(REGEXEXTRACT($M45,""^[^｜]+""),"""")&amp;""_"&amp;"""&amp;IFERROR(REGEXEXTRACT($N45,""^[^｜]+""),""""),
       IFERROR(REGEXEXTRACT($N45,""^[^｜]+""),"""")&amp;""_""&amp;IFERROR(REGEXEXTRACT($M45,""^[^｜]+""),"""")
      )
     ),
     sy_mst!$A:$A,
     sy_mst!$F:$F
    ),
    0
   )
  )
  *
  IFERROR(XLOOKUP(REGEXEXTR"&amp;"ACT($I45,""^[^｜]+""),ms_mst!$A:$A,ms_mst!$N:$N),1)
  *
  IF(
   $B45&gt;=IFERROR(XLOOKUP(REGEXEXTRACT($L45,""^[^｜]+""),sk_mst!$A:$A,sk_mst!$M:$M),999),
   IFERROR(XLOOKUP(REGEXEXTRACT($L45,""^[^｜]+""),sk_mst!$A:$A,sk_mst!$H:$H),1),
   1
  )
 )
)"),0.5199999999999999)</f>
        <v>0.52</v>
      </c>
      <c r="R45" s="25">
        <f>IFERROR(__xludf.DUMMYFUNCTION("IF($A45="""","""",
 IF($F45=""market"",
  IFERROR(XLOOKUP(REGEXEXTRACT($J45,""^[^｜]+""),tr_mst!$A:$A,tr_mst!$G:$G),0)
  +IFERROR(XLOOKUP(REGEXEXTRACT($K45,""^[^｜]+""),tc_mst!$A:$A,tc_mst!$G:$G),0),
  IF($B45=0,
   IFERROR(XLOOKUP(REGEXEXTRACT($I45,""^[^｜]"&amp;"+""),ms_mst!$A:$A,ms_mst!$G:$G),0),
   IFERROR(XLOOKUP(""T""&amp;($B45-1)&amp;""_""&amp;$D45,$A:$A,$R:$R),0)
  )
  +IFERROR(XLOOKUP(REGEXEXTRACT($J45,""^[^｜]+""),tr_mst!$A:$A,tr_mst!$G:$G),0)
  +IFERROR(XLOOKUP(REGEXEXTRACT($K45,""^[^｜]+""),tc_mst!$A:$A,tc_mst!$G:$G)"&amp;",0)
  +
  (
   IFERROR(XLOOKUP(REGEXEXTRACT($M45,""^[^｜]+""),ac_mst!$A:$A,ac_mst!$J:$J),0)
   +IFERROR(XLOOKUP(REGEXEXTRACT($N45,""^[^｜]+""),ac_mst!$A:$A,ac_mst!$J:$J),0)
   +IFERROR(
    XLOOKUP(
     IF(
      OR(
       IFERROR(REGEXEXTRACT($M45,""^[^｜"&amp;"]+""),"""")="""",
       IFERROR(REGEXEXTRACT($N45,""^[^｜]+""),"""")=""""
      ),
      """",
      IF(
       IFERROR(REGEXEXTRACT($M45,""^[^｜]+""),"""")&lt;IFERROR(REGEXEXTRACT($N45,""^[^｜]+""),""""),
       IFERROR(REGEXEXTRACT($M45,""^[^｜]+""),"""")&amp;""_"&amp;"""&amp;IFERROR(REGEXEXTRACT($N45,""^[^｜]+""),""""),
       IFERROR(REGEXEXTRACT($N45,""^[^｜]+""),"""")&amp;""_""&amp;IFERROR(REGEXEXTRACT($M45,""^[^｜]+""),"""")
      )
     ),
     sy_mst!$A:$A,
     sy_mst!$G:$G
    ),
    0
   )
  )
  *
  IFERROR(XLOOKUP(REGEXEXTR"&amp;"ACT($I45,""^[^｜]+""),ms_mst!$A:$A,ms_mst!$O:$O),1)
  *
  IF(
   $B45&gt;=IFERROR(XLOOKUP(REGEXEXTRACT($L45,""^[^｜]+""),sk_mst!$A:$A,sk_mst!$M:$M),999),
   IFERROR(XLOOKUP(REGEXEXTRACT($L45,""^[^｜]+""),sk_mst!$A:$A,sk_mst!$I:$I),1),
   1
  )
 )
)"),1.5465)</f>
        <v>1.5465</v>
      </c>
      <c r="S45" s="25">
        <f>IFERROR(__xludf.DUMMYFUNCTION("IF($A45="""","""",
 IF($F45=""market"",
  IFERROR(XLOOKUP(REGEXEXTRACT($J45,""^[^｜]+""),tr_mst!$A:$A,tr_mst!$H:$H),0)
  +IFERROR(XLOOKUP(REGEXEXTRACT($K45,""^[^｜]+""),tc_mst!$A:$A,tc_mst!$H:$H),0),
  IF($B45=0,
   IFERROR(XLOOKUP(REGEXEXTRACT($I45,""^[^｜]"&amp;"+""),ms_mst!$A:$A,ms_mst!$H:$H),0),
   IFERROR(XLOOKUP(""T""&amp;($B45-1)&amp;""_""&amp;$D45,$A:$A,$S:$S),0)
  )
  +IFERROR(XLOOKUP(REGEXEXTRACT($J45,""^[^｜]+""),tr_mst!$A:$A,tr_mst!$H:$H),0)
  +IFERROR(XLOOKUP(REGEXEXTRACT($K45,""^[^｜]+""),tc_mst!$A:$A,tc_mst!$H:$H)"&amp;",0)
  +
  (
   IFERROR(XLOOKUP(REGEXEXTRACT($M45,""^[^｜]+""),ac_mst!$A:$A,ac_mst!$K:$K),0)
   +IFERROR(XLOOKUP(REGEXEXTRACT($N45,""^[^｜]+""),ac_mst!$A:$A,ac_mst!$K:$K),0)
   +IFERROR(
    XLOOKUP(
     IF(
      OR(
       IFERROR(REGEXEXTRACT($M45,""^[^｜"&amp;"]+""),"""")="""",
       IFERROR(REGEXEXTRACT($N45,""^[^｜]+""),"""")=""""
      ),
      """",
      IF(
       IFERROR(REGEXEXTRACT($M45,""^[^｜]+""),"""")&lt;IFERROR(REGEXEXTRACT($N45,""^[^｜]+""),""""),
       IFERROR(REGEXEXTRACT($M45,""^[^｜]+""),"""")&amp;""_"&amp;"""&amp;IFERROR(REGEXEXTRACT($N45,""^[^｜]+""),""""),
       IFERROR(REGEXEXTRACT($N45,""^[^｜]+""),"""")&amp;""_""&amp;IFERROR(REGEXEXTRACT($M45,""^[^｜]+""),"""")
      )
     ),
     sy_mst!$A:$A,
     sy_mst!$H:$H
    ),
    0
   )
  )
  *
  IFERROR(XLOOKUP(REGEXEXTR"&amp;"ACT($I45,""^[^｜]+""),ms_mst!$A:$A,ms_mst!$P:$P),1)
  *
  IF(
   $B45&gt;=IFERROR(XLOOKUP(REGEXEXTRACT($L45,""^[^｜]+""),sk_mst!$A:$A,sk_mst!$M:$M),999),
   IFERROR(XLOOKUP(REGEXEXTRACT($L45,""^[^｜]+""),sk_mst!$A:$A,sk_mst!$J:$J),1),
   1
  )
 )
)"),0.0188)</f>
        <v>0.0188</v>
      </c>
      <c r="T45" s="25">
        <f>IFERROR(__xludf.DUMMYFUNCTION("IF($A45="""","""",
 IF($F45=""market"",
  IFERROR(XLOOKUP(REGEXEXTRACT($J45,""^[^｜]+""),tr_mst!$A:$A,tr_mst!$I:$I),0)
  +IFERROR(XLOOKUP(REGEXEXTRACT($K45,""^[^｜]+""),tc_mst!$A:$A,tc_mst!$I:$I),0),
  IF($B45=0,
   IFERROR(XLOOKUP(REGEXEXTRACT($I45,""^[^｜]"&amp;"+""),ms_mst!$A:$A,ms_mst!$I:$I),0),
   IFERROR(XLOOKUP(""T""&amp;($B45-1)&amp;""_""&amp;$D45,$A:$A,$T:$T),0)
  )
  +IFERROR(XLOOKUP(REGEXEXTRACT($J45,""^[^｜]+""),tr_mst!$A:$A,tr_mst!$I:$I),0)
  +IFERROR(XLOOKUP(REGEXEXTRACT($K45,""^[^｜]+""),tc_mst!$A:$A,tc_mst!$I:$I)"&amp;",0)
  +
  (
   IFERROR(XLOOKUP(REGEXEXTRACT($M45,""^[^｜]+""),ac_mst!$A:$A,ac_mst!$L:$L),0)
   +IFERROR(XLOOKUP(REGEXEXTRACT($N45,""^[^｜]+""),ac_mst!$A:$A,ac_mst!$L:$L),0)
   +IFERROR(
    XLOOKUP(
     IF(
      OR(
       IFERROR(REGEXEXTRACT($M45,""^[^｜"&amp;"]+""),"""")="""",
       IFERROR(REGEXEXTRACT($N45,""^[^｜]+""),"""")=""""
      ),
      """",
      IF(
       IFERROR(REGEXEXTRACT($M45,""^[^｜]+""),"""")&lt;IFERROR(REGEXEXTRACT($N45,""^[^｜]+""),""""),
       IFERROR(REGEXEXTRACT($M45,""^[^｜]+""),"""")&amp;""_"&amp;"""&amp;IFERROR(REGEXEXTRACT($N45,""^[^｜]+""),""""),
       IFERROR(REGEXEXTRACT($N45,""^[^｜]+""),"""")&amp;""_""&amp;IFERROR(REGEXEXTRACT($M45,""^[^｜]+""),"""")
      )
     ),
     sy_mst!$A:$A,
     sy_mst!$I:$I
    ),
    0
   )
  )
  *
  IFERROR(XLOOKUP(REGEXEXTR"&amp;"ACT($I45,""^[^｜]+""),ms_mst!$A:$A,ms_mst!$Q:$Q),1)
  *
  IF(
   $B45&gt;=IFERROR(XLOOKUP(REGEXEXTRACT($L45,""^[^｜]+""),sk_mst!$A:$A,sk_mst!$M:$M),999),
   IFERROR(XLOOKUP(REGEXEXTRACT($L45,""^[^｜]+""),sk_mst!$A:$A,sk_mst!$K:$K),1),
   1
  )
 )
)"),4350.0)</f>
        <v>4350</v>
      </c>
      <c r="U45" s="25">
        <f>IFERROR(__xludf.DUMMYFUNCTION("IF($A45="""","""",
 IF($F45=""market"",
  IFERROR(XLOOKUP(REGEXEXTRACT($J45,""^[^｜]+""),tr_mst!$A:$A,tr_mst!$J:$J),0)
  +IFERROR(XLOOKUP(REGEXEXTRACT($K45,""^[^｜]+""),tc_mst!$A:$A,tc_mst!$J:$J),0),
  IF($B45=0,
   IFERROR(XLOOKUP(REGEXEXTRACT($I45,""^[^｜]"&amp;"+""),ms_mst!$A:$A,ms_mst!$J:$J),0),
   IFERROR(XLOOKUP(""T""&amp;($B45-1)&amp;""_""&amp;$D45,$A:$A,$U:$U),0)
  )
  +IFERROR(XLOOKUP(REGEXEXTRACT($J45,""^[^｜]+""),tr_mst!$A:$A,tr_mst!$J:$J),0)
  +IFERROR(XLOOKUP(REGEXEXTRACT($K45,""^[^｜]+""),tc_mst!$A:$A,tc_mst!$J:$J)"&amp;",0)
  +
  (
   IFERROR(XLOOKUP(REGEXEXTRACT($M45,""^[^｜]+""),ac_mst!$A:$A,ac_mst!$M:$M),0)
   +IFERROR(XLOOKUP(REGEXEXTRACT($N45,""^[^｜]+""),ac_mst!$A:$A,ac_mst!$M:$M),0)
   +IFERROR(
    XLOOKUP(
     IF(
      OR(
       IFERROR(REGEXEXTRACT($M45,""^[^｜"&amp;"]+""),"""")="""",
       IFERROR(REGEXEXTRACT($N45,""^[^｜]+""),"""")=""""
      ),
      """",
      IF(
       IFERROR(REGEXEXTRACT($M45,""^[^｜]+""),"""")&lt;IFERROR(REGEXEXTRACT($N45,""^[^｜]+""),""""),
       IFERROR(REGEXEXTRACT($M45,""^[^｜]+""),"""")&amp;""_"&amp;"""&amp;IFERROR(REGEXEXTRACT($N45,""^[^｜]+""),""""),
       IFERROR(REGEXEXTRACT($N45,""^[^｜]+""),"""")&amp;""_""&amp;IFERROR(REGEXEXTRACT($M45,""^[^｜]+""),"""")
      )
     ),
     sy_mst!$A:$A,
     sy_mst!$J:$J
    ),
    0
   )
  )
  *
  IFERROR(XLOOKUP(REGEXEXTR"&amp;"ACT($I45,""^[^｜]+""),ms_mst!$A:$A,ms_mst!$R:$R),1)
  *
  IF(
   $B45&gt;=IFERROR(XLOOKUP(REGEXEXTRACT($L45,""^[^｜]+""),sk_mst!$A:$A,sk_mst!$M:$M),999),
   IFERROR(XLOOKUP(REGEXEXTRACT($L45,""^[^｜]+""),sk_mst!$A:$A,sk_mst!$L:$L),1),
   1
  )
 )
)"),55.0)</f>
        <v>55</v>
      </c>
      <c r="V45" s="25">
        <f t="shared" si="1"/>
        <v>859610</v>
      </c>
      <c r="W45" s="25">
        <f t="shared" si="2"/>
        <v>165000</v>
      </c>
      <c r="X45" s="25">
        <f t="shared" si="3"/>
        <v>694610</v>
      </c>
      <c r="Y45" s="25">
        <f t="shared" si="4"/>
        <v>5.21</v>
      </c>
      <c r="Z45" s="25">
        <f>IFERROR(__xludf.DUMMYFUNCTION("IF($A45="""","""",
 IF($F45&lt;&gt;""player"","""",
  IFERROR(
   RANK(
    $X45,
    FILTER($X:$X,$B:$B=$B45,$F:$F=""player"",$X:$X&lt;&gt;""""),
    0
   ),
   """"
  )
 )
)"),5.0)</f>
        <v>5</v>
      </c>
      <c r="AA45" s="25" t="str">
        <f t="shared" si="5"/>
        <v>5位</v>
      </c>
      <c r="AB45" s="26">
        <f t="shared" si="6"/>
        <v>5.1779355</v>
      </c>
    </row>
    <row r="46">
      <c r="A46" s="25" t="s">
        <v>219</v>
      </c>
      <c r="B46" s="14">
        <v>3.0</v>
      </c>
      <c r="C46" s="14" t="s">
        <v>165</v>
      </c>
      <c r="D46" s="14" t="s">
        <v>166</v>
      </c>
      <c r="E46" s="25" t="s">
        <v>153</v>
      </c>
      <c r="F46" s="25" t="s">
        <v>154</v>
      </c>
      <c r="I46" s="25" t="str">
        <f>IFERROR(__xludf.DUMMYFUNCTION("IF($F46&lt;&gt;""player"","""",IFERROR(INDEX(FILTER(group_setup!$D$2:$D947,group_setup!$B$2:$B947=$C46,group_setup!$G$2:$G947=TRUE,group_setup!$H$2:$H947=""completed""),1),""""))"),"M10")</f>
        <v>M10</v>
      </c>
      <c r="J46" s="25" t="str">
        <f>IFERROR(__xludf.DUMMYFUNCTION("IFERROR(FILTER(market_event_log!$D$2:$D947,market_event_log!$C$2:$C947=$B46,market_event_log!$N$2:$N947=""active""),"""")"),"T03")</f>
        <v>T03</v>
      </c>
      <c r="K46" s="25" t="str">
        <f>IFERROR(__xludf.DUMMYFUNCTION("IFERROR(FILTER(market_event_log!$G$2:$G947,market_event_log!$C$2:$C947=$B46,market_event_log!$N$2:$N947=""active""),"""")"),"C03")</f>
        <v>C03</v>
      </c>
      <c r="L46" s="25" t="str">
        <f>IFERROR(__xludf.DUMMYFUNCTION("IF($F46&lt;&gt;""player"","""",IFERROR(INDEX(FILTER(group_setup!$E$2:$E947,group_setup!$B$2:$B947=$C46,group_setup!$G$2:$G947=TRUE,group_setup!$H$2:$H947=""completed""),1),""""))"),"S06")</f>
        <v>S06</v>
      </c>
      <c r="M46" s="25" t="str">
        <f>IFERROR(__xludf.DUMMYFUNCTION("IF($F46=""market"","""",IF($E46=""HUMAN"",IFERROR(FILTER(turn_log!$G$2:$G947,turn_log!$C$2:$C947=$B46,turn_log!$D$2:$D947=$C46,turn_log!$F$2:$F947=$E46),""""),IFERROR(FILTER(turn_log!$I$2:$I947,turn_log!$C$2:$C947=$B46,turn_log!$D$2:$D947=$C46,turn_log!$F"&amp;"$2:$F947=$E46),"""")))"),"A06")</f>
        <v>A06</v>
      </c>
      <c r="N46" s="25" t="str">
        <f>IFERROR(__xludf.DUMMYFUNCTION("IF($F46=""market"","""",IF($E46=""HUMAN"",IFERROR(FILTER(turn_log!$H$2:$H947,turn_log!$C$2:$C947=$B46,turn_log!$D$2:$D947=$C46,turn_log!$F$2:$F947=$E46),""""),IFERROR(FILTER(turn_log!$J$2:$J947,turn_log!$C$2:$C947=$B46,turn_log!$D$2:$D947=$C46,turn_log!$F"&amp;"$2:$F947=$E46),"""")))"),"A13")</f>
        <v>A13</v>
      </c>
      <c r="O46" s="25">
        <f>IFERROR(__xludf.DUMMYFUNCTION("IF($A46="""","""",
 IF($F46=""market"",
  IFERROR(XLOOKUP(REGEXEXTRACT($J46,""^[^｜]+""),tr_mst!$A:$A,tr_mst!$D:$D),0)
  +IFERROR(XLOOKUP(REGEXEXTRACT($K46,""^[^｜]+""),tc_mst!$A:$A,tc_mst!$D:$D),0),
  IF($B46=0,
   IFERROR(XLOOKUP(REGEXEXTRACT($I46,""^[^｜]"&amp;"+""),ms_mst!$A:$A,ms_mst!$D:$D),0),
   IFERROR(XLOOKUP(""T""&amp;($B46-1)&amp;""_""&amp;$D46,$A:$A,$O:$O),0)
  )
  +IFERROR(XLOOKUP(REGEXEXTRACT($J46,""^[^｜]+""),tr_mst!$A:$A,tr_mst!$D:$D),0)
  +IFERROR(XLOOKUP(REGEXEXTRACT($K46,""^[^｜]+""),tc_mst!$A:$A,tc_mst!$D:$D)"&amp;",0)
  +
  (
   IFERROR(XLOOKUP(REGEXEXTRACT($M46,""^[^｜]+""),ac_mst!$A:$A,ac_mst!$G:$G),0)
   +IFERROR(XLOOKUP(REGEXEXTRACT($N46,""^[^｜]+""),ac_mst!$A:$A,ac_mst!$G:$G),0)
   +IFERROR(
    XLOOKUP(
     IF(
      OR(
       IFERROR(REGEXEXTRACT($M46,""^[^｜"&amp;"]+""),"""")="""",
       IFERROR(REGEXEXTRACT($N46,""^[^｜]+""),"""")=""""
      ),
      """",
      IF(
       IFERROR(REGEXEXTRACT($M46,""^[^｜]+""),"""")&lt;IFERROR(REGEXEXTRACT($N46,""^[^｜]+""),""""),
       IFERROR(REGEXEXTRACT($M46,""^[^｜]+""),"""")&amp;""_"&amp;"""&amp;IFERROR(REGEXEXTRACT($N46,""^[^｜]+""),""""),
       IFERROR(REGEXEXTRACT($N46,""^[^｜]+""),"""")&amp;""_""&amp;IFERROR(REGEXEXTRACT($M46,""^[^｜]+""),"""")
      )
     ),
     sy_mst!$A:$A,
     sy_mst!$D:$D
    ),
    0
   )
  )
  *
  IFERROR(XLOOKUP(REGEXEXTR"&amp;"ACT($I46,""^[^｜]+""),ms_mst!$A:$A,ms_mst!$L:$L),1)
  *
  IF(
   $B46&gt;=IFERROR(XLOOKUP(REGEXEXTRACT($L46,""^[^｜]+""),sk_mst!$A:$A,sk_mst!$M:$M),999),
   IFERROR(XLOOKUP(REGEXEXTRACT($L46,""^[^｜]+""),sk_mst!$A:$A,sk_mst!$F:$F),1),
   1
  )
 )
)"),10500.0)</f>
        <v>10500</v>
      </c>
      <c r="P46" s="25">
        <f>IFERROR(__xludf.DUMMYFUNCTION("IF($A46="""","""",
 IF($F46=""market"",
  IFERROR(XLOOKUP(REGEXEXTRACT($J46,""^[^｜]+""),tr_mst!$A:$A,tr_mst!$E:$E),0)
  +IFERROR(XLOOKUP(REGEXEXTRACT($K46,""^[^｜]+""),tc_mst!$A:$A,tc_mst!$E:$E),0),
  IF($B46=0,
   IFERROR(XLOOKUP(REGEXEXTRACT($I46,""^[^｜]"&amp;"+""),ms_mst!$A:$A,ms_mst!$E:$E),0),
   IFERROR(XLOOKUP(""T""&amp;($B46-1)&amp;""_""&amp;$D46,$A:$A,$P:$P),0)
  )
  +IFERROR(XLOOKUP(REGEXEXTRACT($J46,""^[^｜]+""),tr_mst!$A:$A,tr_mst!$E:$E),0)
  +IFERROR(XLOOKUP(REGEXEXTRACT($K46,""^[^｜]+""),tc_mst!$A:$A,tc_mst!$E:$E)"&amp;",0)
  +
  (
   IFERROR(XLOOKUP(REGEXEXTRACT($M46,""^[^｜]+""),ac_mst!$A:$A,ac_mst!$H:$H),0)
   +IFERROR(XLOOKUP(REGEXEXTRACT($N46,""^[^｜]+""),ac_mst!$A:$A,ac_mst!$H:$H),0)
   +IFERROR(
    XLOOKUP(
     IF(
      OR(
       IFERROR(REGEXEXTRACT($M46,""^[^｜"&amp;"]+""),"""")="""",
       IFERROR(REGEXEXTRACT($N46,""^[^｜]+""),"""")=""""
      ),
      """",
      IF(
       IFERROR(REGEXEXTRACT($M46,""^[^｜]+""),"""")&lt;IFERROR(REGEXEXTRACT($N46,""^[^｜]+""),""""),
       IFERROR(REGEXEXTRACT($M46,""^[^｜]+""),"""")&amp;""_"&amp;"""&amp;IFERROR(REGEXEXTRACT($N46,""^[^｜]+""),""""),
       IFERROR(REGEXEXTRACT($N46,""^[^｜]+""),"""")&amp;""_""&amp;IFERROR(REGEXEXTRACT($M46,""^[^｜]+""),"""")
      )
     ),
     sy_mst!$A:$A,
     sy_mst!$E:$E
    ),
    0
   )
  )
  *
  IFERROR(XLOOKUP(REGEXEXTR"&amp;"ACT($I46,""^[^｜]+""),ms_mst!$A:$A,ms_mst!$M:$M),1)
  *
  IF(
   $B46&gt;=IFERROR(XLOOKUP(REGEXEXTRACT($L46,""^[^｜]+""),sk_mst!$A:$A,sk_mst!$M:$M),999),
   IFERROR(XLOOKUP(REGEXEXTRACT($L46,""^[^｜]+""),sk_mst!$A:$A,sk_mst!$G:$G),1),
   1
  )
 )
)"),3950.0)</f>
        <v>3950</v>
      </c>
      <c r="Q46" s="25">
        <f>IFERROR(__xludf.DUMMYFUNCTION("IF($A46="""","""",
 IF($F46=""market"",
  IFERROR(XLOOKUP(REGEXEXTRACT($J46,""^[^｜]+""),tr_mst!$A:$A,tr_mst!$F:$F),0)
  +IFERROR(XLOOKUP(REGEXEXTRACT($K46,""^[^｜]+""),tc_mst!$A:$A,tc_mst!$F:$F),0),
  IF($B46=0,
   IFERROR(XLOOKUP(REGEXEXTRACT($I46,""^[^｜]"&amp;"+""),ms_mst!$A:$A,ms_mst!$F:$F),0),
   IFERROR(XLOOKUP(""T""&amp;($B46-1)&amp;""_""&amp;$D46,$A:$A,$Q:$Q),0)
  )
  +IFERROR(XLOOKUP(REGEXEXTRACT($J46,""^[^｜]+""),tr_mst!$A:$A,tr_mst!$F:$F),0)
  +IFERROR(XLOOKUP(REGEXEXTRACT($K46,""^[^｜]+""),tc_mst!$A:$A,tc_mst!$F:$F)"&amp;",0)
  +
  (
   IFERROR(XLOOKUP(REGEXEXTRACT($M46,""^[^｜]+""),ac_mst!$A:$A,ac_mst!$I:$I),0)
   +IFERROR(XLOOKUP(REGEXEXTRACT($N46,""^[^｜]+""),ac_mst!$A:$A,ac_mst!$I:$I),0)
   +IFERROR(
    XLOOKUP(
     IF(
      OR(
       IFERROR(REGEXEXTRACT($M46,""^[^｜"&amp;"]+""),"""")="""",
       IFERROR(REGEXEXTRACT($N46,""^[^｜]+""),"""")=""""
      ),
      """",
      IF(
       IFERROR(REGEXEXTRACT($M46,""^[^｜]+""),"""")&lt;IFERROR(REGEXEXTRACT($N46,""^[^｜]+""),""""),
       IFERROR(REGEXEXTRACT($M46,""^[^｜]+""),"""")&amp;""_"&amp;"""&amp;IFERROR(REGEXEXTRACT($N46,""^[^｜]+""),""""),
       IFERROR(REGEXEXTRACT($N46,""^[^｜]+""),"""")&amp;""_""&amp;IFERROR(REGEXEXTRACT($M46,""^[^｜]+""),"""")
      )
     ),
     sy_mst!$A:$A,
     sy_mst!$F:$F
    ),
    0
   )
  )
  *
  IFERROR(XLOOKUP(REGEXEXTR"&amp;"ACT($I46,""^[^｜]+""),ms_mst!$A:$A,ms_mst!$N:$N),1)
  *
  IF(
   $B46&gt;=IFERROR(XLOOKUP(REGEXEXTRACT($L46,""^[^｜]+""),sk_mst!$A:$A,sk_mst!$M:$M),999),
   IFERROR(XLOOKUP(REGEXEXTRACT($L46,""^[^｜]+""),sk_mst!$A:$A,sk_mst!$H:$H),1),
   1
  )
 )
)"),0.5099999999999999)</f>
        <v>0.51</v>
      </c>
      <c r="R46" s="25">
        <f>IFERROR(__xludf.DUMMYFUNCTION("IF($A46="""","""",
 IF($F46=""market"",
  IFERROR(XLOOKUP(REGEXEXTRACT($J46,""^[^｜]+""),tr_mst!$A:$A,tr_mst!$G:$G),0)
  +IFERROR(XLOOKUP(REGEXEXTRACT($K46,""^[^｜]+""),tc_mst!$A:$A,tc_mst!$G:$G),0),
  IF($B46=0,
   IFERROR(XLOOKUP(REGEXEXTRACT($I46,""^[^｜]"&amp;"+""),ms_mst!$A:$A,ms_mst!$G:$G),0),
   IFERROR(XLOOKUP(""T""&amp;($B46-1)&amp;""_""&amp;$D46,$A:$A,$R:$R),0)
  )
  +IFERROR(XLOOKUP(REGEXEXTRACT($J46,""^[^｜]+""),tr_mst!$A:$A,tr_mst!$G:$G),0)
  +IFERROR(XLOOKUP(REGEXEXTRACT($K46,""^[^｜]+""),tc_mst!$A:$A,tc_mst!$G:$G)"&amp;",0)
  +
  (
   IFERROR(XLOOKUP(REGEXEXTRACT($M46,""^[^｜]+""),ac_mst!$A:$A,ac_mst!$J:$J),0)
   +IFERROR(XLOOKUP(REGEXEXTRACT($N46,""^[^｜]+""),ac_mst!$A:$A,ac_mst!$J:$J),0)
   +IFERROR(
    XLOOKUP(
     IF(
      OR(
       IFERROR(REGEXEXTRACT($M46,""^[^｜"&amp;"]+""),"""")="""",
       IFERROR(REGEXEXTRACT($N46,""^[^｜]+""),"""")=""""
      ),
      """",
      IF(
       IFERROR(REGEXEXTRACT($M46,""^[^｜]+""),"""")&lt;IFERROR(REGEXEXTRACT($N46,""^[^｜]+""),""""),
       IFERROR(REGEXEXTRACT($M46,""^[^｜]+""),"""")&amp;""_"&amp;"""&amp;IFERROR(REGEXEXTRACT($N46,""^[^｜]+""),""""),
       IFERROR(REGEXEXTRACT($N46,""^[^｜]+""),"""")&amp;""_""&amp;IFERROR(REGEXEXTRACT($M46,""^[^｜]+""),"""")
      )
     ),
     sy_mst!$A:$A,
     sy_mst!$G:$G
    ),
    0
   )
  )
  *
  IFERROR(XLOOKUP(REGEXEXTR"&amp;"ACT($I46,""^[^｜]+""),ms_mst!$A:$A,ms_mst!$O:$O),1)
  *
  IF(
   $B46&gt;=IFERROR(XLOOKUP(REGEXEXTRACT($L46,""^[^｜]+""),sk_mst!$A:$A,sk_mst!$M:$M),999),
   IFERROR(XLOOKUP(REGEXEXTRACT($L46,""^[^｜]+""),sk_mst!$A:$A,sk_mst!$I:$I),1),
   1
  )
 )
)"),1.4649999999999999)</f>
        <v>1.465</v>
      </c>
      <c r="S46" s="25">
        <f>IFERROR(__xludf.DUMMYFUNCTION("IF($A46="""","""",
 IF($F46=""market"",
  IFERROR(XLOOKUP(REGEXEXTRACT($J46,""^[^｜]+""),tr_mst!$A:$A,tr_mst!$H:$H),0)
  +IFERROR(XLOOKUP(REGEXEXTRACT($K46,""^[^｜]+""),tc_mst!$A:$A,tc_mst!$H:$H),0),
  IF($B46=0,
   IFERROR(XLOOKUP(REGEXEXTRACT($I46,""^[^｜]"&amp;"+""),ms_mst!$A:$A,ms_mst!$H:$H),0),
   IFERROR(XLOOKUP(""T""&amp;($B46-1)&amp;""_""&amp;$D46,$A:$A,$S:$S),0)
  )
  +IFERROR(XLOOKUP(REGEXEXTRACT($J46,""^[^｜]+""),tr_mst!$A:$A,tr_mst!$H:$H),0)
  +IFERROR(XLOOKUP(REGEXEXTRACT($K46,""^[^｜]+""),tc_mst!$A:$A,tc_mst!$H:$H)"&amp;",0)
  +
  (
   IFERROR(XLOOKUP(REGEXEXTRACT($M46,""^[^｜]+""),ac_mst!$A:$A,ac_mst!$K:$K),0)
   +IFERROR(XLOOKUP(REGEXEXTRACT($N46,""^[^｜]+""),ac_mst!$A:$A,ac_mst!$K:$K),0)
   +IFERROR(
    XLOOKUP(
     IF(
      OR(
       IFERROR(REGEXEXTRACT($M46,""^[^｜"&amp;"]+""),"""")="""",
       IFERROR(REGEXEXTRACT($N46,""^[^｜]+""),"""")=""""
      ),
      """",
      IF(
       IFERROR(REGEXEXTRACT($M46,""^[^｜]+""),"""")&lt;IFERROR(REGEXEXTRACT($N46,""^[^｜]+""),""""),
       IFERROR(REGEXEXTRACT($M46,""^[^｜]+""),"""")&amp;""_"&amp;"""&amp;IFERROR(REGEXEXTRACT($N46,""^[^｜]+""),""""),
       IFERROR(REGEXEXTRACT($N46,""^[^｜]+""),"""")&amp;""_""&amp;IFERROR(REGEXEXTRACT($M46,""^[^｜]+""),"""")
      )
     ),
     sy_mst!$A:$A,
     sy_mst!$H:$H
    ),
    0
   )
  )
  *
  IFERROR(XLOOKUP(REGEXEXTR"&amp;"ACT($I46,""^[^｜]+""),ms_mst!$A:$A,ms_mst!$P:$P),1)
  *
  IF(
   $B46&gt;=IFERROR(XLOOKUP(REGEXEXTRACT($L46,""^[^｜]+""),sk_mst!$A:$A,sk_mst!$M:$M),999),
   IFERROR(XLOOKUP(REGEXEXTRACT($L46,""^[^｜]+""),sk_mst!$A:$A,sk_mst!$J:$J),1),
   1
  )
 )
)"),0.0143)</f>
        <v>0.0143</v>
      </c>
      <c r="T46" s="25">
        <f>IFERROR(__xludf.DUMMYFUNCTION("IF($A46="""","""",
 IF($F46=""market"",
  IFERROR(XLOOKUP(REGEXEXTRACT($J46,""^[^｜]+""),tr_mst!$A:$A,tr_mst!$I:$I),0)
  +IFERROR(XLOOKUP(REGEXEXTRACT($K46,""^[^｜]+""),tc_mst!$A:$A,tc_mst!$I:$I),0),
  IF($B46=0,
   IFERROR(XLOOKUP(REGEXEXTRACT($I46,""^[^｜]"&amp;"+""),ms_mst!$A:$A,ms_mst!$I:$I),0),
   IFERROR(XLOOKUP(""T""&amp;($B46-1)&amp;""_""&amp;$D46,$A:$A,$T:$T),0)
  )
  +IFERROR(XLOOKUP(REGEXEXTRACT($J46,""^[^｜]+""),tr_mst!$A:$A,tr_mst!$I:$I),0)
  +IFERROR(XLOOKUP(REGEXEXTRACT($K46,""^[^｜]+""),tc_mst!$A:$A,tc_mst!$I:$I)"&amp;",0)
  +
  (
   IFERROR(XLOOKUP(REGEXEXTRACT($M46,""^[^｜]+""),ac_mst!$A:$A,ac_mst!$L:$L),0)
   +IFERROR(XLOOKUP(REGEXEXTRACT($N46,""^[^｜]+""),ac_mst!$A:$A,ac_mst!$L:$L),0)
   +IFERROR(
    XLOOKUP(
     IF(
      OR(
       IFERROR(REGEXEXTRACT($M46,""^[^｜"&amp;"]+""),"""")="""",
       IFERROR(REGEXEXTRACT($N46,""^[^｜]+""),"""")=""""
      ),
      """",
      IF(
       IFERROR(REGEXEXTRACT($M46,""^[^｜]+""),"""")&lt;IFERROR(REGEXEXTRACT($N46,""^[^｜]+""),""""),
       IFERROR(REGEXEXTRACT($M46,""^[^｜]+""),"""")&amp;""_"&amp;"""&amp;IFERROR(REGEXEXTRACT($N46,""^[^｜]+""),""""),
       IFERROR(REGEXEXTRACT($N46,""^[^｜]+""),"""")&amp;""_""&amp;IFERROR(REGEXEXTRACT($M46,""^[^｜]+""),"""")
      )
     ),
     sy_mst!$A:$A,
     sy_mst!$I:$I
    ),
    0
   )
  )
  *
  IFERROR(XLOOKUP(REGEXEXTR"&amp;"ACT($I46,""^[^｜]+""),ms_mst!$A:$A,ms_mst!$Q:$Q),1)
  *
  IF(
   $B46&gt;=IFERROR(XLOOKUP(REGEXEXTRACT($L46,""^[^｜]+""),sk_mst!$A:$A,sk_mst!$M:$M),999),
   IFERROR(XLOOKUP(REGEXEXTRACT($L46,""^[^｜]+""),sk_mst!$A:$A,sk_mst!$K:$K),1),
   1
  )
 )
)"),3800.0)</f>
        <v>3800</v>
      </c>
      <c r="U46" s="25">
        <f>IFERROR(__xludf.DUMMYFUNCTION("IF($A46="""","""",
 IF($F46=""market"",
  IFERROR(XLOOKUP(REGEXEXTRACT($J46,""^[^｜]+""),tr_mst!$A:$A,tr_mst!$J:$J),0)
  +IFERROR(XLOOKUP(REGEXEXTRACT($K46,""^[^｜]+""),tc_mst!$A:$A,tc_mst!$J:$J),0),
  IF($B46=0,
   IFERROR(XLOOKUP(REGEXEXTRACT($I46,""^[^｜]"&amp;"+""),ms_mst!$A:$A,ms_mst!$J:$J),0),
   IFERROR(XLOOKUP(""T""&amp;($B46-1)&amp;""_""&amp;$D46,$A:$A,$U:$U),0)
  )
  +IFERROR(XLOOKUP(REGEXEXTRACT($J46,""^[^｜]+""),tr_mst!$A:$A,tr_mst!$J:$J),0)
  +IFERROR(XLOOKUP(REGEXEXTRACT($K46,""^[^｜]+""),tc_mst!$A:$A,tc_mst!$J:$J)"&amp;",0)
  +
  (
   IFERROR(XLOOKUP(REGEXEXTRACT($M46,""^[^｜]+""),ac_mst!$A:$A,ac_mst!$M:$M),0)
   +IFERROR(XLOOKUP(REGEXEXTRACT($N46,""^[^｜]+""),ac_mst!$A:$A,ac_mst!$M:$M),0)
   +IFERROR(
    XLOOKUP(
     IF(
      OR(
       IFERROR(REGEXEXTRACT($M46,""^[^｜"&amp;"]+""),"""")="""",
       IFERROR(REGEXEXTRACT($N46,""^[^｜]+""),"""")=""""
      ),
      """",
      IF(
       IFERROR(REGEXEXTRACT($M46,""^[^｜]+""),"""")&lt;IFERROR(REGEXEXTRACT($N46,""^[^｜]+""),""""),
       IFERROR(REGEXEXTRACT($M46,""^[^｜]+""),"""")&amp;""_"&amp;"""&amp;IFERROR(REGEXEXTRACT($N46,""^[^｜]+""),""""),
       IFERROR(REGEXEXTRACT($N46,""^[^｜]+""),"""")&amp;""_""&amp;IFERROR(REGEXEXTRACT($M46,""^[^｜]+""),"""")
      )
     ),
     sy_mst!$A:$A,
     sy_mst!$J:$J
    ),
    0
   )
  )
  *
  IFERROR(XLOOKUP(REGEXEXTR"&amp;"ACT($I46,""^[^｜]+""),ms_mst!$A:$A,ms_mst!$R:$R),1)
  *
  IF(
   $B46&gt;=IFERROR(XLOOKUP(REGEXEXTRACT($L46,""^[^｜]+""),sk_mst!$A:$A,sk_mst!$M:$M),999),
   IFERROR(XLOOKUP(REGEXEXTRACT($L46,""^[^｜]+""),sk_mst!$A:$A,sk_mst!$L:$L),1),
   1
  )
 )
)"),66.12)</f>
        <v>66.12</v>
      </c>
      <c r="V46" s="25">
        <f t="shared" si="1"/>
        <v>563665</v>
      </c>
      <c r="W46" s="25">
        <f t="shared" si="2"/>
        <v>261174</v>
      </c>
      <c r="X46" s="25">
        <f t="shared" si="3"/>
        <v>302491</v>
      </c>
      <c r="Y46" s="25">
        <f t="shared" si="4"/>
        <v>2.16</v>
      </c>
      <c r="Z46" s="25">
        <f>IFERROR(__xludf.DUMMYFUNCTION("IF($A46="""","""",
 IF($F46&lt;&gt;""player"","""",
  IFERROR(
   RANK(
    $X46,
    FILTER($X:$X,$B:$B=$B46,$F:$F=""player"",$X:$X&lt;&gt;""""),
    0
   ),
   """"
  )
 )
)"),7.0)</f>
        <v>7</v>
      </c>
      <c r="AA46" s="25" t="str">
        <f t="shared" si="5"/>
        <v>7位</v>
      </c>
      <c r="AB46" s="26">
        <f t="shared" si="6"/>
        <v>9.407198444</v>
      </c>
    </row>
    <row r="47">
      <c r="A47" s="25" t="s">
        <v>220</v>
      </c>
      <c r="B47" s="14">
        <v>3.0</v>
      </c>
      <c r="C47" s="14" t="s">
        <v>168</v>
      </c>
      <c r="D47" s="14" t="s">
        <v>169</v>
      </c>
      <c r="E47" s="25" t="s">
        <v>153</v>
      </c>
      <c r="F47" s="25" t="s">
        <v>154</v>
      </c>
      <c r="I47" s="25" t="str">
        <f>IFERROR(__xludf.DUMMYFUNCTION("IF($F47&lt;&gt;""player"","""",IFERROR(INDEX(FILTER(group_setup!$D$2:$D947,group_setup!$B$2:$B947=$C47,group_setup!$G$2:$G947=TRUE,group_setup!$H$2:$H947=""completed""),1),""""))"),"M02")</f>
        <v>M02</v>
      </c>
      <c r="J47" s="25" t="str">
        <f>IFERROR(__xludf.DUMMYFUNCTION("IFERROR(FILTER(market_event_log!$D$2:$D947,market_event_log!$C$2:$C947=$B47,market_event_log!$N$2:$N947=""active""),"""")"),"T03")</f>
        <v>T03</v>
      </c>
      <c r="K47" s="25" t="str">
        <f>IFERROR(__xludf.DUMMYFUNCTION("IFERROR(FILTER(market_event_log!$G$2:$G947,market_event_log!$C$2:$C947=$B47,market_event_log!$N$2:$N947=""active""),"""")"),"C03")</f>
        <v>C03</v>
      </c>
      <c r="L47" s="25" t="str">
        <f>IFERROR(__xludf.DUMMYFUNCTION("IF($F47&lt;&gt;""player"","""",IFERROR(INDEX(FILTER(group_setup!$E$2:$E947,group_setup!$B$2:$B947=$C47,group_setup!$G$2:$G947=TRUE,group_setup!$H$2:$H947=""completed""),1),""""))"),"S03")</f>
        <v>S03</v>
      </c>
      <c r="M47" s="25" t="str">
        <f>IFERROR(__xludf.DUMMYFUNCTION("IF($F47=""market"","""",IF($E47=""HUMAN"",IFERROR(FILTER(turn_log!$G$2:$G947,turn_log!$C$2:$C947=$B47,turn_log!$D$2:$D947=$C47,turn_log!$F$2:$F947=$E47),""""),IFERROR(FILTER(turn_log!$I$2:$I947,turn_log!$C$2:$C947=$B47,turn_log!$D$2:$D947=$C47,turn_log!$F"&amp;"$2:$F947=$E47),"""")))"),"A21")</f>
        <v>A21</v>
      </c>
      <c r="N47" s="25" t="str">
        <f>IFERROR(__xludf.DUMMYFUNCTION("IF($F47=""market"","""",IF($E47=""HUMAN"",IFERROR(FILTER(turn_log!$H$2:$H947,turn_log!$C$2:$C947=$B47,turn_log!$D$2:$D947=$C47,turn_log!$F$2:$F947=$E47),""""),IFERROR(FILTER(turn_log!$J$2:$J947,turn_log!$C$2:$C947=$B47,turn_log!$D$2:$D947=$C47,turn_log!$F"&amp;"$2:$F947=$E47),"""")))"),"A24")</f>
        <v>A24</v>
      </c>
      <c r="O47" s="25">
        <f>IFERROR(__xludf.DUMMYFUNCTION("IF($A47="""","""",
 IF($F47=""market"",
  IFERROR(XLOOKUP(REGEXEXTRACT($J47,""^[^｜]+""),tr_mst!$A:$A,tr_mst!$D:$D),0)
  +IFERROR(XLOOKUP(REGEXEXTRACT($K47,""^[^｜]+""),tc_mst!$A:$A,tc_mst!$D:$D),0),
  IF($B47=0,
   IFERROR(XLOOKUP(REGEXEXTRACT($I47,""^[^｜]"&amp;"+""),ms_mst!$A:$A,ms_mst!$D:$D),0),
   IFERROR(XLOOKUP(""T""&amp;($B47-1)&amp;""_""&amp;$D47,$A:$A,$O:$O),0)
  )
  +IFERROR(XLOOKUP(REGEXEXTRACT($J47,""^[^｜]+""),tr_mst!$A:$A,tr_mst!$D:$D),0)
  +IFERROR(XLOOKUP(REGEXEXTRACT($K47,""^[^｜]+""),tc_mst!$A:$A,tc_mst!$D:$D)"&amp;",0)
  +
  (
   IFERROR(XLOOKUP(REGEXEXTRACT($M47,""^[^｜]+""),ac_mst!$A:$A,ac_mst!$G:$G),0)
   +IFERROR(XLOOKUP(REGEXEXTRACT($N47,""^[^｜]+""),ac_mst!$A:$A,ac_mst!$G:$G),0)
   +IFERROR(
    XLOOKUP(
     IF(
      OR(
       IFERROR(REGEXEXTRACT($M47,""^[^｜"&amp;"]+""),"""")="""",
       IFERROR(REGEXEXTRACT($N47,""^[^｜]+""),"""")=""""
      ),
      """",
      IF(
       IFERROR(REGEXEXTRACT($M47,""^[^｜]+""),"""")&lt;IFERROR(REGEXEXTRACT($N47,""^[^｜]+""),""""),
       IFERROR(REGEXEXTRACT($M47,""^[^｜]+""),"""")&amp;""_"&amp;"""&amp;IFERROR(REGEXEXTRACT($N47,""^[^｜]+""),""""),
       IFERROR(REGEXEXTRACT($N47,""^[^｜]+""),"""")&amp;""_""&amp;IFERROR(REGEXEXTRACT($M47,""^[^｜]+""),"""")
      )
     ),
     sy_mst!$A:$A,
     sy_mst!$D:$D
    ),
    0
   )
  )
  *
  IFERROR(XLOOKUP(REGEXEXTR"&amp;"ACT($I47,""^[^｜]+""),ms_mst!$A:$A,ms_mst!$L:$L),1)
  *
  IF(
   $B47&gt;=IFERROR(XLOOKUP(REGEXEXTRACT($L47,""^[^｜]+""),sk_mst!$A:$A,sk_mst!$M:$M),999),
   IFERROR(XLOOKUP(REGEXEXTRACT($L47,""^[^｜]+""),sk_mst!$A:$A,sk_mst!$F:$F),1),
   1
  )
 )
)"),9500.0)</f>
        <v>9500</v>
      </c>
      <c r="P47" s="25">
        <f>IFERROR(__xludf.DUMMYFUNCTION("IF($A47="""","""",
 IF($F47=""market"",
  IFERROR(XLOOKUP(REGEXEXTRACT($J47,""^[^｜]+""),tr_mst!$A:$A,tr_mst!$E:$E),0)
  +IFERROR(XLOOKUP(REGEXEXTRACT($K47,""^[^｜]+""),tc_mst!$A:$A,tc_mst!$E:$E),0),
  IF($B47=0,
   IFERROR(XLOOKUP(REGEXEXTRACT($I47,""^[^｜]"&amp;"+""),ms_mst!$A:$A,ms_mst!$E:$E),0),
   IFERROR(XLOOKUP(""T""&amp;($B47-1)&amp;""_""&amp;$D47,$A:$A,$P:$P),0)
  )
  +IFERROR(XLOOKUP(REGEXEXTRACT($J47,""^[^｜]+""),tr_mst!$A:$A,tr_mst!$E:$E),0)
  +IFERROR(XLOOKUP(REGEXEXTRACT($K47,""^[^｜]+""),tc_mst!$A:$A,tc_mst!$E:$E)"&amp;",0)
  +
  (
   IFERROR(XLOOKUP(REGEXEXTRACT($M47,""^[^｜]+""),ac_mst!$A:$A,ac_mst!$H:$H),0)
   +IFERROR(XLOOKUP(REGEXEXTRACT($N47,""^[^｜]+""),ac_mst!$A:$A,ac_mst!$H:$H),0)
   +IFERROR(
    XLOOKUP(
     IF(
      OR(
       IFERROR(REGEXEXTRACT($M47,""^[^｜"&amp;"]+""),"""")="""",
       IFERROR(REGEXEXTRACT($N47,""^[^｜]+""),"""")=""""
      ),
      """",
      IF(
       IFERROR(REGEXEXTRACT($M47,""^[^｜]+""),"""")&lt;IFERROR(REGEXEXTRACT($N47,""^[^｜]+""),""""),
       IFERROR(REGEXEXTRACT($M47,""^[^｜]+""),"""")&amp;""_"&amp;"""&amp;IFERROR(REGEXEXTRACT($N47,""^[^｜]+""),""""),
       IFERROR(REGEXEXTRACT($N47,""^[^｜]+""),"""")&amp;""_""&amp;IFERROR(REGEXEXTRACT($M47,""^[^｜]+""),"""")
      )
     ),
     sy_mst!$A:$A,
     sy_mst!$E:$E
    ),
    0
   )
  )
  *
  IFERROR(XLOOKUP(REGEXEXTR"&amp;"ACT($I47,""^[^｜]+""),ms_mst!$A:$A,ms_mst!$M:$M),1)
  *
  IF(
   $B47&gt;=IFERROR(XLOOKUP(REGEXEXTRACT($L47,""^[^｜]+""),sk_mst!$A:$A,sk_mst!$M:$M),999),
   IFERROR(XLOOKUP(REGEXEXTRACT($L47,""^[^｜]+""),sk_mst!$A:$A,sk_mst!$G:$G),1),
   1
  )
 )
)"),4135.0)</f>
        <v>4135</v>
      </c>
      <c r="Q47" s="25">
        <f>IFERROR(__xludf.DUMMYFUNCTION("IF($A47="""","""",
 IF($F47=""market"",
  IFERROR(XLOOKUP(REGEXEXTRACT($J47,""^[^｜]+""),tr_mst!$A:$A,tr_mst!$F:$F),0)
  +IFERROR(XLOOKUP(REGEXEXTRACT($K47,""^[^｜]+""),tc_mst!$A:$A,tc_mst!$F:$F),0),
  IF($B47=0,
   IFERROR(XLOOKUP(REGEXEXTRACT($I47,""^[^｜]"&amp;"+""),ms_mst!$A:$A,ms_mst!$F:$F),0),
   IFERROR(XLOOKUP(""T""&amp;($B47-1)&amp;""_""&amp;$D47,$A:$A,$Q:$Q),0)
  )
  +IFERROR(XLOOKUP(REGEXEXTRACT($J47,""^[^｜]+""),tr_mst!$A:$A,tr_mst!$F:$F),0)
  +IFERROR(XLOOKUP(REGEXEXTRACT($K47,""^[^｜]+""),tc_mst!$A:$A,tc_mst!$F:$F)"&amp;",0)
  +
  (
   IFERROR(XLOOKUP(REGEXEXTRACT($M47,""^[^｜]+""),ac_mst!$A:$A,ac_mst!$I:$I),0)
   +IFERROR(XLOOKUP(REGEXEXTRACT($N47,""^[^｜]+""),ac_mst!$A:$A,ac_mst!$I:$I),0)
   +IFERROR(
    XLOOKUP(
     IF(
      OR(
       IFERROR(REGEXEXTRACT($M47,""^[^｜"&amp;"]+""),"""")="""",
       IFERROR(REGEXEXTRACT($N47,""^[^｜]+""),"""")=""""
      ),
      """",
      IF(
       IFERROR(REGEXEXTRACT($M47,""^[^｜]+""),"""")&lt;IFERROR(REGEXEXTRACT($N47,""^[^｜]+""),""""),
       IFERROR(REGEXEXTRACT($M47,""^[^｜]+""),"""")&amp;""_"&amp;"""&amp;IFERROR(REGEXEXTRACT($N47,""^[^｜]+""),""""),
       IFERROR(REGEXEXTRACT($N47,""^[^｜]+""),"""")&amp;""_""&amp;IFERROR(REGEXEXTRACT($M47,""^[^｜]+""),"""")
      )
     ),
     sy_mst!$A:$A,
     sy_mst!$F:$F
    ),
    0
   )
  )
  *
  IFERROR(XLOOKUP(REGEXEXTR"&amp;"ACT($I47,""^[^｜]+""),ms_mst!$A:$A,ms_mst!$N:$N),1)
  *
  IF(
   $B47&gt;=IFERROR(XLOOKUP(REGEXEXTRACT($L47,""^[^｜]+""),sk_mst!$A:$A,sk_mst!$M:$M),999),
   IFERROR(XLOOKUP(REGEXEXTRACT($L47,""^[^｜]+""),sk_mst!$A:$A,sk_mst!$H:$H),1),
   1
  )
 )
)"),0.5399999999999999)</f>
        <v>0.54</v>
      </c>
      <c r="R47" s="25">
        <f>IFERROR(__xludf.DUMMYFUNCTION("IF($A47="""","""",
 IF($F47=""market"",
  IFERROR(XLOOKUP(REGEXEXTRACT($J47,""^[^｜]+""),tr_mst!$A:$A,tr_mst!$G:$G),0)
  +IFERROR(XLOOKUP(REGEXEXTRACT($K47,""^[^｜]+""),tc_mst!$A:$A,tc_mst!$G:$G),0),
  IF($B47=0,
   IFERROR(XLOOKUP(REGEXEXTRACT($I47,""^[^｜]"&amp;"+""),ms_mst!$A:$A,ms_mst!$G:$G),0),
   IFERROR(XLOOKUP(""T""&amp;($B47-1)&amp;""_""&amp;$D47,$A:$A,$R:$R),0)
  )
  +IFERROR(XLOOKUP(REGEXEXTRACT($J47,""^[^｜]+""),tr_mst!$A:$A,tr_mst!$G:$G),0)
  +IFERROR(XLOOKUP(REGEXEXTRACT($K47,""^[^｜]+""),tc_mst!$A:$A,tc_mst!$G:$G)"&amp;",0)
  +
  (
   IFERROR(XLOOKUP(REGEXEXTRACT($M47,""^[^｜]+""),ac_mst!$A:$A,ac_mst!$J:$J),0)
   +IFERROR(XLOOKUP(REGEXEXTRACT($N47,""^[^｜]+""),ac_mst!$A:$A,ac_mst!$J:$J),0)
   +IFERROR(
    XLOOKUP(
     IF(
      OR(
       IFERROR(REGEXEXTRACT($M47,""^[^｜"&amp;"]+""),"""")="""",
       IFERROR(REGEXEXTRACT($N47,""^[^｜]+""),"""")=""""
      ),
      """",
      IF(
       IFERROR(REGEXEXTRACT($M47,""^[^｜]+""),"""")&lt;IFERROR(REGEXEXTRACT($N47,""^[^｜]+""),""""),
       IFERROR(REGEXEXTRACT($M47,""^[^｜]+""),"""")&amp;""_"&amp;"""&amp;IFERROR(REGEXEXTRACT($N47,""^[^｜]+""),""""),
       IFERROR(REGEXEXTRACT($N47,""^[^｜]+""),"""")&amp;""_""&amp;IFERROR(REGEXEXTRACT($M47,""^[^｜]+""),"""")
      )
     ),
     sy_mst!$A:$A,
     sy_mst!$G:$G
    ),
    0
   )
  )
  *
  IFERROR(XLOOKUP(REGEXEXTR"&amp;"ACT($I47,""^[^｜]+""),ms_mst!$A:$A,ms_mst!$O:$O),1)
  *
  IF(
   $B47&gt;=IFERROR(XLOOKUP(REGEXEXTRACT($L47,""^[^｜]+""),sk_mst!$A:$A,sk_mst!$M:$M),999),
   IFERROR(XLOOKUP(REGEXEXTRACT($L47,""^[^｜]+""),sk_mst!$A:$A,sk_mst!$I:$I),1),
   1
  )
 )
)"),1.4749999999999999)</f>
        <v>1.475</v>
      </c>
      <c r="S47" s="25">
        <f>IFERROR(__xludf.DUMMYFUNCTION("IF($A47="""","""",
 IF($F47=""market"",
  IFERROR(XLOOKUP(REGEXEXTRACT($J47,""^[^｜]+""),tr_mst!$A:$A,tr_mst!$H:$H),0)
  +IFERROR(XLOOKUP(REGEXEXTRACT($K47,""^[^｜]+""),tc_mst!$A:$A,tc_mst!$H:$H),0),
  IF($B47=0,
   IFERROR(XLOOKUP(REGEXEXTRACT($I47,""^[^｜]"&amp;"+""),ms_mst!$A:$A,ms_mst!$H:$H),0),
   IFERROR(XLOOKUP(""T""&amp;($B47-1)&amp;""_""&amp;$D47,$A:$A,$S:$S),0)
  )
  +IFERROR(XLOOKUP(REGEXEXTRACT($J47,""^[^｜]+""),tr_mst!$A:$A,tr_mst!$H:$H),0)
  +IFERROR(XLOOKUP(REGEXEXTRACT($K47,""^[^｜]+""),tc_mst!$A:$A,tc_mst!$H:$H)"&amp;",0)
  +
  (
   IFERROR(XLOOKUP(REGEXEXTRACT($M47,""^[^｜]+""),ac_mst!$A:$A,ac_mst!$K:$K),0)
   +IFERROR(XLOOKUP(REGEXEXTRACT($N47,""^[^｜]+""),ac_mst!$A:$A,ac_mst!$K:$K),0)
   +IFERROR(
    XLOOKUP(
     IF(
      OR(
       IFERROR(REGEXEXTRACT($M47,""^[^｜"&amp;"]+""),"""")="""",
       IFERROR(REGEXEXTRACT($N47,""^[^｜]+""),"""")=""""
      ),
      """",
      IF(
       IFERROR(REGEXEXTRACT($M47,""^[^｜]+""),"""")&lt;IFERROR(REGEXEXTRACT($N47,""^[^｜]+""),""""),
       IFERROR(REGEXEXTRACT($M47,""^[^｜]+""),"""")&amp;""_"&amp;"""&amp;IFERROR(REGEXEXTRACT($N47,""^[^｜]+""),""""),
       IFERROR(REGEXEXTRACT($N47,""^[^｜]+""),"""")&amp;""_""&amp;IFERROR(REGEXEXTRACT($M47,""^[^｜]+""),"""")
      )
     ),
     sy_mst!$A:$A,
     sy_mst!$H:$H
    ),
    0
   )
  )
  *
  IFERROR(XLOOKUP(REGEXEXTR"&amp;"ACT($I47,""^[^｜]+""),ms_mst!$A:$A,ms_mst!$P:$P),1)
  *
  IF(
   $B47&gt;=IFERROR(XLOOKUP(REGEXEXTRACT($L47,""^[^｜]+""),sk_mst!$A:$A,sk_mst!$M:$M),999),
   IFERROR(XLOOKUP(REGEXEXTRACT($L47,""^[^｜]+""),sk_mst!$A:$A,sk_mst!$J:$J),1),
   1
  )
 )
)"),0.01372)</f>
        <v>0.01372</v>
      </c>
      <c r="T47" s="25">
        <f>IFERROR(__xludf.DUMMYFUNCTION("IF($A47="""","""",
 IF($F47=""market"",
  IFERROR(XLOOKUP(REGEXEXTRACT($J47,""^[^｜]+""),tr_mst!$A:$A,tr_mst!$I:$I),0)
  +IFERROR(XLOOKUP(REGEXEXTRACT($K47,""^[^｜]+""),tc_mst!$A:$A,tc_mst!$I:$I),0),
  IF($B47=0,
   IFERROR(XLOOKUP(REGEXEXTRACT($I47,""^[^｜]"&amp;"+""),ms_mst!$A:$A,ms_mst!$I:$I),0),
   IFERROR(XLOOKUP(""T""&amp;($B47-1)&amp;""_""&amp;$D47,$A:$A,$T:$T),0)
  )
  +IFERROR(XLOOKUP(REGEXEXTRACT($J47,""^[^｜]+""),tr_mst!$A:$A,tr_mst!$I:$I),0)
  +IFERROR(XLOOKUP(REGEXEXTRACT($K47,""^[^｜]+""),tc_mst!$A:$A,tc_mst!$I:$I)"&amp;",0)
  +
  (
   IFERROR(XLOOKUP(REGEXEXTRACT($M47,""^[^｜]+""),ac_mst!$A:$A,ac_mst!$L:$L),0)
   +IFERROR(XLOOKUP(REGEXEXTRACT($N47,""^[^｜]+""),ac_mst!$A:$A,ac_mst!$L:$L),0)
   +IFERROR(
    XLOOKUP(
     IF(
      OR(
       IFERROR(REGEXEXTRACT($M47,""^[^｜"&amp;"]+""),"""")="""",
       IFERROR(REGEXEXTRACT($N47,""^[^｜]+""),"""")=""""
      ),
      """",
      IF(
       IFERROR(REGEXEXTRACT($M47,""^[^｜]+""),"""")&lt;IFERROR(REGEXEXTRACT($N47,""^[^｜]+""),""""),
       IFERROR(REGEXEXTRACT($M47,""^[^｜]+""),"""")&amp;""_"&amp;"""&amp;IFERROR(REGEXEXTRACT($N47,""^[^｜]+""),""""),
       IFERROR(REGEXEXTRACT($N47,""^[^｜]+""),"""")&amp;""_""&amp;IFERROR(REGEXEXTRACT($M47,""^[^｜]+""),"""")
      )
     ),
     sy_mst!$A:$A,
     sy_mst!$I:$I
    ),
    0
   )
  )
  *
  IFERROR(XLOOKUP(REGEXEXTR"&amp;"ACT($I47,""^[^｜]+""),ms_mst!$A:$A,ms_mst!$Q:$Q),1)
  *
  IF(
   $B47&gt;=IFERROR(XLOOKUP(REGEXEXTRACT($L47,""^[^｜]+""),sk_mst!$A:$A,sk_mst!$M:$M),999),
   IFERROR(XLOOKUP(REGEXEXTRACT($L47,""^[^｜]+""),sk_mst!$A:$A,sk_mst!$K:$K),1),
   1
  )
 )
)"),4800.0)</f>
        <v>4800</v>
      </c>
      <c r="U47" s="25">
        <f>IFERROR(__xludf.DUMMYFUNCTION("IF($A47="""","""",
 IF($F47=""market"",
  IFERROR(XLOOKUP(REGEXEXTRACT($J47,""^[^｜]+""),tr_mst!$A:$A,tr_mst!$J:$J),0)
  +IFERROR(XLOOKUP(REGEXEXTRACT($K47,""^[^｜]+""),tc_mst!$A:$A,tc_mst!$J:$J),0),
  IF($B47=0,
   IFERROR(XLOOKUP(REGEXEXTRACT($I47,""^[^｜]"&amp;"+""),ms_mst!$A:$A,ms_mst!$J:$J),0),
   IFERROR(XLOOKUP(""T""&amp;($B47-1)&amp;""_""&amp;$D47,$A:$A,$U:$U),0)
  )
  +IFERROR(XLOOKUP(REGEXEXTRACT($J47,""^[^｜]+""),tr_mst!$A:$A,tr_mst!$J:$J),0)
  +IFERROR(XLOOKUP(REGEXEXTRACT($K47,""^[^｜]+""),tc_mst!$A:$A,tc_mst!$J:$J)"&amp;",0)
  +
  (
   IFERROR(XLOOKUP(REGEXEXTRACT($M47,""^[^｜]+""),ac_mst!$A:$A,ac_mst!$M:$M),0)
   +IFERROR(XLOOKUP(REGEXEXTRACT($N47,""^[^｜]+""),ac_mst!$A:$A,ac_mst!$M:$M),0)
   +IFERROR(
    XLOOKUP(
     IF(
      OR(
       IFERROR(REGEXEXTRACT($M47,""^[^｜"&amp;"]+""),"""")="""",
       IFERROR(REGEXEXTRACT($N47,""^[^｜]+""),"""")=""""
      ),
      """",
      IF(
       IFERROR(REGEXEXTRACT($M47,""^[^｜]+""),"""")&lt;IFERROR(REGEXEXTRACT($N47,""^[^｜]+""),""""),
       IFERROR(REGEXEXTRACT($M47,""^[^｜]+""),"""")&amp;""_"&amp;"""&amp;IFERROR(REGEXEXTRACT($N47,""^[^｜]+""),""""),
       IFERROR(REGEXEXTRACT($N47,""^[^｜]+""),"""")&amp;""_""&amp;IFERROR(REGEXEXTRACT($M47,""^[^｜]+""),"""")
      )
     ),
     sy_mst!$A:$A,
     sy_mst!$J:$J
    ),
    0
   )
  )
  *
  IFERROR(XLOOKUP(REGEXEXTR"&amp;"ACT($I47,""^[^｜]+""),ms_mst!$A:$A,ms_mst!$R:$R),1)
  *
  IF(
   $B47&gt;=IFERROR(XLOOKUP(REGEXEXTRACT($L47,""^[^｜]+""),sk_mst!$A:$A,sk_mst!$M:$M),999),
   IFERROR(XLOOKUP(REGEXEXTRACT($L47,""^[^｜]+""),sk_mst!$A:$A,sk_mst!$L:$L),1),
   1
  )
 )
)"),42.0)</f>
        <v>42</v>
      </c>
      <c r="V47" s="25">
        <f t="shared" si="1"/>
        <v>609257</v>
      </c>
      <c r="W47" s="25">
        <f t="shared" si="2"/>
        <v>173670</v>
      </c>
      <c r="X47" s="25">
        <f t="shared" si="3"/>
        <v>435587</v>
      </c>
      <c r="Y47" s="25">
        <f t="shared" si="4"/>
        <v>3.51</v>
      </c>
      <c r="Z47" s="25">
        <f>IFERROR(__xludf.DUMMYFUNCTION("IF($A47="""","""",
 IF($F47&lt;&gt;""player"","""",
  IFERROR(
   RANK(
    $X47,
    FILTER($X:$X,$B:$B=$B47,$F:$F=""player"",$X:$X&lt;&gt;""""),
    0
   ),
   """"
  )
 )
)"),6.0)</f>
        <v>6</v>
      </c>
      <c r="AA47" s="25" t="str">
        <f t="shared" si="5"/>
        <v>6位</v>
      </c>
      <c r="AB47" s="26">
        <f t="shared" si="6"/>
        <v>9.795751958</v>
      </c>
    </row>
    <row r="48">
      <c r="A48" s="25" t="s">
        <v>221</v>
      </c>
      <c r="B48" s="14">
        <v>3.0</v>
      </c>
      <c r="C48" s="14" t="s">
        <v>171</v>
      </c>
      <c r="D48" s="14" t="s">
        <v>172</v>
      </c>
      <c r="E48" s="25" t="s">
        <v>153</v>
      </c>
      <c r="F48" s="25" t="s">
        <v>154</v>
      </c>
      <c r="I48" s="25" t="str">
        <f>IFERROR(__xludf.DUMMYFUNCTION("IF($F48&lt;&gt;""player"","""",IFERROR(INDEX(FILTER(group_setup!$D$2:$D947,group_setup!$B$2:$B947=$C48,group_setup!$G$2:$G947=TRUE,group_setup!$H$2:$H947=""completed""),1),""""))"),"M03")</f>
        <v>M03</v>
      </c>
      <c r="J48" s="25" t="str">
        <f>IFERROR(__xludf.DUMMYFUNCTION("IFERROR(FILTER(market_event_log!$D$2:$D947,market_event_log!$C$2:$C947=$B48,market_event_log!$N$2:$N947=""active""),"""")"),"T03")</f>
        <v>T03</v>
      </c>
      <c r="K48" s="25" t="str">
        <f>IFERROR(__xludf.DUMMYFUNCTION("IFERROR(FILTER(market_event_log!$G$2:$G947,market_event_log!$C$2:$C947=$B48,market_event_log!$N$2:$N947=""active""),"""")"),"C03")</f>
        <v>C03</v>
      </c>
      <c r="L48" s="25" t="str">
        <f>IFERROR(__xludf.DUMMYFUNCTION("IF($F48&lt;&gt;""player"","""",IFERROR(INDEX(FILTER(group_setup!$E$2:$E947,group_setup!$B$2:$B947=$C48,group_setup!$G$2:$G947=TRUE,group_setup!$H$2:$H947=""completed""),1),""""))"),"S03")</f>
        <v>S03</v>
      </c>
      <c r="M48" s="25" t="str">
        <f>IFERROR(__xludf.DUMMYFUNCTION("IF($F48=""market"","""",IF($E48=""HUMAN"",IFERROR(FILTER(turn_log!$G$2:$G947,turn_log!$C$2:$C947=$B48,turn_log!$D$2:$D947=$C48,turn_log!$F$2:$F947=$E48),""""),IFERROR(FILTER(turn_log!$I$2:$I947,turn_log!$C$2:$C947=$B48,turn_log!$D$2:$D947=$C48,turn_log!$F"&amp;"$2:$F947=$E48),"""")))"),"A05")</f>
        <v>A05</v>
      </c>
      <c r="N48" s="25" t="str">
        <f>IFERROR(__xludf.DUMMYFUNCTION("IF($F48=""market"","""",IF($E48=""HUMAN"",IFERROR(FILTER(turn_log!$H$2:$H947,turn_log!$C$2:$C947=$B48,turn_log!$D$2:$D947=$C48,turn_log!$F$2:$F947=$E48),""""),IFERROR(FILTER(turn_log!$J$2:$J947,turn_log!$C$2:$C947=$B48,turn_log!$D$2:$D947=$C48,turn_log!$F"&amp;"$2:$F947=$E48),"""")))"),"A08")</f>
        <v>A08</v>
      </c>
      <c r="O48" s="25">
        <f>IFERROR(__xludf.DUMMYFUNCTION("IF($A48="""","""",
 IF($F48=""market"",
  IFERROR(XLOOKUP(REGEXEXTRACT($J48,""^[^｜]+""),tr_mst!$A:$A,tr_mst!$D:$D),0)
  +IFERROR(XLOOKUP(REGEXEXTRACT($K48,""^[^｜]+""),tc_mst!$A:$A,tc_mst!$D:$D),0),
  IF($B48=0,
   IFERROR(XLOOKUP(REGEXEXTRACT($I48,""^[^｜]"&amp;"+""),ms_mst!$A:$A,ms_mst!$D:$D),0),
   IFERROR(XLOOKUP(""T""&amp;($B48-1)&amp;""_""&amp;$D48,$A:$A,$O:$O),0)
  )
  +IFERROR(XLOOKUP(REGEXEXTRACT($J48,""^[^｜]+""),tr_mst!$A:$A,tr_mst!$D:$D),0)
  +IFERROR(XLOOKUP(REGEXEXTRACT($K48,""^[^｜]+""),tc_mst!$A:$A,tc_mst!$D:$D)"&amp;",0)
  +
  (
   IFERROR(XLOOKUP(REGEXEXTRACT($M48,""^[^｜]+""),ac_mst!$A:$A,ac_mst!$G:$G),0)
   +IFERROR(XLOOKUP(REGEXEXTRACT($N48,""^[^｜]+""),ac_mst!$A:$A,ac_mst!$G:$G),0)
   +IFERROR(
    XLOOKUP(
     IF(
      OR(
       IFERROR(REGEXEXTRACT($M48,""^[^｜"&amp;"]+""),"""")="""",
       IFERROR(REGEXEXTRACT($N48,""^[^｜]+""),"""")=""""
      ),
      """",
      IF(
       IFERROR(REGEXEXTRACT($M48,""^[^｜]+""),"""")&lt;IFERROR(REGEXEXTRACT($N48,""^[^｜]+""),""""),
       IFERROR(REGEXEXTRACT($M48,""^[^｜]+""),"""")&amp;""_"&amp;"""&amp;IFERROR(REGEXEXTRACT($N48,""^[^｜]+""),""""),
       IFERROR(REGEXEXTRACT($N48,""^[^｜]+""),"""")&amp;""_""&amp;IFERROR(REGEXEXTRACT($M48,""^[^｜]+""),"""")
      )
     ),
     sy_mst!$A:$A,
     sy_mst!$D:$D
    ),
    0
   )
  )
  *
  IFERROR(XLOOKUP(REGEXEXTR"&amp;"ACT($I48,""^[^｜]+""),ms_mst!$A:$A,ms_mst!$L:$L),1)
  *
  IF(
   $B48&gt;=IFERROR(XLOOKUP(REGEXEXTRACT($L48,""^[^｜]+""),sk_mst!$A:$A,sk_mst!$M:$M),999),
   IFERROR(XLOOKUP(REGEXEXTRACT($L48,""^[^｜]+""),sk_mst!$A:$A,sk_mst!$F:$F),1),
   1
  )
 )
)"),14225.0)</f>
        <v>14225</v>
      </c>
      <c r="P48" s="25">
        <f>IFERROR(__xludf.DUMMYFUNCTION("IF($A48="""","""",
 IF($F48=""market"",
  IFERROR(XLOOKUP(REGEXEXTRACT($J48,""^[^｜]+""),tr_mst!$A:$A,tr_mst!$E:$E),0)
  +IFERROR(XLOOKUP(REGEXEXTRACT($K48,""^[^｜]+""),tc_mst!$A:$A,tc_mst!$E:$E),0),
  IF($B48=0,
   IFERROR(XLOOKUP(REGEXEXTRACT($I48,""^[^｜]"&amp;"+""),ms_mst!$A:$A,ms_mst!$E:$E),0),
   IFERROR(XLOOKUP(""T""&amp;($B48-1)&amp;""_""&amp;$D48,$A:$A,$P:$P),0)
  )
  +IFERROR(XLOOKUP(REGEXEXTRACT($J48,""^[^｜]+""),tr_mst!$A:$A,tr_mst!$E:$E),0)
  +IFERROR(XLOOKUP(REGEXEXTRACT($K48,""^[^｜]+""),tc_mst!$A:$A,tc_mst!$E:$E)"&amp;",0)
  +
  (
   IFERROR(XLOOKUP(REGEXEXTRACT($M48,""^[^｜]+""),ac_mst!$A:$A,ac_mst!$H:$H),0)
   +IFERROR(XLOOKUP(REGEXEXTRACT($N48,""^[^｜]+""),ac_mst!$A:$A,ac_mst!$H:$H),0)
   +IFERROR(
    XLOOKUP(
     IF(
      OR(
       IFERROR(REGEXEXTRACT($M48,""^[^｜"&amp;"]+""),"""")="""",
       IFERROR(REGEXEXTRACT($N48,""^[^｜]+""),"""")=""""
      ),
      """",
      IF(
       IFERROR(REGEXEXTRACT($M48,""^[^｜]+""),"""")&lt;IFERROR(REGEXEXTRACT($N48,""^[^｜]+""),""""),
       IFERROR(REGEXEXTRACT($M48,""^[^｜]+""),"""")&amp;""_"&amp;"""&amp;IFERROR(REGEXEXTRACT($N48,""^[^｜]+""),""""),
       IFERROR(REGEXEXTRACT($N48,""^[^｜]+""),"""")&amp;""_""&amp;IFERROR(REGEXEXTRACT($M48,""^[^｜]+""),"""")
      )
     ),
     sy_mst!$A:$A,
     sy_mst!$E:$E
    ),
    0
   )
  )
  *
  IFERROR(XLOOKUP(REGEXEXTR"&amp;"ACT($I48,""^[^｜]+""),ms_mst!$A:$A,ms_mst!$M:$M),1)
  *
  IF(
   $B48&gt;=IFERROR(XLOOKUP(REGEXEXTRACT($L48,""^[^｜]+""),sk_mst!$A:$A,sk_mst!$M:$M),999),
   IFERROR(XLOOKUP(REGEXEXTRACT($L48,""^[^｜]+""),sk_mst!$A:$A,sk_mst!$G:$G),1),
   1
  )
 )
)"),1700.0)</f>
        <v>1700</v>
      </c>
      <c r="Q48" s="25">
        <f>IFERROR(__xludf.DUMMYFUNCTION("IF($A48="""","""",
 IF($F48=""market"",
  IFERROR(XLOOKUP(REGEXEXTRACT($J48,""^[^｜]+""),tr_mst!$A:$A,tr_mst!$F:$F),0)
  +IFERROR(XLOOKUP(REGEXEXTRACT($K48,""^[^｜]+""),tc_mst!$A:$A,tc_mst!$F:$F),0),
  IF($B48=0,
   IFERROR(XLOOKUP(REGEXEXTRACT($I48,""^[^｜]"&amp;"+""),ms_mst!$A:$A,ms_mst!$F:$F),0),
   IFERROR(XLOOKUP(""T""&amp;($B48-1)&amp;""_""&amp;$D48,$A:$A,$Q:$Q),0)
  )
  +IFERROR(XLOOKUP(REGEXEXTRACT($J48,""^[^｜]+""),tr_mst!$A:$A,tr_mst!$F:$F),0)
  +IFERROR(XLOOKUP(REGEXEXTRACT($K48,""^[^｜]+""),tc_mst!$A:$A,tc_mst!$F:$F)"&amp;",0)
  +
  (
   IFERROR(XLOOKUP(REGEXEXTRACT($M48,""^[^｜]+""),ac_mst!$A:$A,ac_mst!$I:$I),0)
   +IFERROR(XLOOKUP(REGEXEXTRACT($N48,""^[^｜]+""),ac_mst!$A:$A,ac_mst!$I:$I),0)
   +IFERROR(
    XLOOKUP(
     IF(
      OR(
       IFERROR(REGEXEXTRACT($M48,""^[^｜"&amp;"]+""),"""")="""",
       IFERROR(REGEXEXTRACT($N48,""^[^｜]+""),"""")=""""
      ),
      """",
      IF(
       IFERROR(REGEXEXTRACT($M48,""^[^｜]+""),"""")&lt;IFERROR(REGEXEXTRACT($N48,""^[^｜]+""),""""),
       IFERROR(REGEXEXTRACT($M48,""^[^｜]+""),"""")&amp;""_"&amp;"""&amp;IFERROR(REGEXEXTRACT($N48,""^[^｜]+""),""""),
       IFERROR(REGEXEXTRACT($N48,""^[^｜]+""),"""")&amp;""_""&amp;IFERROR(REGEXEXTRACT($M48,""^[^｜]+""),"""")
      )
     ),
     sy_mst!$A:$A,
     sy_mst!$F:$F
    ),
    0
   )
  )
  *
  IFERROR(XLOOKUP(REGEXEXTR"&amp;"ACT($I48,""^[^｜]+""),ms_mst!$A:$A,ms_mst!$N:$N),1)
  *
  IF(
   $B48&gt;=IFERROR(XLOOKUP(REGEXEXTRACT($L48,""^[^｜]+""),sk_mst!$A:$A,sk_mst!$M:$M),999),
   IFERROR(XLOOKUP(REGEXEXTRACT($L48,""^[^｜]+""),sk_mst!$A:$A,sk_mst!$H:$H),1),
   1
  )
 )
)"),0.45)</f>
        <v>0.45</v>
      </c>
      <c r="R48" s="25">
        <f>IFERROR(__xludf.DUMMYFUNCTION("IF($A48="""","""",
 IF($F48=""market"",
  IFERROR(XLOOKUP(REGEXEXTRACT($J48,""^[^｜]+""),tr_mst!$A:$A,tr_mst!$G:$G),0)
  +IFERROR(XLOOKUP(REGEXEXTRACT($K48,""^[^｜]+""),tc_mst!$A:$A,tc_mst!$G:$G),0),
  IF($B48=0,
   IFERROR(XLOOKUP(REGEXEXTRACT($I48,""^[^｜]"&amp;"+""),ms_mst!$A:$A,ms_mst!$G:$G),0),
   IFERROR(XLOOKUP(""T""&amp;($B48-1)&amp;""_""&amp;$D48,$A:$A,$R:$R),0)
  )
  +IFERROR(XLOOKUP(REGEXEXTRACT($J48,""^[^｜]+""),tr_mst!$A:$A,tr_mst!$G:$G),0)
  +IFERROR(XLOOKUP(REGEXEXTRACT($K48,""^[^｜]+""),tc_mst!$A:$A,tc_mst!$G:$G)"&amp;",0)
  +
  (
   IFERROR(XLOOKUP(REGEXEXTRACT($M48,""^[^｜]+""),ac_mst!$A:$A,ac_mst!$J:$J),0)
   +IFERROR(XLOOKUP(REGEXEXTRACT($N48,""^[^｜]+""),ac_mst!$A:$A,ac_mst!$J:$J),0)
   +IFERROR(
    XLOOKUP(
     IF(
      OR(
       IFERROR(REGEXEXTRACT($M48,""^[^｜"&amp;"]+""),"""")="""",
       IFERROR(REGEXEXTRACT($N48,""^[^｜]+""),"""")=""""
      ),
      """",
      IF(
       IFERROR(REGEXEXTRACT($M48,""^[^｜]+""),"""")&lt;IFERROR(REGEXEXTRACT($N48,""^[^｜]+""),""""),
       IFERROR(REGEXEXTRACT($M48,""^[^｜]+""),"""")&amp;""_"&amp;"""&amp;IFERROR(REGEXEXTRACT($N48,""^[^｜]+""),""""),
       IFERROR(REGEXEXTRACT($N48,""^[^｜]+""),"""")&amp;""_""&amp;IFERROR(REGEXEXTRACT($M48,""^[^｜]+""),"""")
      )
     ),
     sy_mst!$A:$A,
     sy_mst!$G:$G
    ),
    0
   )
  )
  *
  IFERROR(XLOOKUP(REGEXEXTR"&amp;"ACT($I48,""^[^｜]+""),ms_mst!$A:$A,ms_mst!$O:$O),1)
  *
  IF(
   $B48&gt;=IFERROR(XLOOKUP(REGEXEXTRACT($L48,""^[^｜]+""),sk_mst!$A:$A,sk_mst!$M:$M),999),
   IFERROR(XLOOKUP(REGEXEXTRACT($L48,""^[^｜]+""),sk_mst!$A:$A,sk_mst!$I:$I),1),
   1
  )
 )
)"),1.8547500000000001)</f>
        <v>1.85475</v>
      </c>
      <c r="S48" s="25">
        <f>IFERROR(__xludf.DUMMYFUNCTION("IF($A48="""","""",
 IF($F48=""market"",
  IFERROR(XLOOKUP(REGEXEXTRACT($J48,""^[^｜]+""),tr_mst!$A:$A,tr_mst!$H:$H),0)
  +IFERROR(XLOOKUP(REGEXEXTRACT($K48,""^[^｜]+""),tc_mst!$A:$A,tc_mst!$H:$H),0),
  IF($B48=0,
   IFERROR(XLOOKUP(REGEXEXTRACT($I48,""^[^｜]"&amp;"+""),ms_mst!$A:$A,ms_mst!$H:$H),0),
   IFERROR(XLOOKUP(""T""&amp;($B48-1)&amp;""_""&amp;$D48,$A:$A,$S:$S),0)
  )
  +IFERROR(XLOOKUP(REGEXEXTRACT($J48,""^[^｜]+""),tr_mst!$A:$A,tr_mst!$H:$H),0)
  +IFERROR(XLOOKUP(REGEXEXTRACT($K48,""^[^｜]+""),tc_mst!$A:$A,tc_mst!$H:$H)"&amp;",0)
  +
  (
   IFERROR(XLOOKUP(REGEXEXTRACT($M48,""^[^｜]+""),ac_mst!$A:$A,ac_mst!$K:$K),0)
   +IFERROR(XLOOKUP(REGEXEXTRACT($N48,""^[^｜]+""),ac_mst!$A:$A,ac_mst!$K:$K),0)
   +IFERROR(
    XLOOKUP(
     IF(
      OR(
       IFERROR(REGEXEXTRACT($M48,""^[^｜"&amp;"]+""),"""")="""",
       IFERROR(REGEXEXTRACT($N48,""^[^｜]+""),"""")=""""
      ),
      """",
      IF(
       IFERROR(REGEXEXTRACT($M48,""^[^｜]+""),"""")&lt;IFERROR(REGEXEXTRACT($N48,""^[^｜]+""),""""),
       IFERROR(REGEXEXTRACT($M48,""^[^｜]+""),"""")&amp;""_"&amp;"""&amp;IFERROR(REGEXEXTRACT($N48,""^[^｜]+""),""""),
       IFERROR(REGEXEXTRACT($N48,""^[^｜]+""),"""")&amp;""_""&amp;IFERROR(REGEXEXTRACT($M48,""^[^｜]+""),"""")
      )
     ),
     sy_mst!$A:$A,
     sy_mst!$H:$H
    ),
    0
   )
  )
  *
  IFERROR(XLOOKUP(REGEXEXTR"&amp;"ACT($I48,""^[^｜]+""),ms_mst!$A:$A,ms_mst!$P:$P),1)
  *
  IF(
   $B48&gt;=IFERROR(XLOOKUP(REGEXEXTRACT($L48,""^[^｜]+""),sk_mst!$A:$A,sk_mst!$M:$M),999),
   IFERROR(XLOOKUP(REGEXEXTRACT($L48,""^[^｜]+""),sk_mst!$A:$A,sk_mst!$J:$J),1),
   1
  )
 )
)"),0.014900000000000002)</f>
        <v>0.0149</v>
      </c>
      <c r="T48" s="25">
        <f>IFERROR(__xludf.DUMMYFUNCTION("IF($A48="""","""",
 IF($F48=""market"",
  IFERROR(XLOOKUP(REGEXEXTRACT($J48,""^[^｜]+""),tr_mst!$A:$A,tr_mst!$I:$I),0)
  +IFERROR(XLOOKUP(REGEXEXTRACT($K48,""^[^｜]+""),tc_mst!$A:$A,tc_mst!$I:$I),0),
  IF($B48=0,
   IFERROR(XLOOKUP(REGEXEXTRACT($I48,""^[^｜]"&amp;"+""),ms_mst!$A:$A,ms_mst!$I:$I),0),
   IFERROR(XLOOKUP(""T""&amp;($B48-1)&amp;""_""&amp;$D48,$A:$A,$T:$T),0)
  )
  +IFERROR(XLOOKUP(REGEXEXTRACT($J48,""^[^｜]+""),tr_mst!$A:$A,tr_mst!$I:$I),0)
  +IFERROR(XLOOKUP(REGEXEXTRACT($K48,""^[^｜]+""),tc_mst!$A:$A,tc_mst!$I:$I)"&amp;",0)
  +
  (
   IFERROR(XLOOKUP(REGEXEXTRACT($M48,""^[^｜]+""),ac_mst!$A:$A,ac_mst!$L:$L),0)
   +IFERROR(XLOOKUP(REGEXEXTRACT($N48,""^[^｜]+""),ac_mst!$A:$A,ac_mst!$L:$L),0)
   +IFERROR(
    XLOOKUP(
     IF(
      OR(
       IFERROR(REGEXEXTRACT($M48,""^[^｜"&amp;"]+""),"""")="""",
       IFERROR(REGEXEXTRACT($N48,""^[^｜]+""),"""")=""""
      ),
      """",
      IF(
       IFERROR(REGEXEXTRACT($M48,""^[^｜]+""),"""")&lt;IFERROR(REGEXEXTRACT($N48,""^[^｜]+""),""""),
       IFERROR(REGEXEXTRACT($M48,""^[^｜]+""),"""")&amp;""_"&amp;"""&amp;IFERROR(REGEXEXTRACT($N48,""^[^｜]+""),""""),
       IFERROR(REGEXEXTRACT($N48,""^[^｜]+""),"""")&amp;""_""&amp;IFERROR(REGEXEXTRACT($M48,""^[^｜]+""),"""")
      )
     ),
     sy_mst!$A:$A,
     sy_mst!$I:$I
    ),
    0
   )
  )
  *
  IFERROR(XLOOKUP(REGEXEXTR"&amp;"ACT($I48,""^[^｜]+""),ms_mst!$A:$A,ms_mst!$Q:$Q),1)
  *
  IF(
   $B48&gt;=IFERROR(XLOOKUP(REGEXEXTRACT($L48,""^[^｜]+""),sk_mst!$A:$A,sk_mst!$M:$M),999),
   IFERROR(XLOOKUP(REGEXEXTRACT($L48,""^[^｜]+""),sk_mst!$A:$A,sk_mst!$K:$K),1),
   1
  )
 )
)"),4200.0)</f>
        <v>4200</v>
      </c>
      <c r="U48" s="25">
        <f>IFERROR(__xludf.DUMMYFUNCTION("IF($A48="""","""",
 IF($F48=""market"",
  IFERROR(XLOOKUP(REGEXEXTRACT($J48,""^[^｜]+""),tr_mst!$A:$A,tr_mst!$J:$J),0)
  +IFERROR(XLOOKUP(REGEXEXTRACT($K48,""^[^｜]+""),tc_mst!$A:$A,tc_mst!$J:$J),0),
  IF($B48=0,
   IFERROR(XLOOKUP(REGEXEXTRACT($I48,""^[^｜]"&amp;"+""),ms_mst!$A:$A,ms_mst!$J:$J),0),
   IFERROR(XLOOKUP(""T""&amp;($B48-1)&amp;""_""&amp;$D48,$A:$A,$U:$U),0)
  )
  +IFERROR(XLOOKUP(REGEXEXTRACT($J48,""^[^｜]+""),tr_mst!$A:$A,tr_mst!$J:$J),0)
  +IFERROR(XLOOKUP(REGEXEXTRACT($K48,""^[^｜]+""),tc_mst!$A:$A,tc_mst!$J:$J)"&amp;",0)
  +
  (
   IFERROR(XLOOKUP(REGEXEXTRACT($M48,""^[^｜]+""),ac_mst!$A:$A,ac_mst!$M:$M),0)
   +IFERROR(XLOOKUP(REGEXEXTRACT($N48,""^[^｜]+""),ac_mst!$A:$A,ac_mst!$M:$M),0)
   +IFERROR(
    XLOOKUP(
     IF(
      OR(
       IFERROR(REGEXEXTRACT($M48,""^[^｜"&amp;"]+""),"""")="""",
       IFERROR(REGEXEXTRACT($N48,""^[^｜]+""),"""")=""""
      ),
      """",
      IF(
       IFERROR(REGEXEXTRACT($M48,""^[^｜]+""),"""")&lt;IFERROR(REGEXEXTRACT($N48,""^[^｜]+""),""""),
       IFERROR(REGEXEXTRACT($M48,""^[^｜]+""),"""")&amp;""_"&amp;"""&amp;IFERROR(REGEXEXTRACT($N48,""^[^｜]+""),""""),
       IFERROR(REGEXEXTRACT($N48,""^[^｜]+""),"""")&amp;""_""&amp;IFERROR(REGEXEXTRACT($M48,""^[^｜]+""),"""")
      )
     ),
     sy_mst!$A:$A,
     sy_mst!$J:$J
    ),
    0
   )
  )
  *
  IFERROR(XLOOKUP(REGEXEXTR"&amp;"ACT($I48,""^[^｜]+""),ms_mst!$A:$A,ms_mst!$R:$R),1)
  *
  IF(
   $B48&gt;=IFERROR(XLOOKUP(REGEXEXTRACT($L48,""^[^｜]+""),sk_mst!$A:$A,sk_mst!$M:$M),999),
   IFERROR(XLOOKUP(REGEXEXTRACT($L48,""^[^｜]+""),sk_mst!$A:$A,sk_mst!$L:$L),1),
   1
  )
 )
)"),45.0)</f>
        <v>45</v>
      </c>
      <c r="V48" s="25">
        <f t="shared" si="1"/>
        <v>1016630</v>
      </c>
      <c r="W48" s="25">
        <f t="shared" si="2"/>
        <v>76500</v>
      </c>
      <c r="X48" s="25">
        <f t="shared" si="3"/>
        <v>940130</v>
      </c>
      <c r="Y48" s="25">
        <f t="shared" si="4"/>
        <v>13.29</v>
      </c>
      <c r="Z48" s="25">
        <f>IFERROR(__xludf.DUMMYFUNCTION("IF($A48="""","""",
 IF($F48&lt;&gt;""player"","""",
  IFERROR(
   RANK(
    $X48,
    FILTER($X:$X,$B:$B=$B48,$F:$F=""player"",$X:$X&lt;&gt;""""),
    0
   ),
   """"
  )
 )
)"),3.0)</f>
        <v>3</v>
      </c>
      <c r="AA48" s="25" t="str">
        <f t="shared" si="5"/>
        <v>3位</v>
      </c>
      <c r="AB48" s="26">
        <f t="shared" si="6"/>
        <v>1.880300245</v>
      </c>
    </row>
    <row r="49">
      <c r="A49" s="25" t="s">
        <v>222</v>
      </c>
      <c r="B49" s="14">
        <v>3.0</v>
      </c>
      <c r="C49" s="14" t="s">
        <v>174</v>
      </c>
      <c r="D49" s="14" t="s">
        <v>175</v>
      </c>
      <c r="E49" s="25" t="s">
        <v>153</v>
      </c>
      <c r="F49" s="25" t="s">
        <v>154</v>
      </c>
      <c r="I49" s="25" t="str">
        <f>IFERROR(__xludf.DUMMYFUNCTION("IF($F49&lt;&gt;""player"","""",IFERROR(INDEX(FILTER(group_setup!$D$2:$D947,group_setup!$B$2:$B947=$C49,group_setup!$G$2:$G947=TRUE,group_setup!$H$2:$H947=""completed""),1),""""))"),"")</f>
        <v/>
      </c>
      <c r="J49" s="25" t="str">
        <f>IFERROR(__xludf.DUMMYFUNCTION("IFERROR(FILTER(market_event_log!$D$2:$D947,market_event_log!$C$2:$C947=$B49,market_event_log!$N$2:$N947=""active""),"""")"),"T03")</f>
        <v>T03</v>
      </c>
      <c r="K49" s="25" t="str">
        <f>IFERROR(__xludf.DUMMYFUNCTION("IFERROR(FILTER(market_event_log!$G$2:$G947,market_event_log!$C$2:$C947=$B49,market_event_log!$N$2:$N947=""active""),"""")"),"C03")</f>
        <v>C03</v>
      </c>
      <c r="L49" s="25" t="str">
        <f>IFERROR(__xludf.DUMMYFUNCTION("IF($F49&lt;&gt;""player"","""",IFERROR(INDEX(FILTER(group_setup!$E$2:$E947,group_setup!$B$2:$B947=$C49,group_setup!$G$2:$G947=TRUE,group_setup!$H$2:$H947=""completed""),1),""""))"),"")</f>
        <v/>
      </c>
      <c r="M49" s="25" t="str">
        <f>IFERROR(__xludf.DUMMYFUNCTION("IF($F49=""market"","""",IF($E49=""HUMAN"",IFERROR(FILTER(turn_log!$G$2:$G947,turn_log!$C$2:$C947=$B49,turn_log!$D$2:$D947=$C49,turn_log!$F$2:$F947=$E49),""""),IFERROR(FILTER(turn_log!$I$2:$I947,turn_log!$C$2:$C947=$B49,turn_log!$D$2:$D947=$C49,turn_log!$F"&amp;"$2:$F947=$E49),"""")))"),"")</f>
        <v/>
      </c>
      <c r="N49" s="25" t="str">
        <f>IFERROR(__xludf.DUMMYFUNCTION("IF($F49=""market"","""",IF($E49=""HUMAN"",IFERROR(FILTER(turn_log!$H$2:$H947,turn_log!$C$2:$C947=$B49,turn_log!$D$2:$D947=$C49,turn_log!$F$2:$F947=$E49),""""),IFERROR(FILTER(turn_log!$J$2:$J947,turn_log!$C$2:$C947=$B49,turn_log!$D$2:$D947=$C49,turn_log!$F"&amp;"$2:$F947=$E49),"""")))"),"")</f>
        <v/>
      </c>
      <c r="O49" s="25">
        <f>IFERROR(__xludf.DUMMYFUNCTION("IF($A49="""","""",
 IF($F49=""market"",
  IFERROR(XLOOKUP(REGEXEXTRACT($J49,""^[^｜]+""),tr_mst!$A:$A,tr_mst!$D:$D),0)
  +IFERROR(XLOOKUP(REGEXEXTRACT($K49,""^[^｜]+""),tc_mst!$A:$A,tc_mst!$D:$D),0),
  IF($B49=0,
   IFERROR(XLOOKUP(REGEXEXTRACT($I49,""^[^｜]"&amp;"+""),ms_mst!$A:$A,ms_mst!$D:$D),0),
   IFERROR(XLOOKUP(""T""&amp;($B49-1)&amp;""_""&amp;$D49,$A:$A,$O:$O),0)
  )
  +IFERROR(XLOOKUP(REGEXEXTRACT($J49,""^[^｜]+""),tr_mst!$A:$A,tr_mst!$D:$D),0)
  +IFERROR(XLOOKUP(REGEXEXTRACT($K49,""^[^｜]+""),tc_mst!$A:$A,tc_mst!$D:$D)"&amp;",0)
  +
  (
   IFERROR(XLOOKUP(REGEXEXTRACT($M49,""^[^｜]+""),ac_mst!$A:$A,ac_mst!$G:$G),0)
   +IFERROR(XLOOKUP(REGEXEXTRACT($N49,""^[^｜]+""),ac_mst!$A:$A,ac_mst!$G:$G),0)
   +IFERROR(
    XLOOKUP(
     IF(
      OR(
       IFERROR(REGEXEXTRACT($M49,""^[^｜"&amp;"]+""),"""")="""",
       IFERROR(REGEXEXTRACT($N49,""^[^｜]+""),"""")=""""
      ),
      """",
      IF(
       IFERROR(REGEXEXTRACT($M49,""^[^｜]+""),"""")&lt;IFERROR(REGEXEXTRACT($N49,""^[^｜]+""),""""),
       IFERROR(REGEXEXTRACT($M49,""^[^｜]+""),"""")&amp;""_"&amp;"""&amp;IFERROR(REGEXEXTRACT($N49,""^[^｜]+""),""""),
       IFERROR(REGEXEXTRACT($N49,""^[^｜]+""),"""")&amp;""_""&amp;IFERROR(REGEXEXTRACT($M49,""^[^｜]+""),"""")
      )
     ),
     sy_mst!$A:$A,
     sy_mst!$D:$D
    ),
    0
   )
  )
  *
  IFERROR(XLOOKUP(REGEXEXTR"&amp;"ACT($I49,""^[^｜]+""),ms_mst!$A:$A,ms_mst!$L:$L),1)
  *
  IF(
   $B49&gt;=IFERROR(XLOOKUP(REGEXEXTRACT($L49,""^[^｜]+""),sk_mst!$A:$A,sk_mst!$M:$M),999),
   IFERROR(XLOOKUP(REGEXEXTRACT($L49,""^[^｜]+""),sk_mst!$A:$A,sk_mst!$F:$F),1),
   1
  )
 )
)"),4000.0)</f>
        <v>4000</v>
      </c>
      <c r="P49" s="25">
        <f>IFERROR(__xludf.DUMMYFUNCTION("IF($A49="""","""",
 IF($F49=""market"",
  IFERROR(XLOOKUP(REGEXEXTRACT($J49,""^[^｜]+""),tr_mst!$A:$A,tr_mst!$E:$E),0)
  +IFERROR(XLOOKUP(REGEXEXTRACT($K49,""^[^｜]+""),tc_mst!$A:$A,tc_mst!$E:$E),0),
  IF($B49=0,
   IFERROR(XLOOKUP(REGEXEXTRACT($I49,""^[^｜]"&amp;"+""),ms_mst!$A:$A,ms_mst!$E:$E),0),
   IFERROR(XLOOKUP(""T""&amp;($B49-1)&amp;""_""&amp;$D49,$A:$A,$P:$P),0)
  )
  +IFERROR(XLOOKUP(REGEXEXTRACT($J49,""^[^｜]+""),tr_mst!$A:$A,tr_mst!$E:$E),0)
  +IFERROR(XLOOKUP(REGEXEXTRACT($K49,""^[^｜]+""),tc_mst!$A:$A,tc_mst!$E:$E)"&amp;",0)
  +
  (
   IFERROR(XLOOKUP(REGEXEXTRACT($M49,""^[^｜]+""),ac_mst!$A:$A,ac_mst!$H:$H),0)
   +IFERROR(XLOOKUP(REGEXEXTRACT($N49,""^[^｜]+""),ac_mst!$A:$A,ac_mst!$H:$H),0)
   +IFERROR(
    XLOOKUP(
     IF(
      OR(
       IFERROR(REGEXEXTRACT($M49,""^[^｜"&amp;"]+""),"""")="""",
       IFERROR(REGEXEXTRACT($N49,""^[^｜]+""),"""")=""""
      ),
      """",
      IF(
       IFERROR(REGEXEXTRACT($M49,""^[^｜]+""),"""")&lt;IFERROR(REGEXEXTRACT($N49,""^[^｜]+""),""""),
       IFERROR(REGEXEXTRACT($M49,""^[^｜]+""),"""")&amp;""_"&amp;"""&amp;IFERROR(REGEXEXTRACT($N49,""^[^｜]+""),""""),
       IFERROR(REGEXEXTRACT($N49,""^[^｜]+""),"""")&amp;""_""&amp;IFERROR(REGEXEXTRACT($M49,""^[^｜]+""),"""")
      )
     ),
     sy_mst!$A:$A,
     sy_mst!$E:$E
    ),
    0
   )
  )
  *
  IFERROR(XLOOKUP(REGEXEXTR"&amp;"ACT($I49,""^[^｜]+""),ms_mst!$A:$A,ms_mst!$M:$M),1)
  *
  IF(
   $B49&gt;=IFERROR(XLOOKUP(REGEXEXTRACT($L49,""^[^｜]+""),sk_mst!$A:$A,sk_mst!$M:$M),999),
   IFERROR(XLOOKUP(REGEXEXTRACT($L49,""^[^｜]+""),sk_mst!$A:$A,sk_mst!$G:$G),1),
   1
  )
 )
)"),200.0)</f>
        <v>200</v>
      </c>
      <c r="Q49" s="25">
        <f>IFERROR(__xludf.DUMMYFUNCTION("IF($A49="""","""",
 IF($F49=""market"",
  IFERROR(XLOOKUP(REGEXEXTRACT($J49,""^[^｜]+""),tr_mst!$A:$A,tr_mst!$F:$F),0)
  +IFERROR(XLOOKUP(REGEXEXTRACT($K49,""^[^｜]+""),tc_mst!$A:$A,tc_mst!$F:$F),0),
  IF($B49=0,
   IFERROR(XLOOKUP(REGEXEXTRACT($I49,""^[^｜]"&amp;"+""),ms_mst!$A:$A,ms_mst!$F:$F),0),
   IFERROR(XLOOKUP(""T""&amp;($B49-1)&amp;""_""&amp;$D49,$A:$A,$Q:$Q),0)
  )
  +IFERROR(XLOOKUP(REGEXEXTRACT($J49,""^[^｜]+""),tr_mst!$A:$A,tr_mst!$F:$F),0)
  +IFERROR(XLOOKUP(REGEXEXTRACT($K49,""^[^｜]+""),tc_mst!$A:$A,tc_mst!$F:$F)"&amp;",0)
  +
  (
   IFERROR(XLOOKUP(REGEXEXTRACT($M49,""^[^｜]+""),ac_mst!$A:$A,ac_mst!$I:$I),0)
   +IFERROR(XLOOKUP(REGEXEXTRACT($N49,""^[^｜]+""),ac_mst!$A:$A,ac_mst!$I:$I),0)
   +IFERROR(
    XLOOKUP(
     IF(
      OR(
       IFERROR(REGEXEXTRACT($M49,""^[^｜"&amp;"]+""),"""")="""",
       IFERROR(REGEXEXTRACT($N49,""^[^｜]+""),"""")=""""
      ),
      """",
      IF(
       IFERROR(REGEXEXTRACT($M49,""^[^｜]+""),"""")&lt;IFERROR(REGEXEXTRACT($N49,""^[^｜]+""),""""),
       IFERROR(REGEXEXTRACT($M49,""^[^｜]+""),"""")&amp;""_"&amp;"""&amp;IFERROR(REGEXEXTRACT($N49,""^[^｜]+""),""""),
       IFERROR(REGEXEXTRACT($N49,""^[^｜]+""),"""")&amp;""_""&amp;IFERROR(REGEXEXTRACT($M49,""^[^｜]+""),"""")
      )
     ),
     sy_mst!$A:$A,
     sy_mst!$F:$F
    ),
    0
   )
  )
  *
  IFERROR(XLOOKUP(REGEXEXTR"&amp;"ACT($I49,""^[^｜]+""),ms_mst!$A:$A,ms_mst!$N:$N),1)
  *
  IF(
   $B49&gt;=IFERROR(XLOOKUP(REGEXEXTRACT($L49,""^[^｜]+""),sk_mst!$A:$A,sk_mst!$M:$M),999),
   IFERROR(XLOOKUP(REGEXEXTRACT($L49,""^[^｜]+""),sk_mst!$A:$A,sk_mst!$H:$H),1),
   1
  )
 )
)"),0.0)</f>
        <v>0</v>
      </c>
      <c r="R49" s="25">
        <f>IFERROR(__xludf.DUMMYFUNCTION("IF($A49="""","""",
 IF($F49=""market"",
  IFERROR(XLOOKUP(REGEXEXTRACT($J49,""^[^｜]+""),tr_mst!$A:$A,tr_mst!$G:$G),0)
  +IFERROR(XLOOKUP(REGEXEXTRACT($K49,""^[^｜]+""),tc_mst!$A:$A,tc_mst!$G:$G),0),
  IF($B49=0,
   IFERROR(XLOOKUP(REGEXEXTRACT($I49,""^[^｜]"&amp;"+""),ms_mst!$A:$A,ms_mst!$G:$G),0),
   IFERROR(XLOOKUP(""T""&amp;($B49-1)&amp;""_""&amp;$D49,$A:$A,$R:$R),0)
  )
  +IFERROR(XLOOKUP(REGEXEXTRACT($J49,""^[^｜]+""),tr_mst!$A:$A,tr_mst!$G:$G),0)
  +IFERROR(XLOOKUP(REGEXEXTRACT($K49,""^[^｜]+""),tc_mst!$A:$A,tc_mst!$G:$G)"&amp;",0)
  +
  (
   IFERROR(XLOOKUP(REGEXEXTRACT($M49,""^[^｜]+""),ac_mst!$A:$A,ac_mst!$J:$J),0)
   +IFERROR(XLOOKUP(REGEXEXTRACT($N49,""^[^｜]+""),ac_mst!$A:$A,ac_mst!$J:$J),0)
   +IFERROR(
    XLOOKUP(
     IF(
      OR(
       IFERROR(REGEXEXTRACT($M49,""^[^｜"&amp;"]+""),"""")="""",
       IFERROR(REGEXEXTRACT($N49,""^[^｜]+""),"""")=""""
      ),
      """",
      IF(
       IFERROR(REGEXEXTRACT($M49,""^[^｜]+""),"""")&lt;IFERROR(REGEXEXTRACT($N49,""^[^｜]+""),""""),
       IFERROR(REGEXEXTRACT($M49,""^[^｜]+""),"""")&amp;""_"&amp;"""&amp;IFERROR(REGEXEXTRACT($N49,""^[^｜]+""),""""),
       IFERROR(REGEXEXTRACT($N49,""^[^｜]+""),"""")&amp;""_""&amp;IFERROR(REGEXEXTRACT($M49,""^[^｜]+""),"""")
      )
     ),
     sy_mst!$A:$A,
     sy_mst!$G:$G
    ),
    0
   )
  )
  *
  IFERROR(XLOOKUP(REGEXEXTR"&amp;"ACT($I49,""^[^｜]+""),ms_mst!$A:$A,ms_mst!$O:$O),1)
  *
  IF(
   $B49&gt;=IFERROR(XLOOKUP(REGEXEXTRACT($L49,""^[^｜]+""),sk_mst!$A:$A,sk_mst!$M:$M),999),
   IFERROR(XLOOKUP(REGEXEXTRACT($L49,""^[^｜]+""),sk_mst!$A:$A,sk_mst!$I:$I),1),
   1
  )
 )
)"),0.03)</f>
        <v>0.03</v>
      </c>
      <c r="S49" s="25">
        <f>IFERROR(__xludf.DUMMYFUNCTION("IF($A49="""","""",
 IF($F49=""market"",
  IFERROR(XLOOKUP(REGEXEXTRACT($J49,""^[^｜]+""),tr_mst!$A:$A,tr_mst!$H:$H),0)
  +IFERROR(XLOOKUP(REGEXEXTRACT($K49,""^[^｜]+""),tc_mst!$A:$A,tc_mst!$H:$H),0),
  IF($B49=0,
   IFERROR(XLOOKUP(REGEXEXTRACT($I49,""^[^｜]"&amp;"+""),ms_mst!$A:$A,ms_mst!$H:$H),0),
   IFERROR(XLOOKUP(""T""&amp;($B49-1)&amp;""_""&amp;$D49,$A:$A,$S:$S),0)
  )
  +IFERROR(XLOOKUP(REGEXEXTRACT($J49,""^[^｜]+""),tr_mst!$A:$A,tr_mst!$H:$H),0)
  +IFERROR(XLOOKUP(REGEXEXTRACT($K49,""^[^｜]+""),tc_mst!$A:$A,tc_mst!$H:$H)"&amp;",0)
  +
  (
   IFERROR(XLOOKUP(REGEXEXTRACT($M49,""^[^｜]+""),ac_mst!$A:$A,ac_mst!$K:$K),0)
   +IFERROR(XLOOKUP(REGEXEXTRACT($N49,""^[^｜]+""),ac_mst!$A:$A,ac_mst!$K:$K),0)
   +IFERROR(
    XLOOKUP(
     IF(
      OR(
       IFERROR(REGEXEXTRACT($M49,""^[^｜"&amp;"]+""),"""")="""",
       IFERROR(REGEXEXTRACT($N49,""^[^｜]+""),"""")=""""
      ),
      """",
      IF(
       IFERROR(REGEXEXTRACT($M49,""^[^｜]+""),"""")&lt;IFERROR(REGEXEXTRACT($N49,""^[^｜]+""),""""),
       IFERROR(REGEXEXTRACT($M49,""^[^｜]+""),"""")&amp;""_"&amp;"""&amp;IFERROR(REGEXEXTRACT($N49,""^[^｜]+""),""""),
       IFERROR(REGEXEXTRACT($N49,""^[^｜]+""),"""")&amp;""_""&amp;IFERROR(REGEXEXTRACT($M49,""^[^｜]+""),"""")
      )
     ),
     sy_mst!$A:$A,
     sy_mst!$H:$H
    ),
    0
   )
  )
  *
  IFERROR(XLOOKUP(REGEXEXTR"&amp;"ACT($I49,""^[^｜]+""),ms_mst!$A:$A,ms_mst!$P:$P),1)
  *
  IF(
   $B49&gt;=IFERROR(XLOOKUP(REGEXEXTRACT($L49,""^[^｜]+""),sk_mst!$A:$A,sk_mst!$M:$M),999),
   IFERROR(XLOOKUP(REGEXEXTRACT($L49,""^[^｜]+""),sk_mst!$A:$A,sk_mst!$J:$J),1),
   1
  )
 )
)"),0.0010999999999999998)</f>
        <v>0.0011</v>
      </c>
      <c r="T49" s="25">
        <f>IFERROR(__xludf.DUMMYFUNCTION("IF($A49="""","""",
 IF($F49=""market"",
  IFERROR(XLOOKUP(REGEXEXTRACT($J49,""^[^｜]+""),tr_mst!$A:$A,tr_mst!$I:$I),0)
  +IFERROR(XLOOKUP(REGEXEXTRACT($K49,""^[^｜]+""),tc_mst!$A:$A,tc_mst!$I:$I),0),
  IF($B49=0,
   IFERROR(XLOOKUP(REGEXEXTRACT($I49,""^[^｜]"&amp;"+""),ms_mst!$A:$A,ms_mst!$I:$I),0),
   IFERROR(XLOOKUP(""T""&amp;($B49-1)&amp;""_""&amp;$D49,$A:$A,$T:$T),0)
  )
  +IFERROR(XLOOKUP(REGEXEXTRACT($J49,""^[^｜]+""),tr_mst!$A:$A,tr_mst!$I:$I),0)
  +IFERROR(XLOOKUP(REGEXEXTRACT($K49,""^[^｜]+""),tc_mst!$A:$A,tc_mst!$I:$I)"&amp;",0)
  +
  (
   IFERROR(XLOOKUP(REGEXEXTRACT($M49,""^[^｜]+""),ac_mst!$A:$A,ac_mst!$L:$L),0)
   +IFERROR(XLOOKUP(REGEXEXTRACT($N49,""^[^｜]+""),ac_mst!$A:$A,ac_mst!$L:$L),0)
   +IFERROR(
    XLOOKUP(
     IF(
      OR(
       IFERROR(REGEXEXTRACT($M49,""^[^｜"&amp;"]+""),"""")="""",
       IFERROR(REGEXEXTRACT($N49,""^[^｜]+""),"""")=""""
      ),
      """",
      IF(
       IFERROR(REGEXEXTRACT($M49,""^[^｜]+""),"""")&lt;IFERROR(REGEXEXTRACT($N49,""^[^｜]+""),""""),
       IFERROR(REGEXEXTRACT($M49,""^[^｜]+""),"""")&amp;""_"&amp;"""&amp;IFERROR(REGEXEXTRACT($N49,""^[^｜]+""),""""),
       IFERROR(REGEXEXTRACT($N49,""^[^｜]+""),"""")&amp;""_""&amp;IFERROR(REGEXEXTRACT($M49,""^[^｜]+""),"""")
      )
     ),
     sy_mst!$A:$A,
     sy_mst!$I:$I
    ),
    0
   )
  )
  *
  IFERROR(XLOOKUP(REGEXEXTR"&amp;"ACT($I49,""^[^｜]+""),ms_mst!$A:$A,ms_mst!$Q:$Q),1)
  *
  IF(
   $B49&gt;=IFERROR(XLOOKUP(REGEXEXTRACT($L49,""^[^｜]+""),sk_mst!$A:$A,sk_mst!$M:$M),999),
   IFERROR(XLOOKUP(REGEXEXTRACT($L49,""^[^｜]+""),sk_mst!$A:$A,sk_mst!$K:$K),1),
   1
  )
 )
)"),200.0)</f>
        <v>200</v>
      </c>
      <c r="U49" s="25">
        <f>IFERROR(__xludf.DUMMYFUNCTION("IF($A49="""","""",
 IF($F49=""market"",
  IFERROR(XLOOKUP(REGEXEXTRACT($J49,""^[^｜]+""),tr_mst!$A:$A,tr_mst!$J:$J),0)
  +IFERROR(XLOOKUP(REGEXEXTRACT($K49,""^[^｜]+""),tc_mst!$A:$A,tc_mst!$J:$J),0),
  IF($B49=0,
   IFERROR(XLOOKUP(REGEXEXTRACT($I49,""^[^｜]"&amp;"+""),ms_mst!$A:$A,ms_mst!$J:$J),0),
   IFERROR(XLOOKUP(""T""&amp;($B49-1)&amp;""_""&amp;$D49,$A:$A,$U:$U),0)
  )
  +IFERROR(XLOOKUP(REGEXEXTRACT($J49,""^[^｜]+""),tr_mst!$A:$A,tr_mst!$J:$J),0)
  +IFERROR(XLOOKUP(REGEXEXTRACT($K49,""^[^｜]+""),tc_mst!$A:$A,tc_mst!$J:$J)"&amp;",0)
  +
  (
   IFERROR(XLOOKUP(REGEXEXTRACT($M49,""^[^｜]+""),ac_mst!$A:$A,ac_mst!$M:$M),0)
   +IFERROR(XLOOKUP(REGEXEXTRACT($N49,""^[^｜]+""),ac_mst!$A:$A,ac_mst!$M:$M),0)
   +IFERROR(
    XLOOKUP(
     IF(
      OR(
       IFERROR(REGEXEXTRACT($M49,""^[^｜"&amp;"]+""),"""")="""",
       IFERROR(REGEXEXTRACT($N49,""^[^｜]+""),"""")=""""
      ),
      """",
      IF(
       IFERROR(REGEXEXTRACT($M49,""^[^｜]+""),"""")&lt;IFERROR(REGEXEXTRACT($N49,""^[^｜]+""),""""),
       IFERROR(REGEXEXTRACT($M49,""^[^｜]+""),"""")&amp;""_"&amp;"""&amp;IFERROR(REGEXEXTRACT($N49,""^[^｜]+""),""""),
       IFERROR(REGEXEXTRACT($N49,""^[^｜]+""),"""")&amp;""_""&amp;IFERROR(REGEXEXTRACT($M49,""^[^｜]+""),"""")
      )
     ),
     sy_mst!$A:$A,
     sy_mst!$J:$J
    ),
    0
   )
  )
  *
  IFERROR(XLOOKUP(REGEXEXTR"&amp;"ACT($I49,""^[^｜]+""),ms_mst!$A:$A,ms_mst!$R:$R),1)
  *
  IF(
   $B49&gt;=IFERROR(XLOOKUP(REGEXEXTRACT($L49,""^[^｜]+""),sk_mst!$A:$A,sk_mst!$M:$M),999),
   IFERROR(XLOOKUP(REGEXEXTRACT($L49,""^[^｜]+""),sk_mst!$A:$A,sk_mst!$L:$L),1),
   1
  )
 )
)"),5.0)</f>
        <v>5</v>
      </c>
      <c r="V49" s="25">
        <f t="shared" si="1"/>
        <v>28</v>
      </c>
      <c r="W49" s="25">
        <f t="shared" si="2"/>
        <v>1000</v>
      </c>
      <c r="X49" s="25">
        <f t="shared" si="3"/>
        <v>-972</v>
      </c>
      <c r="Y49" s="25">
        <f t="shared" si="4"/>
        <v>0.03</v>
      </c>
      <c r="Z49" s="25">
        <f>IFERROR(__xludf.DUMMYFUNCTION("IF($A49="""","""",
 IF($F49&lt;&gt;""player"","""",
  IFERROR(
   RANK(
    $X49,
    FILTER($X:$X,$B:$B=$B49,$F:$F=""player"",$X:$X&lt;&gt;""""),
    0
   ),
   """"
  )
 )
)"),8.0)</f>
        <v>8</v>
      </c>
      <c r="AA49" s="25" t="str">
        <f t="shared" si="5"/>
        <v>8位</v>
      </c>
      <c r="AB49" s="26">
        <f t="shared" si="6"/>
        <v>0</v>
      </c>
    </row>
    <row r="50">
      <c r="A50" s="25" t="s">
        <v>223</v>
      </c>
      <c r="B50" s="14">
        <v>3.0</v>
      </c>
      <c r="C50" s="14" t="s">
        <v>177</v>
      </c>
      <c r="D50" s="14" t="s">
        <v>178</v>
      </c>
      <c r="E50" s="25" t="s">
        <v>153</v>
      </c>
      <c r="F50" s="25" t="s">
        <v>154</v>
      </c>
      <c r="I50" s="25" t="str">
        <f>IFERROR(__xludf.DUMMYFUNCTION("IF($F50&lt;&gt;""player"","""",IFERROR(INDEX(FILTER(group_setup!$D$2:$D947,group_setup!$B$2:$B947=$C50,group_setup!$G$2:$G947=TRUE,group_setup!$H$2:$H947=""completed""),1),""""))"),"")</f>
        <v/>
      </c>
      <c r="J50" s="25" t="str">
        <f>IFERROR(__xludf.DUMMYFUNCTION("IFERROR(FILTER(market_event_log!$D$2:$D947,market_event_log!$C$2:$C947=$B50,market_event_log!$N$2:$N947=""active""),"""")"),"T03")</f>
        <v>T03</v>
      </c>
      <c r="K50" s="25" t="str">
        <f>IFERROR(__xludf.DUMMYFUNCTION("IFERROR(FILTER(market_event_log!$G$2:$G947,market_event_log!$C$2:$C947=$B50,market_event_log!$N$2:$N947=""active""),"""")"),"C03")</f>
        <v>C03</v>
      </c>
      <c r="L50" s="25" t="str">
        <f>IFERROR(__xludf.DUMMYFUNCTION("IF($F50&lt;&gt;""player"","""",IFERROR(INDEX(FILTER(group_setup!$E$2:$E947,group_setup!$B$2:$B947=$C50,group_setup!$G$2:$G947=TRUE,group_setup!$H$2:$H947=""completed""),1),""""))"),"")</f>
        <v/>
      </c>
      <c r="M50" s="25" t="str">
        <f>IFERROR(__xludf.DUMMYFUNCTION("IF($F50=""market"","""",IF($E50=""HUMAN"",IFERROR(FILTER(turn_log!$G$2:$G947,turn_log!$C$2:$C947=$B50,turn_log!$D$2:$D947=$C50,turn_log!$F$2:$F947=$E50),""""),IFERROR(FILTER(turn_log!$I$2:$I947,turn_log!$C$2:$C947=$B50,turn_log!$D$2:$D947=$C50,turn_log!$F"&amp;"$2:$F947=$E50),"""")))"),"")</f>
        <v/>
      </c>
      <c r="N50" s="25" t="str">
        <f>IFERROR(__xludf.DUMMYFUNCTION("IF($F50=""market"","""",IF($E50=""HUMAN"",IFERROR(FILTER(turn_log!$H$2:$H947,turn_log!$C$2:$C947=$B50,turn_log!$D$2:$D947=$C50,turn_log!$F$2:$F947=$E50),""""),IFERROR(FILTER(turn_log!$J$2:$J947,turn_log!$C$2:$C947=$B50,turn_log!$D$2:$D947=$C50,turn_log!$F"&amp;"$2:$F947=$E50),"""")))"),"")</f>
        <v/>
      </c>
      <c r="O50" s="25">
        <f>IFERROR(__xludf.DUMMYFUNCTION("IF($A50="""","""",
 IF($F50=""market"",
  IFERROR(XLOOKUP(REGEXEXTRACT($J50,""^[^｜]+""),tr_mst!$A:$A,tr_mst!$D:$D),0)
  +IFERROR(XLOOKUP(REGEXEXTRACT($K50,""^[^｜]+""),tc_mst!$A:$A,tc_mst!$D:$D),0),
  IF($B50=0,
   IFERROR(XLOOKUP(REGEXEXTRACT($I50,""^[^｜]"&amp;"+""),ms_mst!$A:$A,ms_mst!$D:$D),0),
   IFERROR(XLOOKUP(""T""&amp;($B50-1)&amp;""_""&amp;$D50,$A:$A,$O:$O),0)
  )
  +IFERROR(XLOOKUP(REGEXEXTRACT($J50,""^[^｜]+""),tr_mst!$A:$A,tr_mst!$D:$D),0)
  +IFERROR(XLOOKUP(REGEXEXTRACT($K50,""^[^｜]+""),tc_mst!$A:$A,tc_mst!$D:$D)"&amp;",0)
  +
  (
   IFERROR(XLOOKUP(REGEXEXTRACT($M50,""^[^｜]+""),ac_mst!$A:$A,ac_mst!$G:$G),0)
   +IFERROR(XLOOKUP(REGEXEXTRACT($N50,""^[^｜]+""),ac_mst!$A:$A,ac_mst!$G:$G),0)
   +IFERROR(
    XLOOKUP(
     IF(
      OR(
       IFERROR(REGEXEXTRACT($M50,""^[^｜"&amp;"]+""),"""")="""",
       IFERROR(REGEXEXTRACT($N50,""^[^｜]+""),"""")=""""
      ),
      """",
      IF(
       IFERROR(REGEXEXTRACT($M50,""^[^｜]+""),"""")&lt;IFERROR(REGEXEXTRACT($N50,""^[^｜]+""),""""),
       IFERROR(REGEXEXTRACT($M50,""^[^｜]+""),"""")&amp;""_"&amp;"""&amp;IFERROR(REGEXEXTRACT($N50,""^[^｜]+""),""""),
       IFERROR(REGEXEXTRACT($N50,""^[^｜]+""),"""")&amp;""_""&amp;IFERROR(REGEXEXTRACT($M50,""^[^｜]+""),"""")
      )
     ),
     sy_mst!$A:$A,
     sy_mst!$D:$D
    ),
    0
   )
  )
  *
  IFERROR(XLOOKUP(REGEXEXTR"&amp;"ACT($I50,""^[^｜]+""),ms_mst!$A:$A,ms_mst!$L:$L),1)
  *
  IF(
   $B50&gt;=IFERROR(XLOOKUP(REGEXEXTRACT($L50,""^[^｜]+""),sk_mst!$A:$A,sk_mst!$M:$M),999),
   IFERROR(XLOOKUP(REGEXEXTRACT($L50,""^[^｜]+""),sk_mst!$A:$A,sk_mst!$F:$F),1),
   1
  )
 )
)"),4000.0)</f>
        <v>4000</v>
      </c>
      <c r="P50" s="25">
        <f>IFERROR(__xludf.DUMMYFUNCTION("IF($A50="""","""",
 IF($F50=""market"",
  IFERROR(XLOOKUP(REGEXEXTRACT($J50,""^[^｜]+""),tr_mst!$A:$A,tr_mst!$E:$E),0)
  +IFERROR(XLOOKUP(REGEXEXTRACT($K50,""^[^｜]+""),tc_mst!$A:$A,tc_mst!$E:$E),0),
  IF($B50=0,
   IFERROR(XLOOKUP(REGEXEXTRACT($I50,""^[^｜]"&amp;"+""),ms_mst!$A:$A,ms_mst!$E:$E),0),
   IFERROR(XLOOKUP(""T""&amp;($B50-1)&amp;""_""&amp;$D50,$A:$A,$P:$P),0)
  )
  +IFERROR(XLOOKUP(REGEXEXTRACT($J50,""^[^｜]+""),tr_mst!$A:$A,tr_mst!$E:$E),0)
  +IFERROR(XLOOKUP(REGEXEXTRACT($K50,""^[^｜]+""),tc_mst!$A:$A,tc_mst!$E:$E)"&amp;",0)
  +
  (
   IFERROR(XLOOKUP(REGEXEXTRACT($M50,""^[^｜]+""),ac_mst!$A:$A,ac_mst!$H:$H),0)
   +IFERROR(XLOOKUP(REGEXEXTRACT($N50,""^[^｜]+""),ac_mst!$A:$A,ac_mst!$H:$H),0)
   +IFERROR(
    XLOOKUP(
     IF(
      OR(
       IFERROR(REGEXEXTRACT($M50,""^[^｜"&amp;"]+""),"""")="""",
       IFERROR(REGEXEXTRACT($N50,""^[^｜]+""),"""")=""""
      ),
      """",
      IF(
       IFERROR(REGEXEXTRACT($M50,""^[^｜]+""),"""")&lt;IFERROR(REGEXEXTRACT($N50,""^[^｜]+""),""""),
       IFERROR(REGEXEXTRACT($M50,""^[^｜]+""),"""")&amp;""_"&amp;"""&amp;IFERROR(REGEXEXTRACT($N50,""^[^｜]+""),""""),
       IFERROR(REGEXEXTRACT($N50,""^[^｜]+""),"""")&amp;""_""&amp;IFERROR(REGEXEXTRACT($M50,""^[^｜]+""),"""")
      )
     ),
     sy_mst!$A:$A,
     sy_mst!$E:$E
    ),
    0
   )
  )
  *
  IFERROR(XLOOKUP(REGEXEXTR"&amp;"ACT($I50,""^[^｜]+""),ms_mst!$A:$A,ms_mst!$M:$M),1)
  *
  IF(
   $B50&gt;=IFERROR(XLOOKUP(REGEXEXTRACT($L50,""^[^｜]+""),sk_mst!$A:$A,sk_mst!$M:$M),999),
   IFERROR(XLOOKUP(REGEXEXTRACT($L50,""^[^｜]+""),sk_mst!$A:$A,sk_mst!$G:$G),1),
   1
  )
 )
)"),200.0)</f>
        <v>200</v>
      </c>
      <c r="Q50" s="25">
        <f>IFERROR(__xludf.DUMMYFUNCTION("IF($A50="""","""",
 IF($F50=""market"",
  IFERROR(XLOOKUP(REGEXEXTRACT($J50,""^[^｜]+""),tr_mst!$A:$A,tr_mst!$F:$F),0)
  +IFERROR(XLOOKUP(REGEXEXTRACT($K50,""^[^｜]+""),tc_mst!$A:$A,tc_mst!$F:$F),0),
  IF($B50=0,
   IFERROR(XLOOKUP(REGEXEXTRACT($I50,""^[^｜]"&amp;"+""),ms_mst!$A:$A,ms_mst!$F:$F),0),
   IFERROR(XLOOKUP(""T""&amp;($B50-1)&amp;""_""&amp;$D50,$A:$A,$Q:$Q),0)
  )
  +IFERROR(XLOOKUP(REGEXEXTRACT($J50,""^[^｜]+""),tr_mst!$A:$A,tr_mst!$F:$F),0)
  +IFERROR(XLOOKUP(REGEXEXTRACT($K50,""^[^｜]+""),tc_mst!$A:$A,tc_mst!$F:$F)"&amp;",0)
  +
  (
   IFERROR(XLOOKUP(REGEXEXTRACT($M50,""^[^｜]+""),ac_mst!$A:$A,ac_mst!$I:$I),0)
   +IFERROR(XLOOKUP(REGEXEXTRACT($N50,""^[^｜]+""),ac_mst!$A:$A,ac_mst!$I:$I),0)
   +IFERROR(
    XLOOKUP(
     IF(
      OR(
       IFERROR(REGEXEXTRACT($M50,""^[^｜"&amp;"]+""),"""")="""",
       IFERROR(REGEXEXTRACT($N50,""^[^｜]+""),"""")=""""
      ),
      """",
      IF(
       IFERROR(REGEXEXTRACT($M50,""^[^｜]+""),"""")&lt;IFERROR(REGEXEXTRACT($N50,""^[^｜]+""),""""),
       IFERROR(REGEXEXTRACT($M50,""^[^｜]+""),"""")&amp;""_"&amp;"""&amp;IFERROR(REGEXEXTRACT($N50,""^[^｜]+""),""""),
       IFERROR(REGEXEXTRACT($N50,""^[^｜]+""),"""")&amp;""_""&amp;IFERROR(REGEXEXTRACT($M50,""^[^｜]+""),"""")
      )
     ),
     sy_mst!$A:$A,
     sy_mst!$F:$F
    ),
    0
   )
  )
  *
  IFERROR(XLOOKUP(REGEXEXTR"&amp;"ACT($I50,""^[^｜]+""),ms_mst!$A:$A,ms_mst!$N:$N),1)
  *
  IF(
   $B50&gt;=IFERROR(XLOOKUP(REGEXEXTRACT($L50,""^[^｜]+""),sk_mst!$A:$A,sk_mst!$M:$M),999),
   IFERROR(XLOOKUP(REGEXEXTRACT($L50,""^[^｜]+""),sk_mst!$A:$A,sk_mst!$H:$H),1),
   1
  )
 )
)"),0.0)</f>
        <v>0</v>
      </c>
      <c r="R50" s="25">
        <f>IFERROR(__xludf.DUMMYFUNCTION("IF($A50="""","""",
 IF($F50=""market"",
  IFERROR(XLOOKUP(REGEXEXTRACT($J50,""^[^｜]+""),tr_mst!$A:$A,tr_mst!$G:$G),0)
  +IFERROR(XLOOKUP(REGEXEXTRACT($K50,""^[^｜]+""),tc_mst!$A:$A,tc_mst!$G:$G),0),
  IF($B50=0,
   IFERROR(XLOOKUP(REGEXEXTRACT($I50,""^[^｜]"&amp;"+""),ms_mst!$A:$A,ms_mst!$G:$G),0),
   IFERROR(XLOOKUP(""T""&amp;($B50-1)&amp;""_""&amp;$D50,$A:$A,$R:$R),0)
  )
  +IFERROR(XLOOKUP(REGEXEXTRACT($J50,""^[^｜]+""),tr_mst!$A:$A,tr_mst!$G:$G),0)
  +IFERROR(XLOOKUP(REGEXEXTRACT($K50,""^[^｜]+""),tc_mst!$A:$A,tc_mst!$G:$G)"&amp;",0)
  +
  (
   IFERROR(XLOOKUP(REGEXEXTRACT($M50,""^[^｜]+""),ac_mst!$A:$A,ac_mst!$J:$J),0)
   +IFERROR(XLOOKUP(REGEXEXTRACT($N50,""^[^｜]+""),ac_mst!$A:$A,ac_mst!$J:$J),0)
   +IFERROR(
    XLOOKUP(
     IF(
      OR(
       IFERROR(REGEXEXTRACT($M50,""^[^｜"&amp;"]+""),"""")="""",
       IFERROR(REGEXEXTRACT($N50,""^[^｜]+""),"""")=""""
      ),
      """",
      IF(
       IFERROR(REGEXEXTRACT($M50,""^[^｜]+""),"""")&lt;IFERROR(REGEXEXTRACT($N50,""^[^｜]+""),""""),
       IFERROR(REGEXEXTRACT($M50,""^[^｜]+""),"""")&amp;""_"&amp;"""&amp;IFERROR(REGEXEXTRACT($N50,""^[^｜]+""),""""),
       IFERROR(REGEXEXTRACT($N50,""^[^｜]+""),"""")&amp;""_""&amp;IFERROR(REGEXEXTRACT($M50,""^[^｜]+""),"""")
      )
     ),
     sy_mst!$A:$A,
     sy_mst!$G:$G
    ),
    0
   )
  )
  *
  IFERROR(XLOOKUP(REGEXEXTR"&amp;"ACT($I50,""^[^｜]+""),ms_mst!$A:$A,ms_mst!$O:$O),1)
  *
  IF(
   $B50&gt;=IFERROR(XLOOKUP(REGEXEXTRACT($L50,""^[^｜]+""),sk_mst!$A:$A,sk_mst!$M:$M),999),
   IFERROR(XLOOKUP(REGEXEXTRACT($L50,""^[^｜]+""),sk_mst!$A:$A,sk_mst!$I:$I),1),
   1
  )
 )
)"),0.03)</f>
        <v>0.03</v>
      </c>
      <c r="S50" s="25">
        <f>IFERROR(__xludf.DUMMYFUNCTION("IF($A50="""","""",
 IF($F50=""market"",
  IFERROR(XLOOKUP(REGEXEXTRACT($J50,""^[^｜]+""),tr_mst!$A:$A,tr_mst!$H:$H),0)
  +IFERROR(XLOOKUP(REGEXEXTRACT($K50,""^[^｜]+""),tc_mst!$A:$A,tc_mst!$H:$H),0),
  IF($B50=0,
   IFERROR(XLOOKUP(REGEXEXTRACT($I50,""^[^｜]"&amp;"+""),ms_mst!$A:$A,ms_mst!$H:$H),0),
   IFERROR(XLOOKUP(""T""&amp;($B50-1)&amp;""_""&amp;$D50,$A:$A,$S:$S),0)
  )
  +IFERROR(XLOOKUP(REGEXEXTRACT($J50,""^[^｜]+""),tr_mst!$A:$A,tr_mst!$H:$H),0)
  +IFERROR(XLOOKUP(REGEXEXTRACT($K50,""^[^｜]+""),tc_mst!$A:$A,tc_mst!$H:$H)"&amp;",0)
  +
  (
   IFERROR(XLOOKUP(REGEXEXTRACT($M50,""^[^｜]+""),ac_mst!$A:$A,ac_mst!$K:$K),0)
   +IFERROR(XLOOKUP(REGEXEXTRACT($N50,""^[^｜]+""),ac_mst!$A:$A,ac_mst!$K:$K),0)
   +IFERROR(
    XLOOKUP(
     IF(
      OR(
       IFERROR(REGEXEXTRACT($M50,""^[^｜"&amp;"]+""),"""")="""",
       IFERROR(REGEXEXTRACT($N50,""^[^｜]+""),"""")=""""
      ),
      """",
      IF(
       IFERROR(REGEXEXTRACT($M50,""^[^｜]+""),"""")&lt;IFERROR(REGEXEXTRACT($N50,""^[^｜]+""),""""),
       IFERROR(REGEXEXTRACT($M50,""^[^｜]+""),"""")&amp;""_"&amp;"""&amp;IFERROR(REGEXEXTRACT($N50,""^[^｜]+""),""""),
       IFERROR(REGEXEXTRACT($N50,""^[^｜]+""),"""")&amp;""_""&amp;IFERROR(REGEXEXTRACT($M50,""^[^｜]+""),"""")
      )
     ),
     sy_mst!$A:$A,
     sy_mst!$H:$H
    ),
    0
   )
  )
  *
  IFERROR(XLOOKUP(REGEXEXTR"&amp;"ACT($I50,""^[^｜]+""),ms_mst!$A:$A,ms_mst!$P:$P),1)
  *
  IF(
   $B50&gt;=IFERROR(XLOOKUP(REGEXEXTRACT($L50,""^[^｜]+""),sk_mst!$A:$A,sk_mst!$M:$M),999),
   IFERROR(XLOOKUP(REGEXEXTRACT($L50,""^[^｜]+""),sk_mst!$A:$A,sk_mst!$J:$J),1),
   1
  )
 )
)"),0.0010999999999999998)</f>
        <v>0.0011</v>
      </c>
      <c r="T50" s="25">
        <f>IFERROR(__xludf.DUMMYFUNCTION("IF($A50="""","""",
 IF($F50=""market"",
  IFERROR(XLOOKUP(REGEXEXTRACT($J50,""^[^｜]+""),tr_mst!$A:$A,tr_mst!$I:$I),0)
  +IFERROR(XLOOKUP(REGEXEXTRACT($K50,""^[^｜]+""),tc_mst!$A:$A,tc_mst!$I:$I),0),
  IF($B50=0,
   IFERROR(XLOOKUP(REGEXEXTRACT($I50,""^[^｜]"&amp;"+""),ms_mst!$A:$A,ms_mst!$I:$I),0),
   IFERROR(XLOOKUP(""T""&amp;($B50-1)&amp;""_""&amp;$D50,$A:$A,$T:$T),0)
  )
  +IFERROR(XLOOKUP(REGEXEXTRACT($J50,""^[^｜]+""),tr_mst!$A:$A,tr_mst!$I:$I),0)
  +IFERROR(XLOOKUP(REGEXEXTRACT($K50,""^[^｜]+""),tc_mst!$A:$A,tc_mst!$I:$I)"&amp;",0)
  +
  (
   IFERROR(XLOOKUP(REGEXEXTRACT($M50,""^[^｜]+""),ac_mst!$A:$A,ac_mst!$L:$L),0)
   +IFERROR(XLOOKUP(REGEXEXTRACT($N50,""^[^｜]+""),ac_mst!$A:$A,ac_mst!$L:$L),0)
   +IFERROR(
    XLOOKUP(
     IF(
      OR(
       IFERROR(REGEXEXTRACT($M50,""^[^｜"&amp;"]+""),"""")="""",
       IFERROR(REGEXEXTRACT($N50,""^[^｜]+""),"""")=""""
      ),
      """",
      IF(
       IFERROR(REGEXEXTRACT($M50,""^[^｜]+""),"""")&lt;IFERROR(REGEXEXTRACT($N50,""^[^｜]+""),""""),
       IFERROR(REGEXEXTRACT($M50,""^[^｜]+""),"""")&amp;""_"&amp;"""&amp;IFERROR(REGEXEXTRACT($N50,""^[^｜]+""),""""),
       IFERROR(REGEXEXTRACT($N50,""^[^｜]+""),"""")&amp;""_""&amp;IFERROR(REGEXEXTRACT($M50,""^[^｜]+""),"""")
      )
     ),
     sy_mst!$A:$A,
     sy_mst!$I:$I
    ),
    0
   )
  )
  *
  IFERROR(XLOOKUP(REGEXEXTR"&amp;"ACT($I50,""^[^｜]+""),ms_mst!$A:$A,ms_mst!$Q:$Q),1)
  *
  IF(
   $B50&gt;=IFERROR(XLOOKUP(REGEXEXTRACT($L50,""^[^｜]+""),sk_mst!$A:$A,sk_mst!$M:$M),999),
   IFERROR(XLOOKUP(REGEXEXTRACT($L50,""^[^｜]+""),sk_mst!$A:$A,sk_mst!$K:$K),1),
   1
  )
 )
)"),200.0)</f>
        <v>200</v>
      </c>
      <c r="U50" s="25">
        <f>IFERROR(__xludf.DUMMYFUNCTION("IF($A50="""","""",
 IF($F50=""market"",
  IFERROR(XLOOKUP(REGEXEXTRACT($J50,""^[^｜]+""),tr_mst!$A:$A,tr_mst!$J:$J),0)
  +IFERROR(XLOOKUP(REGEXEXTRACT($K50,""^[^｜]+""),tc_mst!$A:$A,tc_mst!$J:$J),0),
  IF($B50=0,
   IFERROR(XLOOKUP(REGEXEXTRACT($I50,""^[^｜]"&amp;"+""),ms_mst!$A:$A,ms_mst!$J:$J),0),
   IFERROR(XLOOKUP(""T""&amp;($B50-1)&amp;""_""&amp;$D50,$A:$A,$U:$U),0)
  )
  +IFERROR(XLOOKUP(REGEXEXTRACT($J50,""^[^｜]+""),tr_mst!$A:$A,tr_mst!$J:$J),0)
  +IFERROR(XLOOKUP(REGEXEXTRACT($K50,""^[^｜]+""),tc_mst!$A:$A,tc_mst!$J:$J)"&amp;",0)
  +
  (
   IFERROR(XLOOKUP(REGEXEXTRACT($M50,""^[^｜]+""),ac_mst!$A:$A,ac_mst!$M:$M),0)
   +IFERROR(XLOOKUP(REGEXEXTRACT($N50,""^[^｜]+""),ac_mst!$A:$A,ac_mst!$M:$M),0)
   +IFERROR(
    XLOOKUP(
     IF(
      OR(
       IFERROR(REGEXEXTRACT($M50,""^[^｜"&amp;"]+""),"""")="""",
       IFERROR(REGEXEXTRACT($N50,""^[^｜]+""),"""")=""""
      ),
      """",
      IF(
       IFERROR(REGEXEXTRACT($M50,""^[^｜]+""),"""")&lt;IFERROR(REGEXEXTRACT($N50,""^[^｜]+""),""""),
       IFERROR(REGEXEXTRACT($M50,""^[^｜]+""),"""")&amp;""_"&amp;"""&amp;IFERROR(REGEXEXTRACT($N50,""^[^｜]+""),""""),
       IFERROR(REGEXEXTRACT($N50,""^[^｜]+""),"""")&amp;""_""&amp;IFERROR(REGEXEXTRACT($M50,""^[^｜]+""),"""")
      )
     ),
     sy_mst!$A:$A,
     sy_mst!$J:$J
    ),
    0
   )
  )
  *
  IFERROR(XLOOKUP(REGEXEXTR"&amp;"ACT($I50,""^[^｜]+""),ms_mst!$A:$A,ms_mst!$R:$R),1)
  *
  IF(
   $B50&gt;=IFERROR(XLOOKUP(REGEXEXTRACT($L50,""^[^｜]+""),sk_mst!$A:$A,sk_mst!$M:$M),999),
   IFERROR(XLOOKUP(REGEXEXTRACT($L50,""^[^｜]+""),sk_mst!$A:$A,sk_mst!$L:$L),1),
   1
  )
 )
)"),5.0)</f>
        <v>5</v>
      </c>
      <c r="V50" s="25">
        <f t="shared" si="1"/>
        <v>28</v>
      </c>
      <c r="W50" s="25">
        <f t="shared" si="2"/>
        <v>1000</v>
      </c>
      <c r="X50" s="25">
        <f t="shared" si="3"/>
        <v>-972</v>
      </c>
      <c r="Y50" s="25">
        <f t="shared" si="4"/>
        <v>0.03</v>
      </c>
      <c r="Z50" s="25">
        <f>IFERROR(__xludf.DUMMYFUNCTION("IF($A50="""","""",
 IF($F50&lt;&gt;""player"","""",
  IFERROR(
   RANK(
    $X50,
    FILTER($X:$X,$B:$B=$B50,$F:$F=""player"",$X:$X&lt;&gt;""""),
    0
   ),
   """"
  )
 )
)"),8.0)</f>
        <v>8</v>
      </c>
      <c r="AA50" s="25" t="str">
        <f t="shared" si="5"/>
        <v>8位</v>
      </c>
      <c r="AB50" s="26">
        <f t="shared" si="6"/>
        <v>0</v>
      </c>
    </row>
    <row r="51">
      <c r="A51" s="25" t="s">
        <v>224</v>
      </c>
      <c r="B51" s="14">
        <v>3.0</v>
      </c>
      <c r="C51" s="14" t="s">
        <v>180</v>
      </c>
      <c r="D51" s="14" t="s">
        <v>181</v>
      </c>
      <c r="E51" s="25" t="s">
        <v>153</v>
      </c>
      <c r="F51" s="25" t="s">
        <v>154</v>
      </c>
      <c r="I51" s="25" t="str">
        <f>IFERROR(__xludf.DUMMYFUNCTION("IF($F51&lt;&gt;""player"","""",IFERROR(INDEX(FILTER(group_setup!$D$2:$D947,group_setup!$B$2:$B947=$C51,group_setup!$G$2:$G947=TRUE,group_setup!$H$2:$H947=""completed""),1),""""))"),"")</f>
        <v/>
      </c>
      <c r="J51" s="25" t="str">
        <f>IFERROR(__xludf.DUMMYFUNCTION("IFERROR(FILTER(market_event_log!$D$2:$D947,market_event_log!$C$2:$C947=$B51,market_event_log!$N$2:$N947=""active""),"""")"),"T03")</f>
        <v>T03</v>
      </c>
      <c r="K51" s="25" t="str">
        <f>IFERROR(__xludf.DUMMYFUNCTION("IFERROR(FILTER(market_event_log!$G$2:$G947,market_event_log!$C$2:$C947=$B51,market_event_log!$N$2:$N947=""active""),"""")"),"C03")</f>
        <v>C03</v>
      </c>
      <c r="L51" s="25" t="str">
        <f>IFERROR(__xludf.DUMMYFUNCTION("IF($F51&lt;&gt;""player"","""",IFERROR(INDEX(FILTER(group_setup!$E$2:$E947,group_setup!$B$2:$B947=$C51,group_setup!$G$2:$G947=TRUE,group_setup!$H$2:$H947=""completed""),1),""""))"),"")</f>
        <v/>
      </c>
      <c r="M51" s="25" t="str">
        <f>IFERROR(__xludf.DUMMYFUNCTION("IF($F51=""market"","""",IF($E51=""HUMAN"",IFERROR(FILTER(turn_log!$G$2:$G947,turn_log!$C$2:$C947=$B51,turn_log!$D$2:$D947=$C51,turn_log!$F$2:$F947=$E51),""""),IFERROR(FILTER(turn_log!$I$2:$I947,turn_log!$C$2:$C947=$B51,turn_log!$D$2:$D947=$C51,turn_log!$F"&amp;"$2:$F947=$E51),"""")))"),"")</f>
        <v/>
      </c>
      <c r="N51" s="25" t="str">
        <f>IFERROR(__xludf.DUMMYFUNCTION("IF($F51=""market"","""",IF($E51=""HUMAN"",IFERROR(FILTER(turn_log!$H$2:$H947,turn_log!$C$2:$C947=$B51,turn_log!$D$2:$D947=$C51,turn_log!$F$2:$F947=$E51),""""),IFERROR(FILTER(turn_log!$J$2:$J947,turn_log!$C$2:$C947=$B51,turn_log!$D$2:$D947=$C51,turn_log!$F"&amp;"$2:$F947=$E51),"""")))"),"")</f>
        <v/>
      </c>
      <c r="O51" s="25">
        <f>IFERROR(__xludf.DUMMYFUNCTION("IF($A51="""","""",
 IF($F51=""market"",
  IFERROR(XLOOKUP(REGEXEXTRACT($J51,""^[^｜]+""),tr_mst!$A:$A,tr_mst!$D:$D),0)
  +IFERROR(XLOOKUP(REGEXEXTRACT($K51,""^[^｜]+""),tc_mst!$A:$A,tc_mst!$D:$D),0),
  IF($B51=0,
   IFERROR(XLOOKUP(REGEXEXTRACT($I51,""^[^｜]"&amp;"+""),ms_mst!$A:$A,ms_mst!$D:$D),0),
   IFERROR(XLOOKUP(""T""&amp;($B51-1)&amp;""_""&amp;$D51,$A:$A,$O:$O),0)
  )
  +IFERROR(XLOOKUP(REGEXEXTRACT($J51,""^[^｜]+""),tr_mst!$A:$A,tr_mst!$D:$D),0)
  +IFERROR(XLOOKUP(REGEXEXTRACT($K51,""^[^｜]+""),tc_mst!$A:$A,tc_mst!$D:$D)"&amp;",0)
  +
  (
   IFERROR(XLOOKUP(REGEXEXTRACT($M51,""^[^｜]+""),ac_mst!$A:$A,ac_mst!$G:$G),0)
   +IFERROR(XLOOKUP(REGEXEXTRACT($N51,""^[^｜]+""),ac_mst!$A:$A,ac_mst!$G:$G),0)
   +IFERROR(
    XLOOKUP(
     IF(
      OR(
       IFERROR(REGEXEXTRACT($M51,""^[^｜"&amp;"]+""),"""")="""",
       IFERROR(REGEXEXTRACT($N51,""^[^｜]+""),"""")=""""
      ),
      """",
      IF(
       IFERROR(REGEXEXTRACT($M51,""^[^｜]+""),"""")&lt;IFERROR(REGEXEXTRACT($N51,""^[^｜]+""),""""),
       IFERROR(REGEXEXTRACT($M51,""^[^｜]+""),"""")&amp;""_"&amp;"""&amp;IFERROR(REGEXEXTRACT($N51,""^[^｜]+""),""""),
       IFERROR(REGEXEXTRACT($N51,""^[^｜]+""),"""")&amp;""_""&amp;IFERROR(REGEXEXTRACT($M51,""^[^｜]+""),"""")
      )
     ),
     sy_mst!$A:$A,
     sy_mst!$D:$D
    ),
    0
   )
  )
  *
  IFERROR(XLOOKUP(REGEXEXTR"&amp;"ACT($I51,""^[^｜]+""),ms_mst!$A:$A,ms_mst!$L:$L),1)
  *
  IF(
   $B51&gt;=IFERROR(XLOOKUP(REGEXEXTRACT($L51,""^[^｜]+""),sk_mst!$A:$A,sk_mst!$M:$M),999),
   IFERROR(XLOOKUP(REGEXEXTRACT($L51,""^[^｜]+""),sk_mst!$A:$A,sk_mst!$F:$F),1),
   1
  )
 )
)"),4000.0)</f>
        <v>4000</v>
      </c>
      <c r="P51" s="25">
        <f>IFERROR(__xludf.DUMMYFUNCTION("IF($A51="""","""",
 IF($F51=""market"",
  IFERROR(XLOOKUP(REGEXEXTRACT($J51,""^[^｜]+""),tr_mst!$A:$A,tr_mst!$E:$E),0)
  +IFERROR(XLOOKUP(REGEXEXTRACT($K51,""^[^｜]+""),tc_mst!$A:$A,tc_mst!$E:$E),0),
  IF($B51=0,
   IFERROR(XLOOKUP(REGEXEXTRACT($I51,""^[^｜]"&amp;"+""),ms_mst!$A:$A,ms_mst!$E:$E),0),
   IFERROR(XLOOKUP(""T""&amp;($B51-1)&amp;""_""&amp;$D51,$A:$A,$P:$P),0)
  )
  +IFERROR(XLOOKUP(REGEXEXTRACT($J51,""^[^｜]+""),tr_mst!$A:$A,tr_mst!$E:$E),0)
  +IFERROR(XLOOKUP(REGEXEXTRACT($K51,""^[^｜]+""),tc_mst!$A:$A,tc_mst!$E:$E)"&amp;",0)
  +
  (
   IFERROR(XLOOKUP(REGEXEXTRACT($M51,""^[^｜]+""),ac_mst!$A:$A,ac_mst!$H:$H),0)
   +IFERROR(XLOOKUP(REGEXEXTRACT($N51,""^[^｜]+""),ac_mst!$A:$A,ac_mst!$H:$H),0)
   +IFERROR(
    XLOOKUP(
     IF(
      OR(
       IFERROR(REGEXEXTRACT($M51,""^[^｜"&amp;"]+""),"""")="""",
       IFERROR(REGEXEXTRACT($N51,""^[^｜]+""),"""")=""""
      ),
      """",
      IF(
       IFERROR(REGEXEXTRACT($M51,""^[^｜]+""),"""")&lt;IFERROR(REGEXEXTRACT($N51,""^[^｜]+""),""""),
       IFERROR(REGEXEXTRACT($M51,""^[^｜]+""),"""")&amp;""_"&amp;"""&amp;IFERROR(REGEXEXTRACT($N51,""^[^｜]+""),""""),
       IFERROR(REGEXEXTRACT($N51,""^[^｜]+""),"""")&amp;""_""&amp;IFERROR(REGEXEXTRACT($M51,""^[^｜]+""),"""")
      )
     ),
     sy_mst!$A:$A,
     sy_mst!$E:$E
    ),
    0
   )
  )
  *
  IFERROR(XLOOKUP(REGEXEXTR"&amp;"ACT($I51,""^[^｜]+""),ms_mst!$A:$A,ms_mst!$M:$M),1)
  *
  IF(
   $B51&gt;=IFERROR(XLOOKUP(REGEXEXTRACT($L51,""^[^｜]+""),sk_mst!$A:$A,sk_mst!$M:$M),999),
   IFERROR(XLOOKUP(REGEXEXTRACT($L51,""^[^｜]+""),sk_mst!$A:$A,sk_mst!$G:$G),1),
   1
  )
 )
)"),200.0)</f>
        <v>200</v>
      </c>
      <c r="Q51" s="25">
        <f>IFERROR(__xludf.DUMMYFUNCTION("IF($A51="""","""",
 IF($F51=""market"",
  IFERROR(XLOOKUP(REGEXEXTRACT($J51,""^[^｜]+""),tr_mst!$A:$A,tr_mst!$F:$F),0)
  +IFERROR(XLOOKUP(REGEXEXTRACT($K51,""^[^｜]+""),tc_mst!$A:$A,tc_mst!$F:$F),0),
  IF($B51=0,
   IFERROR(XLOOKUP(REGEXEXTRACT($I51,""^[^｜]"&amp;"+""),ms_mst!$A:$A,ms_mst!$F:$F),0),
   IFERROR(XLOOKUP(""T""&amp;($B51-1)&amp;""_""&amp;$D51,$A:$A,$Q:$Q),0)
  )
  +IFERROR(XLOOKUP(REGEXEXTRACT($J51,""^[^｜]+""),tr_mst!$A:$A,tr_mst!$F:$F),0)
  +IFERROR(XLOOKUP(REGEXEXTRACT($K51,""^[^｜]+""),tc_mst!$A:$A,tc_mst!$F:$F)"&amp;",0)
  +
  (
   IFERROR(XLOOKUP(REGEXEXTRACT($M51,""^[^｜]+""),ac_mst!$A:$A,ac_mst!$I:$I),0)
   +IFERROR(XLOOKUP(REGEXEXTRACT($N51,""^[^｜]+""),ac_mst!$A:$A,ac_mst!$I:$I),0)
   +IFERROR(
    XLOOKUP(
     IF(
      OR(
       IFERROR(REGEXEXTRACT($M51,""^[^｜"&amp;"]+""),"""")="""",
       IFERROR(REGEXEXTRACT($N51,""^[^｜]+""),"""")=""""
      ),
      """",
      IF(
       IFERROR(REGEXEXTRACT($M51,""^[^｜]+""),"""")&lt;IFERROR(REGEXEXTRACT($N51,""^[^｜]+""),""""),
       IFERROR(REGEXEXTRACT($M51,""^[^｜]+""),"""")&amp;""_"&amp;"""&amp;IFERROR(REGEXEXTRACT($N51,""^[^｜]+""),""""),
       IFERROR(REGEXEXTRACT($N51,""^[^｜]+""),"""")&amp;""_""&amp;IFERROR(REGEXEXTRACT($M51,""^[^｜]+""),"""")
      )
     ),
     sy_mst!$A:$A,
     sy_mst!$F:$F
    ),
    0
   )
  )
  *
  IFERROR(XLOOKUP(REGEXEXTR"&amp;"ACT($I51,""^[^｜]+""),ms_mst!$A:$A,ms_mst!$N:$N),1)
  *
  IF(
   $B51&gt;=IFERROR(XLOOKUP(REGEXEXTRACT($L51,""^[^｜]+""),sk_mst!$A:$A,sk_mst!$M:$M),999),
   IFERROR(XLOOKUP(REGEXEXTRACT($L51,""^[^｜]+""),sk_mst!$A:$A,sk_mst!$H:$H),1),
   1
  )
 )
)"),0.0)</f>
        <v>0</v>
      </c>
      <c r="R51" s="25">
        <f>IFERROR(__xludf.DUMMYFUNCTION("IF($A51="""","""",
 IF($F51=""market"",
  IFERROR(XLOOKUP(REGEXEXTRACT($J51,""^[^｜]+""),tr_mst!$A:$A,tr_mst!$G:$G),0)
  +IFERROR(XLOOKUP(REGEXEXTRACT($K51,""^[^｜]+""),tc_mst!$A:$A,tc_mst!$G:$G),0),
  IF($B51=0,
   IFERROR(XLOOKUP(REGEXEXTRACT($I51,""^[^｜]"&amp;"+""),ms_mst!$A:$A,ms_mst!$G:$G),0),
   IFERROR(XLOOKUP(""T""&amp;($B51-1)&amp;""_""&amp;$D51,$A:$A,$R:$R),0)
  )
  +IFERROR(XLOOKUP(REGEXEXTRACT($J51,""^[^｜]+""),tr_mst!$A:$A,tr_mst!$G:$G),0)
  +IFERROR(XLOOKUP(REGEXEXTRACT($K51,""^[^｜]+""),tc_mst!$A:$A,tc_mst!$G:$G)"&amp;",0)
  +
  (
   IFERROR(XLOOKUP(REGEXEXTRACT($M51,""^[^｜]+""),ac_mst!$A:$A,ac_mst!$J:$J),0)
   +IFERROR(XLOOKUP(REGEXEXTRACT($N51,""^[^｜]+""),ac_mst!$A:$A,ac_mst!$J:$J),0)
   +IFERROR(
    XLOOKUP(
     IF(
      OR(
       IFERROR(REGEXEXTRACT($M51,""^[^｜"&amp;"]+""),"""")="""",
       IFERROR(REGEXEXTRACT($N51,""^[^｜]+""),"""")=""""
      ),
      """",
      IF(
       IFERROR(REGEXEXTRACT($M51,""^[^｜]+""),"""")&lt;IFERROR(REGEXEXTRACT($N51,""^[^｜]+""),""""),
       IFERROR(REGEXEXTRACT($M51,""^[^｜]+""),"""")&amp;""_"&amp;"""&amp;IFERROR(REGEXEXTRACT($N51,""^[^｜]+""),""""),
       IFERROR(REGEXEXTRACT($N51,""^[^｜]+""),"""")&amp;""_""&amp;IFERROR(REGEXEXTRACT($M51,""^[^｜]+""),"""")
      )
     ),
     sy_mst!$A:$A,
     sy_mst!$G:$G
    ),
    0
   )
  )
  *
  IFERROR(XLOOKUP(REGEXEXTR"&amp;"ACT($I51,""^[^｜]+""),ms_mst!$A:$A,ms_mst!$O:$O),1)
  *
  IF(
   $B51&gt;=IFERROR(XLOOKUP(REGEXEXTRACT($L51,""^[^｜]+""),sk_mst!$A:$A,sk_mst!$M:$M),999),
   IFERROR(XLOOKUP(REGEXEXTRACT($L51,""^[^｜]+""),sk_mst!$A:$A,sk_mst!$I:$I),1),
   1
  )
 )
)"),0.03)</f>
        <v>0.03</v>
      </c>
      <c r="S51" s="25">
        <f>IFERROR(__xludf.DUMMYFUNCTION("IF($A51="""","""",
 IF($F51=""market"",
  IFERROR(XLOOKUP(REGEXEXTRACT($J51,""^[^｜]+""),tr_mst!$A:$A,tr_mst!$H:$H),0)
  +IFERROR(XLOOKUP(REGEXEXTRACT($K51,""^[^｜]+""),tc_mst!$A:$A,tc_mst!$H:$H),0),
  IF($B51=0,
   IFERROR(XLOOKUP(REGEXEXTRACT($I51,""^[^｜]"&amp;"+""),ms_mst!$A:$A,ms_mst!$H:$H),0),
   IFERROR(XLOOKUP(""T""&amp;($B51-1)&amp;""_""&amp;$D51,$A:$A,$S:$S),0)
  )
  +IFERROR(XLOOKUP(REGEXEXTRACT($J51,""^[^｜]+""),tr_mst!$A:$A,tr_mst!$H:$H),0)
  +IFERROR(XLOOKUP(REGEXEXTRACT($K51,""^[^｜]+""),tc_mst!$A:$A,tc_mst!$H:$H)"&amp;",0)
  +
  (
   IFERROR(XLOOKUP(REGEXEXTRACT($M51,""^[^｜]+""),ac_mst!$A:$A,ac_mst!$K:$K),0)
   +IFERROR(XLOOKUP(REGEXEXTRACT($N51,""^[^｜]+""),ac_mst!$A:$A,ac_mst!$K:$K),0)
   +IFERROR(
    XLOOKUP(
     IF(
      OR(
       IFERROR(REGEXEXTRACT($M51,""^[^｜"&amp;"]+""),"""")="""",
       IFERROR(REGEXEXTRACT($N51,""^[^｜]+""),"""")=""""
      ),
      """",
      IF(
       IFERROR(REGEXEXTRACT($M51,""^[^｜]+""),"""")&lt;IFERROR(REGEXEXTRACT($N51,""^[^｜]+""),""""),
       IFERROR(REGEXEXTRACT($M51,""^[^｜]+""),"""")&amp;""_"&amp;"""&amp;IFERROR(REGEXEXTRACT($N51,""^[^｜]+""),""""),
       IFERROR(REGEXEXTRACT($N51,""^[^｜]+""),"""")&amp;""_""&amp;IFERROR(REGEXEXTRACT($M51,""^[^｜]+""),"""")
      )
     ),
     sy_mst!$A:$A,
     sy_mst!$H:$H
    ),
    0
   )
  )
  *
  IFERROR(XLOOKUP(REGEXEXTR"&amp;"ACT($I51,""^[^｜]+""),ms_mst!$A:$A,ms_mst!$P:$P),1)
  *
  IF(
   $B51&gt;=IFERROR(XLOOKUP(REGEXEXTRACT($L51,""^[^｜]+""),sk_mst!$A:$A,sk_mst!$M:$M),999),
   IFERROR(XLOOKUP(REGEXEXTRACT($L51,""^[^｜]+""),sk_mst!$A:$A,sk_mst!$J:$J),1),
   1
  )
 )
)"),0.0010999999999999998)</f>
        <v>0.0011</v>
      </c>
      <c r="T51" s="25">
        <f>IFERROR(__xludf.DUMMYFUNCTION("IF($A51="""","""",
 IF($F51=""market"",
  IFERROR(XLOOKUP(REGEXEXTRACT($J51,""^[^｜]+""),tr_mst!$A:$A,tr_mst!$I:$I),0)
  +IFERROR(XLOOKUP(REGEXEXTRACT($K51,""^[^｜]+""),tc_mst!$A:$A,tc_mst!$I:$I),0),
  IF($B51=0,
   IFERROR(XLOOKUP(REGEXEXTRACT($I51,""^[^｜]"&amp;"+""),ms_mst!$A:$A,ms_mst!$I:$I),0),
   IFERROR(XLOOKUP(""T""&amp;($B51-1)&amp;""_""&amp;$D51,$A:$A,$T:$T),0)
  )
  +IFERROR(XLOOKUP(REGEXEXTRACT($J51,""^[^｜]+""),tr_mst!$A:$A,tr_mst!$I:$I),0)
  +IFERROR(XLOOKUP(REGEXEXTRACT($K51,""^[^｜]+""),tc_mst!$A:$A,tc_mst!$I:$I)"&amp;",0)
  +
  (
   IFERROR(XLOOKUP(REGEXEXTRACT($M51,""^[^｜]+""),ac_mst!$A:$A,ac_mst!$L:$L),0)
   +IFERROR(XLOOKUP(REGEXEXTRACT($N51,""^[^｜]+""),ac_mst!$A:$A,ac_mst!$L:$L),0)
   +IFERROR(
    XLOOKUP(
     IF(
      OR(
       IFERROR(REGEXEXTRACT($M51,""^[^｜"&amp;"]+""),"""")="""",
       IFERROR(REGEXEXTRACT($N51,""^[^｜]+""),"""")=""""
      ),
      """",
      IF(
       IFERROR(REGEXEXTRACT($M51,""^[^｜]+""),"""")&lt;IFERROR(REGEXEXTRACT($N51,""^[^｜]+""),""""),
       IFERROR(REGEXEXTRACT($M51,""^[^｜]+""),"""")&amp;""_"&amp;"""&amp;IFERROR(REGEXEXTRACT($N51,""^[^｜]+""),""""),
       IFERROR(REGEXEXTRACT($N51,""^[^｜]+""),"""")&amp;""_""&amp;IFERROR(REGEXEXTRACT($M51,""^[^｜]+""),"""")
      )
     ),
     sy_mst!$A:$A,
     sy_mst!$I:$I
    ),
    0
   )
  )
  *
  IFERROR(XLOOKUP(REGEXEXTR"&amp;"ACT($I51,""^[^｜]+""),ms_mst!$A:$A,ms_mst!$Q:$Q),1)
  *
  IF(
   $B51&gt;=IFERROR(XLOOKUP(REGEXEXTRACT($L51,""^[^｜]+""),sk_mst!$A:$A,sk_mst!$M:$M),999),
   IFERROR(XLOOKUP(REGEXEXTRACT($L51,""^[^｜]+""),sk_mst!$A:$A,sk_mst!$K:$K),1),
   1
  )
 )
)"),200.0)</f>
        <v>200</v>
      </c>
      <c r="U51" s="25">
        <f>IFERROR(__xludf.DUMMYFUNCTION("IF($A51="""","""",
 IF($F51=""market"",
  IFERROR(XLOOKUP(REGEXEXTRACT($J51,""^[^｜]+""),tr_mst!$A:$A,tr_mst!$J:$J),0)
  +IFERROR(XLOOKUP(REGEXEXTRACT($K51,""^[^｜]+""),tc_mst!$A:$A,tc_mst!$J:$J),0),
  IF($B51=0,
   IFERROR(XLOOKUP(REGEXEXTRACT($I51,""^[^｜]"&amp;"+""),ms_mst!$A:$A,ms_mst!$J:$J),0),
   IFERROR(XLOOKUP(""T""&amp;($B51-1)&amp;""_""&amp;$D51,$A:$A,$U:$U),0)
  )
  +IFERROR(XLOOKUP(REGEXEXTRACT($J51,""^[^｜]+""),tr_mst!$A:$A,tr_mst!$J:$J),0)
  +IFERROR(XLOOKUP(REGEXEXTRACT($K51,""^[^｜]+""),tc_mst!$A:$A,tc_mst!$J:$J)"&amp;",0)
  +
  (
   IFERROR(XLOOKUP(REGEXEXTRACT($M51,""^[^｜]+""),ac_mst!$A:$A,ac_mst!$M:$M),0)
   +IFERROR(XLOOKUP(REGEXEXTRACT($N51,""^[^｜]+""),ac_mst!$A:$A,ac_mst!$M:$M),0)
   +IFERROR(
    XLOOKUP(
     IF(
      OR(
       IFERROR(REGEXEXTRACT($M51,""^[^｜"&amp;"]+""),"""")="""",
       IFERROR(REGEXEXTRACT($N51,""^[^｜]+""),"""")=""""
      ),
      """",
      IF(
       IFERROR(REGEXEXTRACT($M51,""^[^｜]+""),"""")&lt;IFERROR(REGEXEXTRACT($N51,""^[^｜]+""),""""),
       IFERROR(REGEXEXTRACT($M51,""^[^｜]+""),"""")&amp;""_"&amp;"""&amp;IFERROR(REGEXEXTRACT($N51,""^[^｜]+""),""""),
       IFERROR(REGEXEXTRACT($N51,""^[^｜]+""),"""")&amp;""_""&amp;IFERROR(REGEXEXTRACT($M51,""^[^｜]+""),"""")
      )
     ),
     sy_mst!$A:$A,
     sy_mst!$J:$J
    ),
    0
   )
  )
  *
  IFERROR(XLOOKUP(REGEXEXTR"&amp;"ACT($I51,""^[^｜]+""),ms_mst!$A:$A,ms_mst!$R:$R),1)
  *
  IF(
   $B51&gt;=IFERROR(XLOOKUP(REGEXEXTRACT($L51,""^[^｜]+""),sk_mst!$A:$A,sk_mst!$M:$M),999),
   IFERROR(XLOOKUP(REGEXEXTRACT($L51,""^[^｜]+""),sk_mst!$A:$A,sk_mst!$L:$L),1),
   1
  )
 )
)"),5.0)</f>
        <v>5</v>
      </c>
      <c r="V51" s="25">
        <f t="shared" si="1"/>
        <v>28</v>
      </c>
      <c r="W51" s="25">
        <f t="shared" si="2"/>
        <v>1000</v>
      </c>
      <c r="X51" s="25">
        <f t="shared" si="3"/>
        <v>-972</v>
      </c>
      <c r="Y51" s="25">
        <f t="shared" si="4"/>
        <v>0.03</v>
      </c>
      <c r="Z51" s="25">
        <f>IFERROR(__xludf.DUMMYFUNCTION("IF($A51="""","""",
 IF($F51&lt;&gt;""player"","""",
  IFERROR(
   RANK(
    $X51,
    FILTER($X:$X,$B:$B=$B51,$F:$F=""player"",$X:$X&lt;&gt;""""),
    0
   ),
   """"
  )
 )
)"),8.0)</f>
        <v>8</v>
      </c>
      <c r="AA51" s="25" t="str">
        <f t="shared" si="5"/>
        <v>8位</v>
      </c>
      <c r="AB51" s="26">
        <f t="shared" si="6"/>
        <v>0</v>
      </c>
    </row>
    <row r="52">
      <c r="A52" s="25" t="s">
        <v>225</v>
      </c>
      <c r="B52" s="14">
        <v>3.0</v>
      </c>
      <c r="C52" s="14" t="s">
        <v>183</v>
      </c>
      <c r="D52" s="14" t="s">
        <v>184</v>
      </c>
      <c r="E52" s="25" t="s">
        <v>153</v>
      </c>
      <c r="F52" s="25" t="s">
        <v>154</v>
      </c>
      <c r="I52" s="25" t="str">
        <f>IFERROR(__xludf.DUMMYFUNCTION("IF($F52&lt;&gt;""player"","""",IFERROR(INDEX(FILTER(group_setup!$D$2:$D947,group_setup!$B$2:$B947=$C52,group_setup!$G$2:$G947=TRUE,group_setup!$H$2:$H947=""completed""),1),""""))"),"")</f>
        <v/>
      </c>
      <c r="J52" s="25" t="str">
        <f>IFERROR(__xludf.DUMMYFUNCTION("IFERROR(FILTER(market_event_log!$D$2:$D947,market_event_log!$C$2:$C947=$B52,market_event_log!$N$2:$N947=""active""),"""")"),"T03")</f>
        <v>T03</v>
      </c>
      <c r="K52" s="25" t="str">
        <f>IFERROR(__xludf.DUMMYFUNCTION("IFERROR(FILTER(market_event_log!$G$2:$G947,market_event_log!$C$2:$C947=$B52,market_event_log!$N$2:$N947=""active""),"""")"),"C03")</f>
        <v>C03</v>
      </c>
      <c r="L52" s="25" t="str">
        <f>IFERROR(__xludf.DUMMYFUNCTION("IF($F52&lt;&gt;""player"","""",IFERROR(INDEX(FILTER(group_setup!$E$2:$E947,group_setup!$B$2:$B947=$C52,group_setup!$G$2:$G947=TRUE,group_setup!$H$2:$H947=""completed""),1),""""))"),"")</f>
        <v/>
      </c>
      <c r="M52" s="25" t="str">
        <f>IFERROR(__xludf.DUMMYFUNCTION("IF($F52=""market"","""",IF($E52=""HUMAN"",IFERROR(FILTER(turn_log!$G$2:$G947,turn_log!$C$2:$C947=$B52,turn_log!$D$2:$D947=$C52,turn_log!$F$2:$F947=$E52),""""),IFERROR(FILTER(turn_log!$I$2:$I947,turn_log!$C$2:$C947=$B52,turn_log!$D$2:$D947=$C52,turn_log!$F"&amp;"$2:$F947=$E52),"""")))"),"")</f>
        <v/>
      </c>
      <c r="N52" s="25" t="str">
        <f>IFERROR(__xludf.DUMMYFUNCTION("IF($F52=""market"","""",IF($E52=""HUMAN"",IFERROR(FILTER(turn_log!$H$2:$H947,turn_log!$C$2:$C947=$B52,turn_log!$D$2:$D947=$C52,turn_log!$F$2:$F947=$E52),""""),IFERROR(FILTER(turn_log!$J$2:$J947,turn_log!$C$2:$C947=$B52,turn_log!$D$2:$D947=$C52,turn_log!$F"&amp;"$2:$F947=$E52),"""")))"),"")</f>
        <v/>
      </c>
      <c r="O52" s="25">
        <f>IFERROR(__xludf.DUMMYFUNCTION("IF($A52="""","""",
 IF($F52=""market"",
  IFERROR(XLOOKUP(REGEXEXTRACT($J52,""^[^｜]+""),tr_mst!$A:$A,tr_mst!$D:$D),0)
  +IFERROR(XLOOKUP(REGEXEXTRACT($K52,""^[^｜]+""),tc_mst!$A:$A,tc_mst!$D:$D),0),
  IF($B52=0,
   IFERROR(XLOOKUP(REGEXEXTRACT($I52,""^[^｜]"&amp;"+""),ms_mst!$A:$A,ms_mst!$D:$D),0),
   IFERROR(XLOOKUP(""T""&amp;($B52-1)&amp;""_""&amp;$D52,$A:$A,$O:$O),0)
  )
  +IFERROR(XLOOKUP(REGEXEXTRACT($J52,""^[^｜]+""),tr_mst!$A:$A,tr_mst!$D:$D),0)
  +IFERROR(XLOOKUP(REGEXEXTRACT($K52,""^[^｜]+""),tc_mst!$A:$A,tc_mst!$D:$D)"&amp;",0)
  +
  (
   IFERROR(XLOOKUP(REGEXEXTRACT($M52,""^[^｜]+""),ac_mst!$A:$A,ac_mst!$G:$G),0)
   +IFERROR(XLOOKUP(REGEXEXTRACT($N52,""^[^｜]+""),ac_mst!$A:$A,ac_mst!$G:$G),0)
   +IFERROR(
    XLOOKUP(
     IF(
      OR(
       IFERROR(REGEXEXTRACT($M52,""^[^｜"&amp;"]+""),"""")="""",
       IFERROR(REGEXEXTRACT($N52,""^[^｜]+""),"""")=""""
      ),
      """",
      IF(
       IFERROR(REGEXEXTRACT($M52,""^[^｜]+""),"""")&lt;IFERROR(REGEXEXTRACT($N52,""^[^｜]+""),""""),
       IFERROR(REGEXEXTRACT($M52,""^[^｜]+""),"""")&amp;""_"&amp;"""&amp;IFERROR(REGEXEXTRACT($N52,""^[^｜]+""),""""),
       IFERROR(REGEXEXTRACT($N52,""^[^｜]+""),"""")&amp;""_""&amp;IFERROR(REGEXEXTRACT($M52,""^[^｜]+""),"""")
      )
     ),
     sy_mst!$A:$A,
     sy_mst!$D:$D
    ),
    0
   )
  )
  *
  IFERROR(XLOOKUP(REGEXEXTR"&amp;"ACT($I52,""^[^｜]+""),ms_mst!$A:$A,ms_mst!$L:$L),1)
  *
  IF(
   $B52&gt;=IFERROR(XLOOKUP(REGEXEXTRACT($L52,""^[^｜]+""),sk_mst!$A:$A,sk_mst!$M:$M),999),
   IFERROR(XLOOKUP(REGEXEXTRACT($L52,""^[^｜]+""),sk_mst!$A:$A,sk_mst!$F:$F),1),
   1
  )
 )
)"),4000.0)</f>
        <v>4000</v>
      </c>
      <c r="P52" s="25">
        <f>IFERROR(__xludf.DUMMYFUNCTION("IF($A52="""","""",
 IF($F52=""market"",
  IFERROR(XLOOKUP(REGEXEXTRACT($J52,""^[^｜]+""),tr_mst!$A:$A,tr_mst!$E:$E),0)
  +IFERROR(XLOOKUP(REGEXEXTRACT($K52,""^[^｜]+""),tc_mst!$A:$A,tc_mst!$E:$E),0),
  IF($B52=0,
   IFERROR(XLOOKUP(REGEXEXTRACT($I52,""^[^｜]"&amp;"+""),ms_mst!$A:$A,ms_mst!$E:$E),0),
   IFERROR(XLOOKUP(""T""&amp;($B52-1)&amp;""_""&amp;$D52,$A:$A,$P:$P),0)
  )
  +IFERROR(XLOOKUP(REGEXEXTRACT($J52,""^[^｜]+""),tr_mst!$A:$A,tr_mst!$E:$E),0)
  +IFERROR(XLOOKUP(REGEXEXTRACT($K52,""^[^｜]+""),tc_mst!$A:$A,tc_mst!$E:$E)"&amp;",0)
  +
  (
   IFERROR(XLOOKUP(REGEXEXTRACT($M52,""^[^｜]+""),ac_mst!$A:$A,ac_mst!$H:$H),0)
   +IFERROR(XLOOKUP(REGEXEXTRACT($N52,""^[^｜]+""),ac_mst!$A:$A,ac_mst!$H:$H),0)
   +IFERROR(
    XLOOKUP(
     IF(
      OR(
       IFERROR(REGEXEXTRACT($M52,""^[^｜"&amp;"]+""),"""")="""",
       IFERROR(REGEXEXTRACT($N52,""^[^｜]+""),"""")=""""
      ),
      """",
      IF(
       IFERROR(REGEXEXTRACT($M52,""^[^｜]+""),"""")&lt;IFERROR(REGEXEXTRACT($N52,""^[^｜]+""),""""),
       IFERROR(REGEXEXTRACT($M52,""^[^｜]+""),"""")&amp;""_"&amp;"""&amp;IFERROR(REGEXEXTRACT($N52,""^[^｜]+""),""""),
       IFERROR(REGEXEXTRACT($N52,""^[^｜]+""),"""")&amp;""_""&amp;IFERROR(REGEXEXTRACT($M52,""^[^｜]+""),"""")
      )
     ),
     sy_mst!$A:$A,
     sy_mst!$E:$E
    ),
    0
   )
  )
  *
  IFERROR(XLOOKUP(REGEXEXTR"&amp;"ACT($I52,""^[^｜]+""),ms_mst!$A:$A,ms_mst!$M:$M),1)
  *
  IF(
   $B52&gt;=IFERROR(XLOOKUP(REGEXEXTRACT($L52,""^[^｜]+""),sk_mst!$A:$A,sk_mst!$M:$M),999),
   IFERROR(XLOOKUP(REGEXEXTRACT($L52,""^[^｜]+""),sk_mst!$A:$A,sk_mst!$G:$G),1),
   1
  )
 )
)"),200.0)</f>
        <v>200</v>
      </c>
      <c r="Q52" s="25">
        <f>IFERROR(__xludf.DUMMYFUNCTION("IF($A52="""","""",
 IF($F52=""market"",
  IFERROR(XLOOKUP(REGEXEXTRACT($J52,""^[^｜]+""),tr_mst!$A:$A,tr_mst!$F:$F),0)
  +IFERROR(XLOOKUP(REGEXEXTRACT($K52,""^[^｜]+""),tc_mst!$A:$A,tc_mst!$F:$F),0),
  IF($B52=0,
   IFERROR(XLOOKUP(REGEXEXTRACT($I52,""^[^｜]"&amp;"+""),ms_mst!$A:$A,ms_mst!$F:$F),0),
   IFERROR(XLOOKUP(""T""&amp;($B52-1)&amp;""_""&amp;$D52,$A:$A,$Q:$Q),0)
  )
  +IFERROR(XLOOKUP(REGEXEXTRACT($J52,""^[^｜]+""),tr_mst!$A:$A,tr_mst!$F:$F),0)
  +IFERROR(XLOOKUP(REGEXEXTRACT($K52,""^[^｜]+""),tc_mst!$A:$A,tc_mst!$F:$F)"&amp;",0)
  +
  (
   IFERROR(XLOOKUP(REGEXEXTRACT($M52,""^[^｜]+""),ac_mst!$A:$A,ac_mst!$I:$I),0)
   +IFERROR(XLOOKUP(REGEXEXTRACT($N52,""^[^｜]+""),ac_mst!$A:$A,ac_mst!$I:$I),0)
   +IFERROR(
    XLOOKUP(
     IF(
      OR(
       IFERROR(REGEXEXTRACT($M52,""^[^｜"&amp;"]+""),"""")="""",
       IFERROR(REGEXEXTRACT($N52,""^[^｜]+""),"""")=""""
      ),
      """",
      IF(
       IFERROR(REGEXEXTRACT($M52,""^[^｜]+""),"""")&lt;IFERROR(REGEXEXTRACT($N52,""^[^｜]+""),""""),
       IFERROR(REGEXEXTRACT($M52,""^[^｜]+""),"""")&amp;""_"&amp;"""&amp;IFERROR(REGEXEXTRACT($N52,""^[^｜]+""),""""),
       IFERROR(REGEXEXTRACT($N52,""^[^｜]+""),"""")&amp;""_""&amp;IFERROR(REGEXEXTRACT($M52,""^[^｜]+""),"""")
      )
     ),
     sy_mst!$A:$A,
     sy_mst!$F:$F
    ),
    0
   )
  )
  *
  IFERROR(XLOOKUP(REGEXEXTR"&amp;"ACT($I52,""^[^｜]+""),ms_mst!$A:$A,ms_mst!$N:$N),1)
  *
  IF(
   $B52&gt;=IFERROR(XLOOKUP(REGEXEXTRACT($L52,""^[^｜]+""),sk_mst!$A:$A,sk_mst!$M:$M),999),
   IFERROR(XLOOKUP(REGEXEXTRACT($L52,""^[^｜]+""),sk_mst!$A:$A,sk_mst!$H:$H),1),
   1
  )
 )
)"),0.0)</f>
        <v>0</v>
      </c>
      <c r="R52" s="25">
        <f>IFERROR(__xludf.DUMMYFUNCTION("IF($A52="""","""",
 IF($F52=""market"",
  IFERROR(XLOOKUP(REGEXEXTRACT($J52,""^[^｜]+""),tr_mst!$A:$A,tr_mst!$G:$G),0)
  +IFERROR(XLOOKUP(REGEXEXTRACT($K52,""^[^｜]+""),tc_mst!$A:$A,tc_mst!$G:$G),0),
  IF($B52=0,
   IFERROR(XLOOKUP(REGEXEXTRACT($I52,""^[^｜]"&amp;"+""),ms_mst!$A:$A,ms_mst!$G:$G),0),
   IFERROR(XLOOKUP(""T""&amp;($B52-1)&amp;""_""&amp;$D52,$A:$A,$R:$R),0)
  )
  +IFERROR(XLOOKUP(REGEXEXTRACT($J52,""^[^｜]+""),tr_mst!$A:$A,tr_mst!$G:$G),0)
  +IFERROR(XLOOKUP(REGEXEXTRACT($K52,""^[^｜]+""),tc_mst!$A:$A,tc_mst!$G:$G)"&amp;",0)
  +
  (
   IFERROR(XLOOKUP(REGEXEXTRACT($M52,""^[^｜]+""),ac_mst!$A:$A,ac_mst!$J:$J),0)
   +IFERROR(XLOOKUP(REGEXEXTRACT($N52,""^[^｜]+""),ac_mst!$A:$A,ac_mst!$J:$J),0)
   +IFERROR(
    XLOOKUP(
     IF(
      OR(
       IFERROR(REGEXEXTRACT($M52,""^[^｜"&amp;"]+""),"""")="""",
       IFERROR(REGEXEXTRACT($N52,""^[^｜]+""),"""")=""""
      ),
      """",
      IF(
       IFERROR(REGEXEXTRACT($M52,""^[^｜]+""),"""")&lt;IFERROR(REGEXEXTRACT($N52,""^[^｜]+""),""""),
       IFERROR(REGEXEXTRACT($M52,""^[^｜]+""),"""")&amp;""_"&amp;"""&amp;IFERROR(REGEXEXTRACT($N52,""^[^｜]+""),""""),
       IFERROR(REGEXEXTRACT($N52,""^[^｜]+""),"""")&amp;""_""&amp;IFERROR(REGEXEXTRACT($M52,""^[^｜]+""),"""")
      )
     ),
     sy_mst!$A:$A,
     sy_mst!$G:$G
    ),
    0
   )
  )
  *
  IFERROR(XLOOKUP(REGEXEXTR"&amp;"ACT($I52,""^[^｜]+""),ms_mst!$A:$A,ms_mst!$O:$O),1)
  *
  IF(
   $B52&gt;=IFERROR(XLOOKUP(REGEXEXTRACT($L52,""^[^｜]+""),sk_mst!$A:$A,sk_mst!$M:$M),999),
   IFERROR(XLOOKUP(REGEXEXTRACT($L52,""^[^｜]+""),sk_mst!$A:$A,sk_mst!$I:$I),1),
   1
  )
 )
)"),0.03)</f>
        <v>0.03</v>
      </c>
      <c r="S52" s="25">
        <f>IFERROR(__xludf.DUMMYFUNCTION("IF($A52="""","""",
 IF($F52=""market"",
  IFERROR(XLOOKUP(REGEXEXTRACT($J52,""^[^｜]+""),tr_mst!$A:$A,tr_mst!$H:$H),0)
  +IFERROR(XLOOKUP(REGEXEXTRACT($K52,""^[^｜]+""),tc_mst!$A:$A,tc_mst!$H:$H),0),
  IF($B52=0,
   IFERROR(XLOOKUP(REGEXEXTRACT($I52,""^[^｜]"&amp;"+""),ms_mst!$A:$A,ms_mst!$H:$H),0),
   IFERROR(XLOOKUP(""T""&amp;($B52-1)&amp;""_""&amp;$D52,$A:$A,$S:$S),0)
  )
  +IFERROR(XLOOKUP(REGEXEXTRACT($J52,""^[^｜]+""),tr_mst!$A:$A,tr_mst!$H:$H),0)
  +IFERROR(XLOOKUP(REGEXEXTRACT($K52,""^[^｜]+""),tc_mst!$A:$A,tc_mst!$H:$H)"&amp;",0)
  +
  (
   IFERROR(XLOOKUP(REGEXEXTRACT($M52,""^[^｜]+""),ac_mst!$A:$A,ac_mst!$K:$K),0)
   +IFERROR(XLOOKUP(REGEXEXTRACT($N52,""^[^｜]+""),ac_mst!$A:$A,ac_mst!$K:$K),0)
   +IFERROR(
    XLOOKUP(
     IF(
      OR(
       IFERROR(REGEXEXTRACT($M52,""^[^｜"&amp;"]+""),"""")="""",
       IFERROR(REGEXEXTRACT($N52,""^[^｜]+""),"""")=""""
      ),
      """",
      IF(
       IFERROR(REGEXEXTRACT($M52,""^[^｜]+""),"""")&lt;IFERROR(REGEXEXTRACT($N52,""^[^｜]+""),""""),
       IFERROR(REGEXEXTRACT($M52,""^[^｜]+""),"""")&amp;""_"&amp;"""&amp;IFERROR(REGEXEXTRACT($N52,""^[^｜]+""),""""),
       IFERROR(REGEXEXTRACT($N52,""^[^｜]+""),"""")&amp;""_""&amp;IFERROR(REGEXEXTRACT($M52,""^[^｜]+""),"""")
      )
     ),
     sy_mst!$A:$A,
     sy_mst!$H:$H
    ),
    0
   )
  )
  *
  IFERROR(XLOOKUP(REGEXEXTR"&amp;"ACT($I52,""^[^｜]+""),ms_mst!$A:$A,ms_mst!$P:$P),1)
  *
  IF(
   $B52&gt;=IFERROR(XLOOKUP(REGEXEXTRACT($L52,""^[^｜]+""),sk_mst!$A:$A,sk_mst!$M:$M),999),
   IFERROR(XLOOKUP(REGEXEXTRACT($L52,""^[^｜]+""),sk_mst!$A:$A,sk_mst!$J:$J),1),
   1
  )
 )
)"),0.0010999999999999998)</f>
        <v>0.0011</v>
      </c>
      <c r="T52" s="25">
        <f>IFERROR(__xludf.DUMMYFUNCTION("IF($A52="""","""",
 IF($F52=""market"",
  IFERROR(XLOOKUP(REGEXEXTRACT($J52,""^[^｜]+""),tr_mst!$A:$A,tr_mst!$I:$I),0)
  +IFERROR(XLOOKUP(REGEXEXTRACT($K52,""^[^｜]+""),tc_mst!$A:$A,tc_mst!$I:$I),0),
  IF($B52=0,
   IFERROR(XLOOKUP(REGEXEXTRACT($I52,""^[^｜]"&amp;"+""),ms_mst!$A:$A,ms_mst!$I:$I),0),
   IFERROR(XLOOKUP(""T""&amp;($B52-1)&amp;""_""&amp;$D52,$A:$A,$T:$T),0)
  )
  +IFERROR(XLOOKUP(REGEXEXTRACT($J52,""^[^｜]+""),tr_mst!$A:$A,tr_mst!$I:$I),0)
  +IFERROR(XLOOKUP(REGEXEXTRACT($K52,""^[^｜]+""),tc_mst!$A:$A,tc_mst!$I:$I)"&amp;",0)
  +
  (
   IFERROR(XLOOKUP(REGEXEXTRACT($M52,""^[^｜]+""),ac_mst!$A:$A,ac_mst!$L:$L),0)
   +IFERROR(XLOOKUP(REGEXEXTRACT($N52,""^[^｜]+""),ac_mst!$A:$A,ac_mst!$L:$L),0)
   +IFERROR(
    XLOOKUP(
     IF(
      OR(
       IFERROR(REGEXEXTRACT($M52,""^[^｜"&amp;"]+""),"""")="""",
       IFERROR(REGEXEXTRACT($N52,""^[^｜]+""),"""")=""""
      ),
      """",
      IF(
       IFERROR(REGEXEXTRACT($M52,""^[^｜]+""),"""")&lt;IFERROR(REGEXEXTRACT($N52,""^[^｜]+""),""""),
       IFERROR(REGEXEXTRACT($M52,""^[^｜]+""),"""")&amp;""_"&amp;"""&amp;IFERROR(REGEXEXTRACT($N52,""^[^｜]+""),""""),
       IFERROR(REGEXEXTRACT($N52,""^[^｜]+""),"""")&amp;""_""&amp;IFERROR(REGEXEXTRACT($M52,""^[^｜]+""),"""")
      )
     ),
     sy_mst!$A:$A,
     sy_mst!$I:$I
    ),
    0
   )
  )
  *
  IFERROR(XLOOKUP(REGEXEXTR"&amp;"ACT($I52,""^[^｜]+""),ms_mst!$A:$A,ms_mst!$Q:$Q),1)
  *
  IF(
   $B52&gt;=IFERROR(XLOOKUP(REGEXEXTRACT($L52,""^[^｜]+""),sk_mst!$A:$A,sk_mst!$M:$M),999),
   IFERROR(XLOOKUP(REGEXEXTRACT($L52,""^[^｜]+""),sk_mst!$A:$A,sk_mst!$K:$K),1),
   1
  )
 )
)"),200.0)</f>
        <v>200</v>
      </c>
      <c r="U52" s="25">
        <f>IFERROR(__xludf.DUMMYFUNCTION("IF($A52="""","""",
 IF($F52=""market"",
  IFERROR(XLOOKUP(REGEXEXTRACT($J52,""^[^｜]+""),tr_mst!$A:$A,tr_mst!$J:$J),0)
  +IFERROR(XLOOKUP(REGEXEXTRACT($K52,""^[^｜]+""),tc_mst!$A:$A,tc_mst!$J:$J),0),
  IF($B52=0,
   IFERROR(XLOOKUP(REGEXEXTRACT($I52,""^[^｜]"&amp;"+""),ms_mst!$A:$A,ms_mst!$J:$J),0),
   IFERROR(XLOOKUP(""T""&amp;($B52-1)&amp;""_""&amp;$D52,$A:$A,$U:$U),0)
  )
  +IFERROR(XLOOKUP(REGEXEXTRACT($J52,""^[^｜]+""),tr_mst!$A:$A,tr_mst!$J:$J),0)
  +IFERROR(XLOOKUP(REGEXEXTRACT($K52,""^[^｜]+""),tc_mst!$A:$A,tc_mst!$J:$J)"&amp;",0)
  +
  (
   IFERROR(XLOOKUP(REGEXEXTRACT($M52,""^[^｜]+""),ac_mst!$A:$A,ac_mst!$M:$M),0)
   +IFERROR(XLOOKUP(REGEXEXTRACT($N52,""^[^｜]+""),ac_mst!$A:$A,ac_mst!$M:$M),0)
   +IFERROR(
    XLOOKUP(
     IF(
      OR(
       IFERROR(REGEXEXTRACT($M52,""^[^｜"&amp;"]+""),"""")="""",
       IFERROR(REGEXEXTRACT($N52,""^[^｜]+""),"""")=""""
      ),
      """",
      IF(
       IFERROR(REGEXEXTRACT($M52,""^[^｜]+""),"""")&lt;IFERROR(REGEXEXTRACT($N52,""^[^｜]+""),""""),
       IFERROR(REGEXEXTRACT($M52,""^[^｜]+""),"""")&amp;""_"&amp;"""&amp;IFERROR(REGEXEXTRACT($N52,""^[^｜]+""),""""),
       IFERROR(REGEXEXTRACT($N52,""^[^｜]+""),"""")&amp;""_""&amp;IFERROR(REGEXEXTRACT($M52,""^[^｜]+""),"""")
      )
     ),
     sy_mst!$A:$A,
     sy_mst!$J:$J
    ),
    0
   )
  )
  *
  IFERROR(XLOOKUP(REGEXEXTR"&amp;"ACT($I52,""^[^｜]+""),ms_mst!$A:$A,ms_mst!$R:$R),1)
  *
  IF(
   $B52&gt;=IFERROR(XLOOKUP(REGEXEXTRACT($L52,""^[^｜]+""),sk_mst!$A:$A,sk_mst!$M:$M),999),
   IFERROR(XLOOKUP(REGEXEXTRACT($L52,""^[^｜]+""),sk_mst!$A:$A,sk_mst!$L:$L),1),
   1
  )
 )
)"),5.0)</f>
        <v>5</v>
      </c>
      <c r="V52" s="25">
        <f t="shared" si="1"/>
        <v>28</v>
      </c>
      <c r="W52" s="25">
        <f t="shared" si="2"/>
        <v>1000</v>
      </c>
      <c r="X52" s="25">
        <f t="shared" si="3"/>
        <v>-972</v>
      </c>
      <c r="Y52" s="25">
        <f t="shared" si="4"/>
        <v>0.03</v>
      </c>
      <c r="Z52" s="25">
        <f>IFERROR(__xludf.DUMMYFUNCTION("IF($A52="""","""",
 IF($F52&lt;&gt;""player"","""",
  IFERROR(
   RANK(
    $X52,
    FILTER($X:$X,$B:$B=$B52,$F:$F=""player"",$X:$X&lt;&gt;""""),
    0
   ),
   """"
  )
 )
)"),8.0)</f>
        <v>8</v>
      </c>
      <c r="AA52" s="25" t="str">
        <f t="shared" si="5"/>
        <v>8位</v>
      </c>
      <c r="AB52" s="26">
        <f t="shared" si="6"/>
        <v>0</v>
      </c>
    </row>
    <row r="53">
      <c r="A53" s="25" t="s">
        <v>226</v>
      </c>
      <c r="B53" s="14">
        <v>3.0</v>
      </c>
      <c r="C53" s="14" t="s">
        <v>186</v>
      </c>
      <c r="D53" s="14" t="s">
        <v>187</v>
      </c>
      <c r="E53" s="25" t="s">
        <v>153</v>
      </c>
      <c r="F53" s="25" t="s">
        <v>154</v>
      </c>
      <c r="I53" s="25" t="str">
        <f>IFERROR(__xludf.DUMMYFUNCTION("IF($F53&lt;&gt;""player"","""",IFERROR(INDEX(FILTER(group_setup!$D$2:$D947,group_setup!$B$2:$B947=$C53,group_setup!$G$2:$G947=TRUE,group_setup!$H$2:$H947=""completed""),1),""""))"),"")</f>
        <v/>
      </c>
      <c r="J53" s="25" t="str">
        <f>IFERROR(__xludf.DUMMYFUNCTION("IFERROR(FILTER(market_event_log!$D$2:$D947,market_event_log!$C$2:$C947=$B53,market_event_log!$N$2:$N947=""active""),"""")"),"T03")</f>
        <v>T03</v>
      </c>
      <c r="K53" s="25" t="str">
        <f>IFERROR(__xludf.DUMMYFUNCTION("IFERROR(FILTER(market_event_log!$G$2:$G947,market_event_log!$C$2:$C947=$B53,market_event_log!$N$2:$N947=""active""),"""")"),"C03")</f>
        <v>C03</v>
      </c>
      <c r="L53" s="25" t="str">
        <f>IFERROR(__xludf.DUMMYFUNCTION("IF($F53&lt;&gt;""player"","""",IFERROR(INDEX(FILTER(group_setup!$E$2:$E947,group_setup!$B$2:$B947=$C53,group_setup!$G$2:$G947=TRUE,group_setup!$H$2:$H947=""completed""),1),""""))"),"")</f>
        <v/>
      </c>
      <c r="M53" s="25" t="str">
        <f>IFERROR(__xludf.DUMMYFUNCTION("IF($F53=""market"","""",IF($E53=""HUMAN"",IFERROR(FILTER(turn_log!$G$2:$G947,turn_log!$C$2:$C947=$B53,turn_log!$D$2:$D947=$C53,turn_log!$F$2:$F947=$E53),""""),IFERROR(FILTER(turn_log!$I$2:$I947,turn_log!$C$2:$C947=$B53,turn_log!$D$2:$D947=$C53,turn_log!$F"&amp;"$2:$F947=$E53),"""")))"),"")</f>
        <v/>
      </c>
      <c r="N53" s="25" t="str">
        <f>IFERROR(__xludf.DUMMYFUNCTION("IF($F53=""market"","""",IF($E53=""HUMAN"",IFERROR(FILTER(turn_log!$H$2:$H947,turn_log!$C$2:$C947=$B53,turn_log!$D$2:$D947=$C53,turn_log!$F$2:$F947=$E53),""""),IFERROR(FILTER(turn_log!$J$2:$J947,turn_log!$C$2:$C947=$B53,turn_log!$D$2:$D947=$C53,turn_log!$F"&amp;"$2:$F947=$E53),"""")))"),"")</f>
        <v/>
      </c>
      <c r="O53" s="25">
        <f>IFERROR(__xludf.DUMMYFUNCTION("IF($A53="""","""",
 IF($F53=""market"",
  IFERROR(XLOOKUP(REGEXEXTRACT($J53,""^[^｜]+""),tr_mst!$A:$A,tr_mst!$D:$D),0)
  +IFERROR(XLOOKUP(REGEXEXTRACT($K53,""^[^｜]+""),tc_mst!$A:$A,tc_mst!$D:$D),0),
  IF($B53=0,
   IFERROR(XLOOKUP(REGEXEXTRACT($I53,""^[^｜]"&amp;"+""),ms_mst!$A:$A,ms_mst!$D:$D),0),
   IFERROR(XLOOKUP(""T""&amp;($B53-1)&amp;""_""&amp;$D53,$A:$A,$O:$O),0)
  )
  +IFERROR(XLOOKUP(REGEXEXTRACT($J53,""^[^｜]+""),tr_mst!$A:$A,tr_mst!$D:$D),0)
  +IFERROR(XLOOKUP(REGEXEXTRACT($K53,""^[^｜]+""),tc_mst!$A:$A,tc_mst!$D:$D)"&amp;",0)
  +
  (
   IFERROR(XLOOKUP(REGEXEXTRACT($M53,""^[^｜]+""),ac_mst!$A:$A,ac_mst!$G:$G),0)
   +IFERROR(XLOOKUP(REGEXEXTRACT($N53,""^[^｜]+""),ac_mst!$A:$A,ac_mst!$G:$G),0)
   +IFERROR(
    XLOOKUP(
     IF(
      OR(
       IFERROR(REGEXEXTRACT($M53,""^[^｜"&amp;"]+""),"""")="""",
       IFERROR(REGEXEXTRACT($N53,""^[^｜]+""),"""")=""""
      ),
      """",
      IF(
       IFERROR(REGEXEXTRACT($M53,""^[^｜]+""),"""")&lt;IFERROR(REGEXEXTRACT($N53,""^[^｜]+""),""""),
       IFERROR(REGEXEXTRACT($M53,""^[^｜]+""),"""")&amp;""_"&amp;"""&amp;IFERROR(REGEXEXTRACT($N53,""^[^｜]+""),""""),
       IFERROR(REGEXEXTRACT($N53,""^[^｜]+""),"""")&amp;""_""&amp;IFERROR(REGEXEXTRACT($M53,""^[^｜]+""),"""")
      )
     ),
     sy_mst!$A:$A,
     sy_mst!$D:$D
    ),
    0
   )
  )
  *
  IFERROR(XLOOKUP(REGEXEXTR"&amp;"ACT($I53,""^[^｜]+""),ms_mst!$A:$A,ms_mst!$L:$L),1)
  *
  IF(
   $B53&gt;=IFERROR(XLOOKUP(REGEXEXTRACT($L53,""^[^｜]+""),sk_mst!$A:$A,sk_mst!$M:$M),999),
   IFERROR(XLOOKUP(REGEXEXTRACT($L53,""^[^｜]+""),sk_mst!$A:$A,sk_mst!$F:$F),1),
   1
  )
 )
)"),4000.0)</f>
        <v>4000</v>
      </c>
      <c r="P53" s="25">
        <f>IFERROR(__xludf.DUMMYFUNCTION("IF($A53="""","""",
 IF($F53=""market"",
  IFERROR(XLOOKUP(REGEXEXTRACT($J53,""^[^｜]+""),tr_mst!$A:$A,tr_mst!$E:$E),0)
  +IFERROR(XLOOKUP(REGEXEXTRACT($K53,""^[^｜]+""),tc_mst!$A:$A,tc_mst!$E:$E),0),
  IF($B53=0,
   IFERROR(XLOOKUP(REGEXEXTRACT($I53,""^[^｜]"&amp;"+""),ms_mst!$A:$A,ms_mst!$E:$E),0),
   IFERROR(XLOOKUP(""T""&amp;($B53-1)&amp;""_""&amp;$D53,$A:$A,$P:$P),0)
  )
  +IFERROR(XLOOKUP(REGEXEXTRACT($J53,""^[^｜]+""),tr_mst!$A:$A,tr_mst!$E:$E),0)
  +IFERROR(XLOOKUP(REGEXEXTRACT($K53,""^[^｜]+""),tc_mst!$A:$A,tc_mst!$E:$E)"&amp;",0)
  +
  (
   IFERROR(XLOOKUP(REGEXEXTRACT($M53,""^[^｜]+""),ac_mst!$A:$A,ac_mst!$H:$H),0)
   +IFERROR(XLOOKUP(REGEXEXTRACT($N53,""^[^｜]+""),ac_mst!$A:$A,ac_mst!$H:$H),0)
   +IFERROR(
    XLOOKUP(
     IF(
      OR(
       IFERROR(REGEXEXTRACT($M53,""^[^｜"&amp;"]+""),"""")="""",
       IFERROR(REGEXEXTRACT($N53,""^[^｜]+""),"""")=""""
      ),
      """",
      IF(
       IFERROR(REGEXEXTRACT($M53,""^[^｜]+""),"""")&lt;IFERROR(REGEXEXTRACT($N53,""^[^｜]+""),""""),
       IFERROR(REGEXEXTRACT($M53,""^[^｜]+""),"""")&amp;""_"&amp;"""&amp;IFERROR(REGEXEXTRACT($N53,""^[^｜]+""),""""),
       IFERROR(REGEXEXTRACT($N53,""^[^｜]+""),"""")&amp;""_""&amp;IFERROR(REGEXEXTRACT($M53,""^[^｜]+""),"""")
      )
     ),
     sy_mst!$A:$A,
     sy_mst!$E:$E
    ),
    0
   )
  )
  *
  IFERROR(XLOOKUP(REGEXEXTR"&amp;"ACT($I53,""^[^｜]+""),ms_mst!$A:$A,ms_mst!$M:$M),1)
  *
  IF(
   $B53&gt;=IFERROR(XLOOKUP(REGEXEXTRACT($L53,""^[^｜]+""),sk_mst!$A:$A,sk_mst!$M:$M),999),
   IFERROR(XLOOKUP(REGEXEXTRACT($L53,""^[^｜]+""),sk_mst!$A:$A,sk_mst!$G:$G),1),
   1
  )
 )
)"),200.0)</f>
        <v>200</v>
      </c>
      <c r="Q53" s="25">
        <f>IFERROR(__xludf.DUMMYFUNCTION("IF($A53="""","""",
 IF($F53=""market"",
  IFERROR(XLOOKUP(REGEXEXTRACT($J53,""^[^｜]+""),tr_mst!$A:$A,tr_mst!$F:$F),0)
  +IFERROR(XLOOKUP(REGEXEXTRACT($K53,""^[^｜]+""),tc_mst!$A:$A,tc_mst!$F:$F),0),
  IF($B53=0,
   IFERROR(XLOOKUP(REGEXEXTRACT($I53,""^[^｜]"&amp;"+""),ms_mst!$A:$A,ms_mst!$F:$F),0),
   IFERROR(XLOOKUP(""T""&amp;($B53-1)&amp;""_""&amp;$D53,$A:$A,$Q:$Q),0)
  )
  +IFERROR(XLOOKUP(REGEXEXTRACT($J53,""^[^｜]+""),tr_mst!$A:$A,tr_mst!$F:$F),0)
  +IFERROR(XLOOKUP(REGEXEXTRACT($K53,""^[^｜]+""),tc_mst!$A:$A,tc_mst!$F:$F)"&amp;",0)
  +
  (
   IFERROR(XLOOKUP(REGEXEXTRACT($M53,""^[^｜]+""),ac_mst!$A:$A,ac_mst!$I:$I),0)
   +IFERROR(XLOOKUP(REGEXEXTRACT($N53,""^[^｜]+""),ac_mst!$A:$A,ac_mst!$I:$I),0)
   +IFERROR(
    XLOOKUP(
     IF(
      OR(
       IFERROR(REGEXEXTRACT($M53,""^[^｜"&amp;"]+""),"""")="""",
       IFERROR(REGEXEXTRACT($N53,""^[^｜]+""),"""")=""""
      ),
      """",
      IF(
       IFERROR(REGEXEXTRACT($M53,""^[^｜]+""),"""")&lt;IFERROR(REGEXEXTRACT($N53,""^[^｜]+""),""""),
       IFERROR(REGEXEXTRACT($M53,""^[^｜]+""),"""")&amp;""_"&amp;"""&amp;IFERROR(REGEXEXTRACT($N53,""^[^｜]+""),""""),
       IFERROR(REGEXEXTRACT($N53,""^[^｜]+""),"""")&amp;""_""&amp;IFERROR(REGEXEXTRACT($M53,""^[^｜]+""),"""")
      )
     ),
     sy_mst!$A:$A,
     sy_mst!$F:$F
    ),
    0
   )
  )
  *
  IFERROR(XLOOKUP(REGEXEXTR"&amp;"ACT($I53,""^[^｜]+""),ms_mst!$A:$A,ms_mst!$N:$N),1)
  *
  IF(
   $B53&gt;=IFERROR(XLOOKUP(REGEXEXTRACT($L53,""^[^｜]+""),sk_mst!$A:$A,sk_mst!$M:$M),999),
   IFERROR(XLOOKUP(REGEXEXTRACT($L53,""^[^｜]+""),sk_mst!$A:$A,sk_mst!$H:$H),1),
   1
  )
 )
)"),0.0)</f>
        <v>0</v>
      </c>
      <c r="R53" s="25">
        <f>IFERROR(__xludf.DUMMYFUNCTION("IF($A53="""","""",
 IF($F53=""market"",
  IFERROR(XLOOKUP(REGEXEXTRACT($J53,""^[^｜]+""),tr_mst!$A:$A,tr_mst!$G:$G),0)
  +IFERROR(XLOOKUP(REGEXEXTRACT($K53,""^[^｜]+""),tc_mst!$A:$A,tc_mst!$G:$G),0),
  IF($B53=0,
   IFERROR(XLOOKUP(REGEXEXTRACT($I53,""^[^｜]"&amp;"+""),ms_mst!$A:$A,ms_mst!$G:$G),0),
   IFERROR(XLOOKUP(""T""&amp;($B53-1)&amp;""_""&amp;$D53,$A:$A,$R:$R),0)
  )
  +IFERROR(XLOOKUP(REGEXEXTRACT($J53,""^[^｜]+""),tr_mst!$A:$A,tr_mst!$G:$G),0)
  +IFERROR(XLOOKUP(REGEXEXTRACT($K53,""^[^｜]+""),tc_mst!$A:$A,tc_mst!$G:$G)"&amp;",0)
  +
  (
   IFERROR(XLOOKUP(REGEXEXTRACT($M53,""^[^｜]+""),ac_mst!$A:$A,ac_mst!$J:$J),0)
   +IFERROR(XLOOKUP(REGEXEXTRACT($N53,""^[^｜]+""),ac_mst!$A:$A,ac_mst!$J:$J),0)
   +IFERROR(
    XLOOKUP(
     IF(
      OR(
       IFERROR(REGEXEXTRACT($M53,""^[^｜"&amp;"]+""),"""")="""",
       IFERROR(REGEXEXTRACT($N53,""^[^｜]+""),"""")=""""
      ),
      """",
      IF(
       IFERROR(REGEXEXTRACT($M53,""^[^｜]+""),"""")&lt;IFERROR(REGEXEXTRACT($N53,""^[^｜]+""),""""),
       IFERROR(REGEXEXTRACT($M53,""^[^｜]+""),"""")&amp;""_"&amp;"""&amp;IFERROR(REGEXEXTRACT($N53,""^[^｜]+""),""""),
       IFERROR(REGEXEXTRACT($N53,""^[^｜]+""),"""")&amp;""_""&amp;IFERROR(REGEXEXTRACT($M53,""^[^｜]+""),"""")
      )
     ),
     sy_mst!$A:$A,
     sy_mst!$G:$G
    ),
    0
   )
  )
  *
  IFERROR(XLOOKUP(REGEXEXTR"&amp;"ACT($I53,""^[^｜]+""),ms_mst!$A:$A,ms_mst!$O:$O),1)
  *
  IF(
   $B53&gt;=IFERROR(XLOOKUP(REGEXEXTRACT($L53,""^[^｜]+""),sk_mst!$A:$A,sk_mst!$M:$M),999),
   IFERROR(XLOOKUP(REGEXEXTRACT($L53,""^[^｜]+""),sk_mst!$A:$A,sk_mst!$I:$I),1),
   1
  )
 )
)"),0.03)</f>
        <v>0.03</v>
      </c>
      <c r="S53" s="25">
        <f>IFERROR(__xludf.DUMMYFUNCTION("IF($A53="""","""",
 IF($F53=""market"",
  IFERROR(XLOOKUP(REGEXEXTRACT($J53,""^[^｜]+""),tr_mst!$A:$A,tr_mst!$H:$H),0)
  +IFERROR(XLOOKUP(REGEXEXTRACT($K53,""^[^｜]+""),tc_mst!$A:$A,tc_mst!$H:$H),0),
  IF($B53=0,
   IFERROR(XLOOKUP(REGEXEXTRACT($I53,""^[^｜]"&amp;"+""),ms_mst!$A:$A,ms_mst!$H:$H),0),
   IFERROR(XLOOKUP(""T""&amp;($B53-1)&amp;""_""&amp;$D53,$A:$A,$S:$S),0)
  )
  +IFERROR(XLOOKUP(REGEXEXTRACT($J53,""^[^｜]+""),tr_mst!$A:$A,tr_mst!$H:$H),0)
  +IFERROR(XLOOKUP(REGEXEXTRACT($K53,""^[^｜]+""),tc_mst!$A:$A,tc_mst!$H:$H)"&amp;",0)
  +
  (
   IFERROR(XLOOKUP(REGEXEXTRACT($M53,""^[^｜]+""),ac_mst!$A:$A,ac_mst!$K:$K),0)
   +IFERROR(XLOOKUP(REGEXEXTRACT($N53,""^[^｜]+""),ac_mst!$A:$A,ac_mst!$K:$K),0)
   +IFERROR(
    XLOOKUP(
     IF(
      OR(
       IFERROR(REGEXEXTRACT($M53,""^[^｜"&amp;"]+""),"""")="""",
       IFERROR(REGEXEXTRACT($N53,""^[^｜]+""),"""")=""""
      ),
      """",
      IF(
       IFERROR(REGEXEXTRACT($M53,""^[^｜]+""),"""")&lt;IFERROR(REGEXEXTRACT($N53,""^[^｜]+""),""""),
       IFERROR(REGEXEXTRACT($M53,""^[^｜]+""),"""")&amp;""_"&amp;"""&amp;IFERROR(REGEXEXTRACT($N53,""^[^｜]+""),""""),
       IFERROR(REGEXEXTRACT($N53,""^[^｜]+""),"""")&amp;""_""&amp;IFERROR(REGEXEXTRACT($M53,""^[^｜]+""),"""")
      )
     ),
     sy_mst!$A:$A,
     sy_mst!$H:$H
    ),
    0
   )
  )
  *
  IFERROR(XLOOKUP(REGEXEXTR"&amp;"ACT($I53,""^[^｜]+""),ms_mst!$A:$A,ms_mst!$P:$P),1)
  *
  IF(
   $B53&gt;=IFERROR(XLOOKUP(REGEXEXTRACT($L53,""^[^｜]+""),sk_mst!$A:$A,sk_mst!$M:$M),999),
   IFERROR(XLOOKUP(REGEXEXTRACT($L53,""^[^｜]+""),sk_mst!$A:$A,sk_mst!$J:$J),1),
   1
  )
 )
)"),0.0010999999999999998)</f>
        <v>0.0011</v>
      </c>
      <c r="T53" s="25">
        <f>IFERROR(__xludf.DUMMYFUNCTION("IF($A53="""","""",
 IF($F53=""market"",
  IFERROR(XLOOKUP(REGEXEXTRACT($J53,""^[^｜]+""),tr_mst!$A:$A,tr_mst!$I:$I),0)
  +IFERROR(XLOOKUP(REGEXEXTRACT($K53,""^[^｜]+""),tc_mst!$A:$A,tc_mst!$I:$I),0),
  IF($B53=0,
   IFERROR(XLOOKUP(REGEXEXTRACT($I53,""^[^｜]"&amp;"+""),ms_mst!$A:$A,ms_mst!$I:$I),0),
   IFERROR(XLOOKUP(""T""&amp;($B53-1)&amp;""_""&amp;$D53,$A:$A,$T:$T),0)
  )
  +IFERROR(XLOOKUP(REGEXEXTRACT($J53,""^[^｜]+""),tr_mst!$A:$A,tr_mst!$I:$I),0)
  +IFERROR(XLOOKUP(REGEXEXTRACT($K53,""^[^｜]+""),tc_mst!$A:$A,tc_mst!$I:$I)"&amp;",0)
  +
  (
   IFERROR(XLOOKUP(REGEXEXTRACT($M53,""^[^｜]+""),ac_mst!$A:$A,ac_mst!$L:$L),0)
   +IFERROR(XLOOKUP(REGEXEXTRACT($N53,""^[^｜]+""),ac_mst!$A:$A,ac_mst!$L:$L),0)
   +IFERROR(
    XLOOKUP(
     IF(
      OR(
       IFERROR(REGEXEXTRACT($M53,""^[^｜"&amp;"]+""),"""")="""",
       IFERROR(REGEXEXTRACT($N53,""^[^｜]+""),"""")=""""
      ),
      """",
      IF(
       IFERROR(REGEXEXTRACT($M53,""^[^｜]+""),"""")&lt;IFERROR(REGEXEXTRACT($N53,""^[^｜]+""),""""),
       IFERROR(REGEXEXTRACT($M53,""^[^｜]+""),"""")&amp;""_"&amp;"""&amp;IFERROR(REGEXEXTRACT($N53,""^[^｜]+""),""""),
       IFERROR(REGEXEXTRACT($N53,""^[^｜]+""),"""")&amp;""_""&amp;IFERROR(REGEXEXTRACT($M53,""^[^｜]+""),"""")
      )
     ),
     sy_mst!$A:$A,
     sy_mst!$I:$I
    ),
    0
   )
  )
  *
  IFERROR(XLOOKUP(REGEXEXTR"&amp;"ACT($I53,""^[^｜]+""),ms_mst!$A:$A,ms_mst!$Q:$Q),1)
  *
  IF(
   $B53&gt;=IFERROR(XLOOKUP(REGEXEXTRACT($L53,""^[^｜]+""),sk_mst!$A:$A,sk_mst!$M:$M),999),
   IFERROR(XLOOKUP(REGEXEXTRACT($L53,""^[^｜]+""),sk_mst!$A:$A,sk_mst!$K:$K),1),
   1
  )
 )
)"),200.0)</f>
        <v>200</v>
      </c>
      <c r="U53" s="25">
        <f>IFERROR(__xludf.DUMMYFUNCTION("IF($A53="""","""",
 IF($F53=""market"",
  IFERROR(XLOOKUP(REGEXEXTRACT($J53,""^[^｜]+""),tr_mst!$A:$A,tr_mst!$J:$J),0)
  +IFERROR(XLOOKUP(REGEXEXTRACT($K53,""^[^｜]+""),tc_mst!$A:$A,tc_mst!$J:$J),0),
  IF($B53=0,
   IFERROR(XLOOKUP(REGEXEXTRACT($I53,""^[^｜]"&amp;"+""),ms_mst!$A:$A,ms_mst!$J:$J),0),
   IFERROR(XLOOKUP(""T""&amp;($B53-1)&amp;""_""&amp;$D53,$A:$A,$U:$U),0)
  )
  +IFERROR(XLOOKUP(REGEXEXTRACT($J53,""^[^｜]+""),tr_mst!$A:$A,tr_mst!$J:$J),0)
  +IFERROR(XLOOKUP(REGEXEXTRACT($K53,""^[^｜]+""),tc_mst!$A:$A,tc_mst!$J:$J)"&amp;",0)
  +
  (
   IFERROR(XLOOKUP(REGEXEXTRACT($M53,""^[^｜]+""),ac_mst!$A:$A,ac_mst!$M:$M),0)
   +IFERROR(XLOOKUP(REGEXEXTRACT($N53,""^[^｜]+""),ac_mst!$A:$A,ac_mst!$M:$M),0)
   +IFERROR(
    XLOOKUP(
     IF(
      OR(
       IFERROR(REGEXEXTRACT($M53,""^[^｜"&amp;"]+""),"""")="""",
       IFERROR(REGEXEXTRACT($N53,""^[^｜]+""),"""")=""""
      ),
      """",
      IF(
       IFERROR(REGEXEXTRACT($M53,""^[^｜]+""),"""")&lt;IFERROR(REGEXEXTRACT($N53,""^[^｜]+""),""""),
       IFERROR(REGEXEXTRACT($M53,""^[^｜]+""),"""")&amp;""_"&amp;"""&amp;IFERROR(REGEXEXTRACT($N53,""^[^｜]+""),""""),
       IFERROR(REGEXEXTRACT($N53,""^[^｜]+""),"""")&amp;""_""&amp;IFERROR(REGEXEXTRACT($M53,""^[^｜]+""),"""")
      )
     ),
     sy_mst!$A:$A,
     sy_mst!$J:$J
    ),
    0
   )
  )
  *
  IFERROR(XLOOKUP(REGEXEXTR"&amp;"ACT($I53,""^[^｜]+""),ms_mst!$A:$A,ms_mst!$R:$R),1)
  *
  IF(
   $B53&gt;=IFERROR(XLOOKUP(REGEXEXTRACT($L53,""^[^｜]+""),sk_mst!$A:$A,sk_mst!$M:$M),999),
   IFERROR(XLOOKUP(REGEXEXTRACT($L53,""^[^｜]+""),sk_mst!$A:$A,sk_mst!$L:$L),1),
   1
  )
 )
)"),5.0)</f>
        <v>5</v>
      </c>
      <c r="V53" s="25">
        <f t="shared" si="1"/>
        <v>28</v>
      </c>
      <c r="W53" s="25">
        <f t="shared" si="2"/>
        <v>1000</v>
      </c>
      <c r="X53" s="25">
        <f t="shared" si="3"/>
        <v>-972</v>
      </c>
      <c r="Y53" s="25">
        <f t="shared" si="4"/>
        <v>0.03</v>
      </c>
      <c r="Z53" s="25">
        <f>IFERROR(__xludf.DUMMYFUNCTION("IF($A53="""","""",
 IF($F53&lt;&gt;""player"","""",
  IFERROR(
   RANK(
    $X53,
    FILTER($X:$X,$B:$B=$B53,$F:$F=""player"",$X:$X&lt;&gt;""""),
    0
   ),
   """"
  )
 )
)"),8.0)</f>
        <v>8</v>
      </c>
      <c r="AA53" s="25" t="str">
        <f t="shared" si="5"/>
        <v>8位</v>
      </c>
      <c r="AB53" s="26">
        <f t="shared" si="6"/>
        <v>0</v>
      </c>
    </row>
    <row r="54">
      <c r="A54" s="14" t="s">
        <v>227</v>
      </c>
      <c r="B54" s="14">
        <v>4.0</v>
      </c>
      <c r="C54" s="14" t="s">
        <v>147</v>
      </c>
      <c r="D54" s="14" t="s">
        <v>148</v>
      </c>
      <c r="F54" s="14" t="s">
        <v>149</v>
      </c>
      <c r="I54" s="25" t="str">
        <f>IFERROR(__xludf.DUMMYFUNCTION("IF($F54&lt;&gt;""player"","""",IFERROR(INDEX(FILTER(group_setup!$D$2:$D947,group_setup!$B$2:$B947=$C54,group_setup!$G$2:$G947=TRUE,group_setup!$H$2:$H947=""completed""),1),""""))"),"")</f>
        <v/>
      </c>
      <c r="J54" s="25" t="str">
        <f>IFERROR(__xludf.DUMMYFUNCTION("IFERROR(FILTER(market_event_log!$D$2:$D947,market_event_log!$C$2:$C947=$B54,market_event_log!$N$2:$N947=""active""),"""")"),"T03")</f>
        <v>T03</v>
      </c>
      <c r="K54" s="25" t="str">
        <f>IFERROR(__xludf.DUMMYFUNCTION("IFERROR(FILTER(market_event_log!$G$2:$G947,market_event_log!$C$2:$C947=$B54,market_event_log!$N$2:$N947=""active""),"""")"),"C04")</f>
        <v>C04</v>
      </c>
      <c r="L54" s="25" t="str">
        <f>IFERROR(__xludf.DUMMYFUNCTION("IF($F54&lt;&gt;""player"","""",IFERROR(INDEX(FILTER(group_setup!$E$2:$E947,group_setup!$B$2:$B947=$C54,group_setup!$G$2:$G947=TRUE,group_setup!$H$2:$H947=""completed""),1),""""))"),"")</f>
        <v/>
      </c>
      <c r="M54" s="25" t="str">
        <f>IFERROR(__xludf.DUMMYFUNCTION("IF($F54=""market"","""",IF($E54=""HUMAN"",IFERROR(FILTER(turn_log!$G$2:$G947,turn_log!$C$2:$C947=$B54,turn_log!$D$2:$D947=$C54,turn_log!$F$2:$F947=$E54),""""),IFERROR(FILTER(turn_log!$I$2:$I947,turn_log!$C$2:$C947=$B54,turn_log!$D$2:$D947=$C54,turn_log!$F"&amp;"$2:$F947=$E54),"""")))"),"")</f>
        <v/>
      </c>
      <c r="N54" s="25" t="str">
        <f>IFERROR(__xludf.DUMMYFUNCTION("IF($F54=""market"","""",IF($E54=""HUMAN"",IFERROR(FILTER(turn_log!$H$2:$H947,turn_log!$C$2:$C947=$B54,turn_log!$D$2:$D947=$C54,turn_log!$F$2:$F947=$E54),""""),IFERROR(FILTER(turn_log!$J$2:$J947,turn_log!$C$2:$C947=$B54,turn_log!$D$2:$D947=$C54,turn_log!$F"&amp;"$2:$F947=$E54),"""")))"),"")</f>
        <v/>
      </c>
      <c r="O54" s="25">
        <f>IFERROR(__xludf.DUMMYFUNCTION("IF($A54="""","""",
 IF($F54=""market"",
  IFERROR(XLOOKUP(REGEXEXTRACT($J54,""^[^｜]+""),tr_mst!$A:$A,tr_mst!$D:$D),0)
  +IFERROR(XLOOKUP(REGEXEXTRACT($K54,""^[^｜]+""),tc_mst!$A:$A,tc_mst!$D:$D),0),
  IF($B54=0,
   IFERROR(XLOOKUP(REGEXEXTRACT($I54,""^[^｜]"&amp;"+""),ms_mst!$A:$A,ms_mst!$D:$D),0),
   IFERROR(XLOOKUP(""T""&amp;($B54-1)&amp;""_""&amp;$D54,$A:$A,$O:$O),0)
  )
  +IFERROR(XLOOKUP(REGEXEXTRACT($J54,""^[^｜]+""),tr_mst!$A:$A,tr_mst!$D:$D),0)
  +IFERROR(XLOOKUP(REGEXEXTRACT($K54,""^[^｜]+""),tc_mst!$A:$A,tc_mst!$D:$D)"&amp;",0)
  +
  (
   IFERROR(XLOOKUP(REGEXEXTRACT($M54,""^[^｜]+""),ac_mst!$A:$A,ac_mst!$G:$G),0)
   +IFERROR(XLOOKUP(REGEXEXTRACT($N54,""^[^｜]+""),ac_mst!$A:$A,ac_mst!$G:$G),0)
   +IFERROR(
    XLOOKUP(
     IF(
      OR(
       IFERROR(REGEXEXTRACT($M54,""^[^｜"&amp;"]+""),"""")="""",
       IFERROR(REGEXEXTRACT($N54,""^[^｜]+""),"""")=""""
      ),
      """",
      IF(
       IFERROR(REGEXEXTRACT($M54,""^[^｜]+""),"""")&lt;IFERROR(REGEXEXTRACT($N54,""^[^｜]+""),""""),
       IFERROR(REGEXEXTRACT($M54,""^[^｜]+""),"""")&amp;""_"&amp;"""&amp;IFERROR(REGEXEXTRACT($N54,""^[^｜]+""),""""),
       IFERROR(REGEXEXTRACT($N54,""^[^｜]+""),"""")&amp;""_""&amp;IFERROR(REGEXEXTRACT($M54,""^[^｜]+""),"""")
      )
     ),
     sy_mst!$A:$A,
     sy_mst!$D:$D
    ),
    0
   )
  )
  *
  IFERROR(XLOOKUP(REGEXEXTR"&amp;"ACT($I54,""^[^｜]+""),ms_mst!$A:$A,ms_mst!$L:$L),1)
  *
  IF(
   $B54&gt;=IFERROR(XLOOKUP(REGEXEXTRACT($L54,""^[^｜]+""),sk_mst!$A:$A,sk_mst!$M:$M),999),
   IFERROR(XLOOKUP(REGEXEXTRACT($L54,""^[^｜]+""),sk_mst!$A:$A,sk_mst!$F:$F),1),
   1
  )
 )
)"),600.0)</f>
        <v>600</v>
      </c>
      <c r="P54" s="25">
        <f>IFERROR(__xludf.DUMMYFUNCTION("IF($A54="""","""",
 IF($F54=""market"",
  IFERROR(XLOOKUP(REGEXEXTRACT($J54,""^[^｜]+""),tr_mst!$A:$A,tr_mst!$E:$E),0)
  +IFERROR(XLOOKUP(REGEXEXTRACT($K54,""^[^｜]+""),tc_mst!$A:$A,tc_mst!$E:$E),0),
  IF($B54=0,
   IFERROR(XLOOKUP(REGEXEXTRACT($I54,""^[^｜]"&amp;"+""),ms_mst!$A:$A,ms_mst!$E:$E),0),
   IFERROR(XLOOKUP(""T""&amp;($B54-1)&amp;""_""&amp;$D54,$A:$A,$P:$P),0)
  )
  +IFERROR(XLOOKUP(REGEXEXTRACT($J54,""^[^｜]+""),tr_mst!$A:$A,tr_mst!$E:$E),0)
  +IFERROR(XLOOKUP(REGEXEXTRACT($K54,""^[^｜]+""),tc_mst!$A:$A,tc_mst!$E:$E)"&amp;",0)
  +
  (
   IFERROR(XLOOKUP(REGEXEXTRACT($M54,""^[^｜]+""),ac_mst!$A:$A,ac_mst!$H:$H),0)
   +IFERROR(XLOOKUP(REGEXEXTRACT($N54,""^[^｜]+""),ac_mst!$A:$A,ac_mst!$H:$H),0)
   +IFERROR(
    XLOOKUP(
     IF(
      OR(
       IFERROR(REGEXEXTRACT($M54,""^[^｜"&amp;"]+""),"""")="""",
       IFERROR(REGEXEXTRACT($N54,""^[^｜]+""),"""")=""""
      ),
      """",
      IF(
       IFERROR(REGEXEXTRACT($M54,""^[^｜]+""),"""")&lt;IFERROR(REGEXEXTRACT($N54,""^[^｜]+""),""""),
       IFERROR(REGEXEXTRACT($M54,""^[^｜]+""),"""")&amp;""_"&amp;"""&amp;IFERROR(REGEXEXTRACT($N54,""^[^｜]+""),""""),
       IFERROR(REGEXEXTRACT($N54,""^[^｜]+""),"""")&amp;""_""&amp;IFERROR(REGEXEXTRACT($M54,""^[^｜]+""),"""")
      )
     ),
     sy_mst!$A:$A,
     sy_mst!$E:$E
    ),
    0
   )
  )
  *
  IFERROR(XLOOKUP(REGEXEXTR"&amp;"ACT($I54,""^[^｜]+""),ms_mst!$A:$A,ms_mst!$M:$M),1)
  *
  IF(
   $B54&gt;=IFERROR(XLOOKUP(REGEXEXTRACT($L54,""^[^｜]+""),sk_mst!$A:$A,sk_mst!$M:$M),999),
   IFERROR(XLOOKUP(REGEXEXTRACT($L54,""^[^｜]+""),sk_mst!$A:$A,sk_mst!$G:$G),1),
   1
  )
 )
)"),170.0)</f>
        <v>170</v>
      </c>
      <c r="Q54" s="25">
        <f>IFERROR(__xludf.DUMMYFUNCTION("IF($A54="""","""",
 IF($F54=""market"",
  IFERROR(XLOOKUP(REGEXEXTRACT($J54,""^[^｜]+""),tr_mst!$A:$A,tr_mst!$F:$F),0)
  +IFERROR(XLOOKUP(REGEXEXTRACT($K54,""^[^｜]+""),tc_mst!$A:$A,tc_mst!$F:$F),0),
  IF($B54=0,
   IFERROR(XLOOKUP(REGEXEXTRACT($I54,""^[^｜]"&amp;"+""),ms_mst!$A:$A,ms_mst!$F:$F),0),
   IFERROR(XLOOKUP(""T""&amp;($B54-1)&amp;""_""&amp;$D54,$A:$A,$Q:$Q),0)
  )
  +IFERROR(XLOOKUP(REGEXEXTRACT($J54,""^[^｜]+""),tr_mst!$A:$A,tr_mst!$F:$F),0)
  +IFERROR(XLOOKUP(REGEXEXTRACT($K54,""^[^｜]+""),tc_mst!$A:$A,tc_mst!$F:$F)"&amp;",0)
  +
  (
   IFERROR(XLOOKUP(REGEXEXTRACT($M54,""^[^｜]+""),ac_mst!$A:$A,ac_mst!$I:$I),0)
   +IFERROR(XLOOKUP(REGEXEXTRACT($N54,""^[^｜]+""),ac_mst!$A:$A,ac_mst!$I:$I),0)
   +IFERROR(
    XLOOKUP(
     IF(
      OR(
       IFERROR(REGEXEXTRACT($M54,""^[^｜"&amp;"]+""),"""")="""",
       IFERROR(REGEXEXTRACT($N54,""^[^｜]+""),"""")=""""
      ),
      """",
      IF(
       IFERROR(REGEXEXTRACT($M54,""^[^｜]+""),"""")&lt;IFERROR(REGEXEXTRACT($N54,""^[^｜]+""),""""),
       IFERROR(REGEXEXTRACT($M54,""^[^｜]+""),"""")&amp;""_"&amp;"""&amp;IFERROR(REGEXEXTRACT($N54,""^[^｜]+""),""""),
       IFERROR(REGEXEXTRACT($N54,""^[^｜]+""),"""")&amp;""_""&amp;IFERROR(REGEXEXTRACT($M54,""^[^｜]+""),"""")
      )
     ),
     sy_mst!$A:$A,
     sy_mst!$F:$F
    ),
    0
   )
  )
  *
  IFERROR(XLOOKUP(REGEXEXTR"&amp;"ACT($I54,""^[^｜]+""),ms_mst!$A:$A,ms_mst!$N:$N),1)
  *
  IF(
   $B54&gt;=IFERROR(XLOOKUP(REGEXEXTRACT($L54,""^[^｜]+""),sk_mst!$A:$A,sk_mst!$M:$M),999),
   IFERROR(XLOOKUP(REGEXEXTRACT($L54,""^[^｜]+""),sk_mst!$A:$A,sk_mst!$H:$H),1),
   1
  )
 )
)"),0.02)</f>
        <v>0.02</v>
      </c>
      <c r="R54" s="25">
        <f>IFERROR(__xludf.DUMMYFUNCTION("IF($A54="""","""",
 IF($F54=""market"",
  IFERROR(XLOOKUP(REGEXEXTRACT($J54,""^[^｜]+""),tr_mst!$A:$A,tr_mst!$G:$G),0)
  +IFERROR(XLOOKUP(REGEXEXTRACT($K54,""^[^｜]+""),tc_mst!$A:$A,tc_mst!$G:$G),0),
  IF($B54=0,
   IFERROR(XLOOKUP(REGEXEXTRACT($I54,""^[^｜]"&amp;"+""),ms_mst!$A:$A,ms_mst!$G:$G),0),
   IFERROR(XLOOKUP(""T""&amp;($B54-1)&amp;""_""&amp;$D54,$A:$A,$R:$R),0)
  )
  +IFERROR(XLOOKUP(REGEXEXTRACT($J54,""^[^｜]+""),tr_mst!$A:$A,tr_mst!$G:$G),0)
  +IFERROR(XLOOKUP(REGEXEXTRACT($K54,""^[^｜]+""),tc_mst!$A:$A,tc_mst!$G:$G)"&amp;",0)
  +
  (
   IFERROR(XLOOKUP(REGEXEXTRACT($M54,""^[^｜]+""),ac_mst!$A:$A,ac_mst!$J:$J),0)
   +IFERROR(XLOOKUP(REGEXEXTRACT($N54,""^[^｜]+""),ac_mst!$A:$A,ac_mst!$J:$J),0)
   +IFERROR(
    XLOOKUP(
     IF(
      OR(
       IFERROR(REGEXEXTRACT($M54,""^[^｜"&amp;"]+""),"""")="""",
       IFERROR(REGEXEXTRACT($N54,""^[^｜]+""),"""")=""""
      ),
      """",
      IF(
       IFERROR(REGEXEXTRACT($M54,""^[^｜]+""),"""")&lt;IFERROR(REGEXEXTRACT($N54,""^[^｜]+""),""""),
       IFERROR(REGEXEXTRACT($M54,""^[^｜]+""),"""")&amp;""_"&amp;"""&amp;IFERROR(REGEXEXTRACT($N54,""^[^｜]+""),""""),
       IFERROR(REGEXEXTRACT($N54,""^[^｜]+""),"""")&amp;""_""&amp;IFERROR(REGEXEXTRACT($M54,""^[^｜]+""),"""")
      )
     ),
     sy_mst!$A:$A,
     sy_mst!$G:$G
    ),
    0
   )
  )
  *
  IFERROR(XLOOKUP(REGEXEXTR"&amp;"ACT($I54,""^[^｜]+""),ms_mst!$A:$A,ms_mst!$O:$O),1)
  *
  IF(
   $B54&gt;=IFERROR(XLOOKUP(REGEXEXTRACT($L54,""^[^｜]+""),sk_mst!$A:$A,sk_mst!$M:$M),999),
   IFERROR(XLOOKUP(REGEXEXTRACT($L54,""^[^｜]+""),sk_mst!$A:$A,sk_mst!$I:$I),1),
   1
  )
 )
)"),0.0)</f>
        <v>0</v>
      </c>
      <c r="S54" s="25">
        <f>IFERROR(__xludf.DUMMYFUNCTION("IF($A54="""","""",
 IF($F54=""market"",
  IFERROR(XLOOKUP(REGEXEXTRACT($J54,""^[^｜]+""),tr_mst!$A:$A,tr_mst!$H:$H),0)
  +IFERROR(XLOOKUP(REGEXEXTRACT($K54,""^[^｜]+""),tc_mst!$A:$A,tc_mst!$H:$H),0),
  IF($B54=0,
   IFERROR(XLOOKUP(REGEXEXTRACT($I54,""^[^｜]"&amp;"+""),ms_mst!$A:$A,ms_mst!$H:$H),0),
   IFERROR(XLOOKUP(""T""&amp;($B54-1)&amp;""_""&amp;$D54,$A:$A,$S:$S),0)
  )
  +IFERROR(XLOOKUP(REGEXEXTRACT($J54,""^[^｜]+""),tr_mst!$A:$A,tr_mst!$H:$H),0)
  +IFERROR(XLOOKUP(REGEXEXTRACT($K54,""^[^｜]+""),tc_mst!$A:$A,tc_mst!$H:$H)"&amp;",0)
  +
  (
   IFERROR(XLOOKUP(REGEXEXTRACT($M54,""^[^｜]+""),ac_mst!$A:$A,ac_mst!$K:$K),0)
   +IFERROR(XLOOKUP(REGEXEXTRACT($N54,""^[^｜]+""),ac_mst!$A:$A,ac_mst!$K:$K),0)
   +IFERROR(
    XLOOKUP(
     IF(
      OR(
       IFERROR(REGEXEXTRACT($M54,""^[^｜"&amp;"]+""),"""")="""",
       IFERROR(REGEXEXTRACT($N54,""^[^｜]+""),"""")=""""
      ),
      """",
      IF(
       IFERROR(REGEXEXTRACT($M54,""^[^｜]+""),"""")&lt;IFERROR(REGEXEXTRACT($N54,""^[^｜]+""),""""),
       IFERROR(REGEXEXTRACT($M54,""^[^｜]+""),"""")&amp;""_"&amp;"""&amp;IFERROR(REGEXEXTRACT($N54,""^[^｜]+""),""""),
       IFERROR(REGEXEXTRACT($N54,""^[^｜]+""),"""")&amp;""_""&amp;IFERROR(REGEXEXTRACT($M54,""^[^｜]+""),"""")
      )
     ),
     sy_mst!$A:$A,
     sy_mst!$H:$H
    ),
    0
   )
  )
  *
  IFERROR(XLOOKUP(REGEXEXTR"&amp;"ACT($I54,""^[^｜]+""),ms_mst!$A:$A,ms_mst!$P:$P),1)
  *
  IF(
   $B54&gt;=IFERROR(XLOOKUP(REGEXEXTRACT($L54,""^[^｜]+""),sk_mst!$A:$A,sk_mst!$M:$M),999),
   IFERROR(XLOOKUP(REGEXEXTRACT($L54,""^[^｜]+""),sk_mst!$A:$A,sk_mst!$J:$J),1),
   1
  )
 )
)"),0.0)</f>
        <v>0</v>
      </c>
      <c r="T54" s="25">
        <f>IFERROR(__xludf.DUMMYFUNCTION("IF($A54="""","""",
 IF($F54=""market"",
  IFERROR(XLOOKUP(REGEXEXTRACT($J54,""^[^｜]+""),tr_mst!$A:$A,tr_mst!$I:$I),0)
  +IFERROR(XLOOKUP(REGEXEXTRACT($K54,""^[^｜]+""),tc_mst!$A:$A,tc_mst!$I:$I),0),
  IF($B54=0,
   IFERROR(XLOOKUP(REGEXEXTRACT($I54,""^[^｜]"&amp;"+""),ms_mst!$A:$A,ms_mst!$I:$I),0),
   IFERROR(XLOOKUP(""T""&amp;($B54-1)&amp;""_""&amp;$D54,$A:$A,$T:$T),0)
  )
  +IFERROR(XLOOKUP(REGEXEXTRACT($J54,""^[^｜]+""),tr_mst!$A:$A,tr_mst!$I:$I),0)
  +IFERROR(XLOOKUP(REGEXEXTRACT($K54,""^[^｜]+""),tc_mst!$A:$A,tc_mst!$I:$I)"&amp;",0)
  +
  (
   IFERROR(XLOOKUP(REGEXEXTRACT($M54,""^[^｜]+""),ac_mst!$A:$A,ac_mst!$L:$L),0)
   +IFERROR(XLOOKUP(REGEXEXTRACT($N54,""^[^｜]+""),ac_mst!$A:$A,ac_mst!$L:$L),0)
   +IFERROR(
    XLOOKUP(
     IF(
      OR(
       IFERROR(REGEXEXTRACT($M54,""^[^｜"&amp;"]+""),"""")="""",
       IFERROR(REGEXEXTRACT($N54,""^[^｜]+""),"""")=""""
      ),
      """",
      IF(
       IFERROR(REGEXEXTRACT($M54,""^[^｜]+""),"""")&lt;IFERROR(REGEXEXTRACT($N54,""^[^｜]+""),""""),
       IFERROR(REGEXEXTRACT($M54,""^[^｜]+""),"""")&amp;""_"&amp;"""&amp;IFERROR(REGEXEXTRACT($N54,""^[^｜]+""),""""),
       IFERROR(REGEXEXTRACT($N54,""^[^｜]+""),"""")&amp;""_""&amp;IFERROR(REGEXEXTRACT($M54,""^[^｜]+""),"""")
      )
     ),
     sy_mst!$A:$A,
     sy_mst!$I:$I
    ),
    0
   )
  )
  *
  IFERROR(XLOOKUP(REGEXEXTR"&amp;"ACT($I54,""^[^｜]+""),ms_mst!$A:$A,ms_mst!$Q:$Q),1)
  *
  IF(
   $B54&gt;=IFERROR(XLOOKUP(REGEXEXTRACT($L54,""^[^｜]+""),sk_mst!$A:$A,sk_mst!$M:$M),999),
   IFERROR(XLOOKUP(REGEXEXTRACT($L54,""^[^｜]+""),sk_mst!$A:$A,sk_mst!$K:$K),1),
   1
  )
 )
)"),200.0)</f>
        <v>200</v>
      </c>
      <c r="U54" s="25">
        <f>IFERROR(__xludf.DUMMYFUNCTION("IF($A54="""","""",
 IF($F54=""market"",
  IFERROR(XLOOKUP(REGEXEXTRACT($J54,""^[^｜]+""),tr_mst!$A:$A,tr_mst!$J:$J),0)
  +IFERROR(XLOOKUP(REGEXEXTRACT($K54,""^[^｜]+""),tc_mst!$A:$A,tc_mst!$J:$J),0),
  IF($B54=0,
   IFERROR(XLOOKUP(REGEXEXTRACT($I54,""^[^｜]"&amp;"+""),ms_mst!$A:$A,ms_mst!$J:$J),0),
   IFERROR(XLOOKUP(""T""&amp;($B54-1)&amp;""_""&amp;$D54,$A:$A,$U:$U),0)
  )
  +IFERROR(XLOOKUP(REGEXEXTRACT($J54,""^[^｜]+""),tr_mst!$A:$A,tr_mst!$J:$J),0)
  +IFERROR(XLOOKUP(REGEXEXTRACT($K54,""^[^｜]+""),tc_mst!$A:$A,tc_mst!$J:$J)"&amp;",0)
  +
  (
   IFERROR(XLOOKUP(REGEXEXTRACT($M54,""^[^｜]+""),ac_mst!$A:$A,ac_mst!$M:$M),0)
   +IFERROR(XLOOKUP(REGEXEXTRACT($N54,""^[^｜]+""),ac_mst!$A:$A,ac_mst!$M:$M),0)
   +IFERROR(
    XLOOKUP(
     IF(
      OR(
       IFERROR(REGEXEXTRACT($M54,""^[^｜"&amp;"]+""),"""")="""",
       IFERROR(REGEXEXTRACT($N54,""^[^｜]+""),"""")=""""
      ),
      """",
      IF(
       IFERROR(REGEXEXTRACT($M54,""^[^｜]+""),"""")&lt;IFERROR(REGEXEXTRACT($N54,""^[^｜]+""),""""),
       IFERROR(REGEXEXTRACT($M54,""^[^｜]+""),"""")&amp;""_"&amp;"""&amp;IFERROR(REGEXEXTRACT($N54,""^[^｜]+""),""""),
       IFERROR(REGEXEXTRACT($N54,""^[^｜]+""),"""")&amp;""_""&amp;IFERROR(REGEXEXTRACT($M54,""^[^｜]+""),"""")
      )
     ),
     sy_mst!$A:$A,
     sy_mst!$J:$J
    ),
    0
   )
  )
  *
  IFERROR(XLOOKUP(REGEXEXTR"&amp;"ACT($I54,""^[^｜]+""),ms_mst!$A:$A,ms_mst!$R:$R),1)
  *
  IF(
   $B54&gt;=IFERROR(XLOOKUP(REGEXEXTRACT($L54,""^[^｜]+""),sk_mst!$A:$A,sk_mst!$M:$M),999),
   IFERROR(XLOOKUP(REGEXEXTRACT($L54,""^[^｜]+""),sk_mst!$A:$A,sk_mst!$L:$L),1),
   1
  )
 )
)"),0.0)</f>
        <v>0</v>
      </c>
      <c r="V54" s="25" t="str">
        <f t="shared" si="1"/>
        <v/>
      </c>
      <c r="W54" s="25" t="str">
        <f t="shared" si="2"/>
        <v/>
      </c>
      <c r="X54" s="25" t="str">
        <f t="shared" si="3"/>
        <v/>
      </c>
      <c r="Y54" s="25" t="str">
        <f t="shared" si="4"/>
        <v/>
      </c>
      <c r="Z54" s="25" t="str">
        <f>IFERROR(__xludf.DUMMYFUNCTION("IF($A54="""","""",
 IF($F54&lt;&gt;""player"","""",
  IFERROR(
   RANK(
    $X54,
    FILTER($X:$X,$B:$B=$B54,$F:$F=""player"",$X:$X&lt;&gt;""""),
    0
   ),
   """"
  )
 )
)"),"")</f>
        <v/>
      </c>
      <c r="AA54" s="25" t="str">
        <f t="shared" si="5"/>
        <v/>
      </c>
      <c r="AB54" s="26" t="str">
        <f t="shared" si="6"/>
        <v/>
      </c>
    </row>
    <row r="55">
      <c r="A55" s="25" t="s">
        <v>228</v>
      </c>
      <c r="B55" s="14">
        <v>4.0</v>
      </c>
      <c r="C55" s="14" t="s">
        <v>151</v>
      </c>
      <c r="D55" s="14" t="s">
        <v>152</v>
      </c>
      <c r="E55" s="25" t="s">
        <v>153</v>
      </c>
      <c r="F55" s="25" t="s">
        <v>154</v>
      </c>
      <c r="I55" s="25" t="str">
        <f>IFERROR(__xludf.DUMMYFUNCTION("IF($F55&lt;&gt;""player"","""",IFERROR(INDEX(FILTER(group_setup!$D$2:$D947,group_setup!$B$2:$B947=$C55,group_setup!$G$2:$G947=TRUE,group_setup!$H$2:$H947=""completed""),1),""""))"),"M03")</f>
        <v>M03</v>
      </c>
      <c r="J55" s="25" t="str">
        <f>IFERROR(__xludf.DUMMYFUNCTION("IFERROR(FILTER(market_event_log!$D$2:$D947,market_event_log!$C$2:$C947=$B55,market_event_log!$N$2:$N947=""active""),"""")"),"T03")</f>
        <v>T03</v>
      </c>
      <c r="K55" s="25" t="str">
        <f>IFERROR(__xludf.DUMMYFUNCTION("IFERROR(FILTER(market_event_log!$G$2:$G947,market_event_log!$C$2:$C947=$B55,market_event_log!$N$2:$N947=""active""),"""")"),"C04")</f>
        <v>C04</v>
      </c>
      <c r="L55" s="25" t="str">
        <f>IFERROR(__xludf.DUMMYFUNCTION("IF($F55&lt;&gt;""player"","""",IFERROR(INDEX(FILTER(group_setup!$E$2:$E947,group_setup!$B$2:$B947=$C55,group_setup!$G$2:$G947=TRUE,group_setup!$H$2:$H947=""completed""),1),""""))"),"S02")</f>
        <v>S02</v>
      </c>
      <c r="M55" s="25" t="str">
        <f>IFERROR(__xludf.DUMMYFUNCTION("IF($F55=""market"","""",IF($E55=""HUMAN"",IFERROR(FILTER(turn_log!$G$2:$G947,turn_log!$C$2:$C947=$B55,turn_log!$D$2:$D947=$C55,turn_log!$F$2:$F947=$E55),""""),IFERROR(FILTER(turn_log!$I$2:$I947,turn_log!$C$2:$C947=$B55,turn_log!$D$2:$D947=$C55,turn_log!$F"&amp;"$2:$F947=$E55),"""")))"),"A09")</f>
        <v>A09</v>
      </c>
      <c r="N55" s="25" t="str">
        <f>IFERROR(__xludf.DUMMYFUNCTION("IF($F55=""market"","""",IF($E55=""HUMAN"",IFERROR(FILTER(turn_log!$H$2:$H947,turn_log!$C$2:$C947=$B55,turn_log!$D$2:$D947=$C55,turn_log!$F$2:$F947=$E55),""""),IFERROR(FILTER(turn_log!$J$2:$J947,turn_log!$C$2:$C947=$B55,turn_log!$D$2:$D947=$C55,turn_log!$F"&amp;"$2:$F947=$E55),"""")))"),"A19")</f>
        <v>A19</v>
      </c>
      <c r="O55" s="25">
        <f>IFERROR(__xludf.DUMMYFUNCTION("IF($A55="""","""",
 IF($F55=""market"",
  IFERROR(XLOOKUP(REGEXEXTRACT($J55,""^[^｜]+""),tr_mst!$A:$A,tr_mst!$D:$D),0)
  +IFERROR(XLOOKUP(REGEXEXTRACT($K55,""^[^｜]+""),tc_mst!$A:$A,tc_mst!$D:$D),0),
  IF($B55=0,
   IFERROR(XLOOKUP(REGEXEXTRACT($I55,""^[^｜]"&amp;"+""),ms_mst!$A:$A,ms_mst!$D:$D),0),
   IFERROR(XLOOKUP(""T""&amp;($B55-1)&amp;""_""&amp;$D55,$A:$A,$O:$O),0)
  )
  +IFERROR(XLOOKUP(REGEXEXTRACT($J55,""^[^｜]+""),tr_mst!$A:$A,tr_mst!$D:$D),0)
  +IFERROR(XLOOKUP(REGEXEXTRACT($K55,""^[^｜]+""),tc_mst!$A:$A,tc_mst!$D:$D)"&amp;",0)
  +
  (
   IFERROR(XLOOKUP(REGEXEXTRACT($M55,""^[^｜]+""),ac_mst!$A:$A,ac_mst!$G:$G),0)
   +IFERROR(XLOOKUP(REGEXEXTRACT($N55,""^[^｜]+""),ac_mst!$A:$A,ac_mst!$G:$G),0)
   +IFERROR(
    XLOOKUP(
     IF(
      OR(
       IFERROR(REGEXEXTRACT($M55,""^[^｜"&amp;"]+""),"""")="""",
       IFERROR(REGEXEXTRACT($N55,""^[^｜]+""),"""")=""""
      ),
      """",
      IF(
       IFERROR(REGEXEXTRACT($M55,""^[^｜]+""),"""")&lt;IFERROR(REGEXEXTRACT($N55,""^[^｜]+""),""""),
       IFERROR(REGEXEXTRACT($M55,""^[^｜]+""),"""")&amp;""_"&amp;"""&amp;IFERROR(REGEXEXTRACT($N55,""^[^｜]+""),""""),
       IFERROR(REGEXEXTRACT($N55,""^[^｜]+""),"""")&amp;""_""&amp;IFERROR(REGEXEXTRACT($M55,""^[^｜]+""),"""")
      )
     ),
     sy_mst!$A:$A,
     sy_mst!$D:$D
    ),
    0
   )
  )
  *
  IFERROR(XLOOKUP(REGEXEXTR"&amp;"ACT($I55,""^[^｜]+""),ms_mst!$A:$A,ms_mst!$L:$L),1)
  *
  IF(
   $B55&gt;=IFERROR(XLOOKUP(REGEXEXTRACT($L55,""^[^｜]+""),sk_mst!$A:$A,sk_mst!$M:$M),999),
   IFERROR(XLOOKUP(REGEXEXTRACT($L55,""^[^｜]+""),sk_mst!$A:$A,sk_mst!$F:$F),1),
   1
  )
 )
)"),13675.0)</f>
        <v>13675</v>
      </c>
      <c r="P55" s="25">
        <f>IFERROR(__xludf.DUMMYFUNCTION("IF($A55="""","""",
 IF($F55=""market"",
  IFERROR(XLOOKUP(REGEXEXTRACT($J55,""^[^｜]+""),tr_mst!$A:$A,tr_mst!$E:$E),0)
  +IFERROR(XLOOKUP(REGEXEXTRACT($K55,""^[^｜]+""),tc_mst!$A:$A,tc_mst!$E:$E),0),
  IF($B55=0,
   IFERROR(XLOOKUP(REGEXEXTRACT($I55,""^[^｜]"&amp;"+""),ms_mst!$A:$A,ms_mst!$E:$E),0),
   IFERROR(XLOOKUP(""T""&amp;($B55-1)&amp;""_""&amp;$D55,$A:$A,$P:$P),0)
  )
  +IFERROR(XLOOKUP(REGEXEXTRACT($J55,""^[^｜]+""),tr_mst!$A:$A,tr_mst!$E:$E),0)
  +IFERROR(XLOOKUP(REGEXEXTRACT($K55,""^[^｜]+""),tc_mst!$A:$A,tc_mst!$E:$E)"&amp;",0)
  +
  (
   IFERROR(XLOOKUP(REGEXEXTRACT($M55,""^[^｜]+""),ac_mst!$A:$A,ac_mst!$H:$H),0)
   +IFERROR(XLOOKUP(REGEXEXTRACT($N55,""^[^｜]+""),ac_mst!$A:$A,ac_mst!$H:$H),0)
   +IFERROR(
    XLOOKUP(
     IF(
      OR(
       IFERROR(REGEXEXTRACT($M55,""^[^｜"&amp;"]+""),"""")="""",
       IFERROR(REGEXEXTRACT($N55,""^[^｜]+""),"""")=""""
      ),
      """",
      IF(
       IFERROR(REGEXEXTRACT($M55,""^[^｜]+""),"""")&lt;IFERROR(REGEXEXTRACT($N55,""^[^｜]+""),""""),
       IFERROR(REGEXEXTRACT($M55,""^[^｜]+""),"""")&amp;""_"&amp;"""&amp;IFERROR(REGEXEXTRACT($N55,""^[^｜]+""),""""),
       IFERROR(REGEXEXTRACT($N55,""^[^｜]+""),"""")&amp;""_""&amp;IFERROR(REGEXEXTRACT($M55,""^[^｜]+""),"""")
      )
     ),
     sy_mst!$A:$A,
     sy_mst!$E:$E
    ),
    0
   )
  )
  *
  IFERROR(XLOOKUP(REGEXEXTR"&amp;"ACT($I55,""^[^｜]+""),ms_mst!$A:$A,ms_mst!$M:$M),1)
  *
  IF(
   $B55&gt;=IFERROR(XLOOKUP(REGEXEXTRACT($L55,""^[^｜]+""),sk_mst!$A:$A,sk_mst!$M:$M),999),
   IFERROR(XLOOKUP(REGEXEXTRACT($L55,""^[^｜]+""),sk_mst!$A:$A,sk_mst!$G:$G),1),
   1
  )
 )
)"),2380.0)</f>
        <v>2380</v>
      </c>
      <c r="Q55" s="25">
        <f>IFERROR(__xludf.DUMMYFUNCTION("IF($A55="""","""",
 IF($F55=""market"",
  IFERROR(XLOOKUP(REGEXEXTRACT($J55,""^[^｜]+""),tr_mst!$A:$A,tr_mst!$F:$F),0)
  +IFERROR(XLOOKUP(REGEXEXTRACT($K55,""^[^｜]+""),tc_mst!$A:$A,tc_mst!$F:$F),0),
  IF($B55=0,
   IFERROR(XLOOKUP(REGEXEXTRACT($I55,""^[^｜]"&amp;"+""),ms_mst!$A:$A,ms_mst!$F:$F),0),
   IFERROR(XLOOKUP(""T""&amp;($B55-1)&amp;""_""&amp;$D55,$A:$A,$Q:$Q),0)
  )
  +IFERROR(XLOOKUP(REGEXEXTRACT($J55,""^[^｜]+""),tr_mst!$A:$A,tr_mst!$F:$F),0)
  +IFERROR(XLOOKUP(REGEXEXTRACT($K55,""^[^｜]+""),tc_mst!$A:$A,tc_mst!$F:$F)"&amp;",0)
  +
  (
   IFERROR(XLOOKUP(REGEXEXTRACT($M55,""^[^｜]+""),ac_mst!$A:$A,ac_mst!$I:$I),0)
   +IFERROR(XLOOKUP(REGEXEXTRACT($N55,""^[^｜]+""),ac_mst!$A:$A,ac_mst!$I:$I),0)
   +IFERROR(
    XLOOKUP(
     IF(
      OR(
       IFERROR(REGEXEXTRACT($M55,""^[^｜"&amp;"]+""),"""")="""",
       IFERROR(REGEXEXTRACT($N55,""^[^｜]+""),"""")=""""
      ),
      """",
      IF(
       IFERROR(REGEXEXTRACT($M55,""^[^｜]+""),"""")&lt;IFERROR(REGEXEXTRACT($N55,""^[^｜]+""),""""),
       IFERROR(REGEXEXTRACT($M55,""^[^｜]+""),"""")&amp;""_"&amp;"""&amp;IFERROR(REGEXEXTRACT($N55,""^[^｜]+""),""""),
       IFERROR(REGEXEXTRACT($N55,""^[^｜]+""),"""")&amp;""_""&amp;IFERROR(REGEXEXTRACT($M55,""^[^｜]+""),"""")
      )
     ),
     sy_mst!$A:$A,
     sy_mst!$F:$F
    ),
    0
   )
  )
  *
  IFERROR(XLOOKUP(REGEXEXTR"&amp;"ACT($I55,""^[^｜]+""),ms_mst!$A:$A,ms_mst!$N:$N),1)
  *
  IF(
   $B55&gt;=IFERROR(XLOOKUP(REGEXEXTRACT($L55,""^[^｜]+""),sk_mst!$A:$A,sk_mst!$M:$M),999),
   IFERROR(XLOOKUP(REGEXEXTRACT($L55,""^[^｜]+""),sk_mst!$A:$A,sk_mst!$H:$H),1),
   1
  )
 )
)"),0.47000000000000003)</f>
        <v>0.47</v>
      </c>
      <c r="R55" s="25">
        <f>IFERROR(__xludf.DUMMYFUNCTION("IF($A55="""","""",
 IF($F55=""market"",
  IFERROR(XLOOKUP(REGEXEXTRACT($J55,""^[^｜]+""),tr_mst!$A:$A,tr_mst!$G:$G),0)
  +IFERROR(XLOOKUP(REGEXEXTRACT($K55,""^[^｜]+""),tc_mst!$A:$A,tc_mst!$G:$G),0),
  IF($B55=0,
   IFERROR(XLOOKUP(REGEXEXTRACT($I55,""^[^｜]"&amp;"+""),ms_mst!$A:$A,ms_mst!$G:$G),0),
   IFERROR(XLOOKUP(""T""&amp;($B55-1)&amp;""_""&amp;$D55,$A:$A,$R:$R),0)
  )
  +IFERROR(XLOOKUP(REGEXEXTRACT($J55,""^[^｜]+""),tr_mst!$A:$A,tr_mst!$G:$G),0)
  +IFERROR(XLOOKUP(REGEXEXTRACT($K55,""^[^｜]+""),tc_mst!$A:$A,tc_mst!$G:$G)"&amp;",0)
  +
  (
   IFERROR(XLOOKUP(REGEXEXTRACT($M55,""^[^｜]+""),ac_mst!$A:$A,ac_mst!$J:$J),0)
   +IFERROR(XLOOKUP(REGEXEXTRACT($N55,""^[^｜]+""),ac_mst!$A:$A,ac_mst!$J:$J),0)
   +IFERROR(
    XLOOKUP(
     IF(
      OR(
       IFERROR(REGEXEXTRACT($M55,""^[^｜"&amp;"]+""),"""")="""",
       IFERROR(REGEXEXTRACT($N55,""^[^｜]+""),"""")=""""
      ),
      """",
      IF(
       IFERROR(REGEXEXTRACT($M55,""^[^｜]+""),"""")&lt;IFERROR(REGEXEXTRACT($N55,""^[^｜]+""),""""),
       IFERROR(REGEXEXTRACT($M55,""^[^｜]+""),"""")&amp;""_"&amp;"""&amp;IFERROR(REGEXEXTRACT($N55,""^[^｜]+""),""""),
       IFERROR(REGEXEXTRACT($N55,""^[^｜]+""),"""")&amp;""_""&amp;IFERROR(REGEXEXTRACT($M55,""^[^｜]+""),"""")
      )
     ),
     sy_mst!$A:$A,
     sy_mst!$G:$G
    ),
    0
   )
  )
  *
  IFERROR(XLOOKUP(REGEXEXTR"&amp;"ACT($I55,""^[^｜]+""),ms_mst!$A:$A,ms_mst!$O:$O),1)
  *
  IF(
   $B55&gt;=IFERROR(XLOOKUP(REGEXEXTRACT($L55,""^[^｜]+""),sk_mst!$A:$A,sk_mst!$M:$M),999),
   IFERROR(XLOOKUP(REGEXEXTRACT($L55,""^[^｜]+""),sk_mst!$A:$A,sk_mst!$I:$I),1),
   1
  )
 )
)"),1.8835)</f>
        <v>1.8835</v>
      </c>
      <c r="S55" s="25">
        <f>IFERROR(__xludf.DUMMYFUNCTION("IF($A55="""","""",
 IF($F55=""market"",
  IFERROR(XLOOKUP(REGEXEXTRACT($J55,""^[^｜]+""),tr_mst!$A:$A,tr_mst!$H:$H),0)
  +IFERROR(XLOOKUP(REGEXEXTRACT($K55,""^[^｜]+""),tc_mst!$A:$A,tc_mst!$H:$H),0),
  IF($B55=0,
   IFERROR(XLOOKUP(REGEXEXTRACT($I55,""^[^｜]"&amp;"+""),ms_mst!$A:$A,ms_mst!$H:$H),0),
   IFERROR(XLOOKUP(""T""&amp;($B55-1)&amp;""_""&amp;$D55,$A:$A,$S:$S),0)
  )
  +IFERROR(XLOOKUP(REGEXEXTRACT($J55,""^[^｜]+""),tr_mst!$A:$A,tr_mst!$H:$H),0)
  +IFERROR(XLOOKUP(REGEXEXTRACT($K55,""^[^｜]+""),tc_mst!$A:$A,tc_mst!$H:$H)"&amp;",0)
  +
  (
   IFERROR(XLOOKUP(REGEXEXTRACT($M55,""^[^｜]+""),ac_mst!$A:$A,ac_mst!$K:$K),0)
   +IFERROR(XLOOKUP(REGEXEXTRACT($N55,""^[^｜]+""),ac_mst!$A:$A,ac_mst!$K:$K),0)
   +IFERROR(
    XLOOKUP(
     IF(
      OR(
       IFERROR(REGEXEXTRACT($M55,""^[^｜"&amp;"]+""),"""")="""",
       IFERROR(REGEXEXTRACT($N55,""^[^｜]+""),"""")=""""
      ),
      """",
      IF(
       IFERROR(REGEXEXTRACT($M55,""^[^｜]+""),"""")&lt;IFERROR(REGEXEXTRACT($N55,""^[^｜]+""),""""),
       IFERROR(REGEXEXTRACT($M55,""^[^｜]+""),"""")&amp;""_"&amp;"""&amp;IFERROR(REGEXEXTRACT($N55,""^[^｜]+""),""""),
       IFERROR(REGEXEXTRACT($N55,""^[^｜]+""),"""")&amp;""_""&amp;IFERROR(REGEXEXTRACT($M55,""^[^｜]+""),"""")
      )
     ),
     sy_mst!$A:$A,
     sy_mst!$H:$H
    ),
    0
   )
  )
  *
  IFERROR(XLOOKUP(REGEXEXTR"&amp;"ACT($I55,""^[^｜]+""),ms_mst!$A:$A,ms_mst!$P:$P),1)
  *
  IF(
   $B55&gt;=IFERROR(XLOOKUP(REGEXEXTRACT($L55,""^[^｜]+""),sk_mst!$A:$A,sk_mst!$M:$M),999),
   IFERROR(XLOOKUP(REGEXEXTRACT($L55,""^[^｜]+""),sk_mst!$A:$A,sk_mst!$J:$J),1),
   1
  )
 )
)"),0.01685)</f>
        <v>0.01685</v>
      </c>
      <c r="T55" s="25">
        <f>IFERROR(__xludf.DUMMYFUNCTION("IF($A55="""","""",
 IF($F55=""market"",
  IFERROR(XLOOKUP(REGEXEXTRACT($J55,""^[^｜]+""),tr_mst!$A:$A,tr_mst!$I:$I),0)
  +IFERROR(XLOOKUP(REGEXEXTRACT($K55,""^[^｜]+""),tc_mst!$A:$A,tc_mst!$I:$I),0),
  IF($B55=0,
   IFERROR(XLOOKUP(REGEXEXTRACT($I55,""^[^｜]"&amp;"+""),ms_mst!$A:$A,ms_mst!$I:$I),0),
   IFERROR(XLOOKUP(""T""&amp;($B55-1)&amp;""_""&amp;$D55,$A:$A,$T:$T),0)
  )
  +IFERROR(XLOOKUP(REGEXEXTRACT($J55,""^[^｜]+""),tr_mst!$A:$A,tr_mst!$I:$I),0)
  +IFERROR(XLOOKUP(REGEXEXTRACT($K55,""^[^｜]+""),tc_mst!$A:$A,tc_mst!$I:$I)"&amp;",0)
  +
  (
   IFERROR(XLOOKUP(REGEXEXTRACT($M55,""^[^｜]+""),ac_mst!$A:$A,ac_mst!$L:$L),0)
   +IFERROR(XLOOKUP(REGEXEXTRACT($N55,""^[^｜]+""),ac_mst!$A:$A,ac_mst!$L:$L),0)
   +IFERROR(
    XLOOKUP(
     IF(
      OR(
       IFERROR(REGEXEXTRACT($M55,""^[^｜"&amp;"]+""),"""")="""",
       IFERROR(REGEXEXTRACT($N55,""^[^｜]+""),"""")=""""
      ),
      """",
      IF(
       IFERROR(REGEXEXTRACT($M55,""^[^｜]+""),"""")&lt;IFERROR(REGEXEXTRACT($N55,""^[^｜]+""),""""),
       IFERROR(REGEXEXTRACT($M55,""^[^｜]+""),"""")&amp;""_"&amp;"""&amp;IFERROR(REGEXEXTRACT($N55,""^[^｜]+""),""""),
       IFERROR(REGEXEXTRACT($N55,""^[^｜]+""),"""")&amp;""_""&amp;IFERROR(REGEXEXTRACT($M55,""^[^｜]+""),"""")
      )
     ),
     sy_mst!$A:$A,
     sy_mst!$I:$I
    ),
    0
   )
  )
  *
  IFERROR(XLOOKUP(REGEXEXTR"&amp;"ACT($I55,""^[^｜]+""),ms_mst!$A:$A,ms_mst!$Q:$Q),1)
  *
  IF(
   $B55&gt;=IFERROR(XLOOKUP(REGEXEXTRACT($L55,""^[^｜]+""),sk_mst!$A:$A,sk_mst!$M:$M),999),
   IFERROR(XLOOKUP(REGEXEXTRACT($L55,""^[^｜]+""),sk_mst!$A:$A,sk_mst!$K:$K),1),
   1
  )
 )
)"),4900.0)</f>
        <v>4900</v>
      </c>
      <c r="U55" s="25">
        <f>IFERROR(__xludf.DUMMYFUNCTION("IF($A55="""","""",
 IF($F55=""market"",
  IFERROR(XLOOKUP(REGEXEXTRACT($J55,""^[^｜]+""),tr_mst!$A:$A,tr_mst!$J:$J),0)
  +IFERROR(XLOOKUP(REGEXEXTRACT($K55,""^[^｜]+""),tc_mst!$A:$A,tc_mst!$J:$J),0),
  IF($B55=0,
   IFERROR(XLOOKUP(REGEXEXTRACT($I55,""^[^｜]"&amp;"+""),ms_mst!$A:$A,ms_mst!$J:$J),0),
   IFERROR(XLOOKUP(""T""&amp;($B55-1)&amp;""_""&amp;$D55,$A:$A,$U:$U),0)
  )
  +IFERROR(XLOOKUP(REGEXEXTRACT($J55,""^[^｜]+""),tr_mst!$A:$A,tr_mst!$J:$J),0)
  +IFERROR(XLOOKUP(REGEXEXTRACT($K55,""^[^｜]+""),tc_mst!$A:$A,tc_mst!$J:$J)"&amp;",0)
  +
  (
   IFERROR(XLOOKUP(REGEXEXTRACT($M55,""^[^｜]+""),ac_mst!$A:$A,ac_mst!$M:$M),0)
   +IFERROR(XLOOKUP(REGEXEXTRACT($N55,""^[^｜]+""),ac_mst!$A:$A,ac_mst!$M:$M),0)
   +IFERROR(
    XLOOKUP(
     IF(
      OR(
       IFERROR(REGEXEXTRACT($M55,""^[^｜"&amp;"]+""),"""")="""",
       IFERROR(REGEXEXTRACT($N55,""^[^｜]+""),"""")=""""
      ),
      """",
      IF(
       IFERROR(REGEXEXTRACT($M55,""^[^｜]+""),"""")&lt;IFERROR(REGEXEXTRACT($N55,""^[^｜]+""),""""),
       IFERROR(REGEXEXTRACT($M55,""^[^｜]+""),"""")&amp;""_"&amp;"""&amp;IFERROR(REGEXEXTRACT($N55,""^[^｜]+""),""""),
       IFERROR(REGEXEXTRACT($N55,""^[^｜]+""),"""")&amp;""_""&amp;IFERROR(REGEXEXTRACT($M55,""^[^｜]+""),"""")
      )
     ),
     sy_mst!$A:$A,
     sy_mst!$J:$J
    ),
    0
   )
  )
  *
  IFERROR(XLOOKUP(REGEXEXTR"&amp;"ACT($I55,""^[^｜]+""),ms_mst!$A:$A,ms_mst!$R:$R),1)
  *
  IF(
   $B55&gt;=IFERROR(XLOOKUP(REGEXEXTRACT($L55,""^[^｜]+""),sk_mst!$A:$A,sk_mst!$M:$M),999),
   IFERROR(XLOOKUP(REGEXEXTRACT($L55,""^[^｜]+""),sk_mst!$A:$A,sk_mst!$L:$L),1),
   1
  )
 )
)"),45.0)</f>
        <v>45</v>
      </c>
      <c r="V55" s="25">
        <f t="shared" si="1"/>
        <v>1323268</v>
      </c>
      <c r="W55" s="25">
        <f t="shared" si="2"/>
        <v>107100</v>
      </c>
      <c r="X55" s="25">
        <f t="shared" si="3"/>
        <v>1216168</v>
      </c>
      <c r="Y55" s="25">
        <f t="shared" si="4"/>
        <v>12.36</v>
      </c>
      <c r="Z55" s="25">
        <f>IFERROR(__xludf.DUMMYFUNCTION("IF($A55="""","""",
 IF($F55&lt;&gt;""player"","""",
  IFERROR(
   RANK(
    $X55,
    FILTER($X:$X,$B:$B=$B55,$F:$F=""player"",$X:$X&lt;&gt;""""),
    0
   ),
   """"
  )
 )
)"),2.0)</f>
        <v>2</v>
      </c>
      <c r="AA55" s="25" t="str">
        <f t="shared" si="5"/>
        <v>2位</v>
      </c>
      <c r="AB55" s="26">
        <f t="shared" si="6"/>
        <v>2.726004902</v>
      </c>
    </row>
    <row r="56">
      <c r="A56" s="25" t="s">
        <v>229</v>
      </c>
      <c r="B56" s="14">
        <v>4.0</v>
      </c>
      <c r="C56" s="14" t="s">
        <v>156</v>
      </c>
      <c r="D56" s="14" t="s">
        <v>157</v>
      </c>
      <c r="E56" s="25" t="s">
        <v>153</v>
      </c>
      <c r="F56" s="25" t="s">
        <v>154</v>
      </c>
      <c r="I56" s="25" t="str">
        <f>IFERROR(__xludf.DUMMYFUNCTION("IF($F56&lt;&gt;""player"","""",IFERROR(INDEX(FILTER(group_setup!$D$2:$D947,group_setup!$B$2:$B947=$C56,group_setup!$G$2:$G947=TRUE,group_setup!$H$2:$H947=""completed""),1),""""))"),"M12")</f>
        <v>M12</v>
      </c>
      <c r="J56" s="25" t="str">
        <f>IFERROR(__xludf.DUMMYFUNCTION("IFERROR(FILTER(market_event_log!$D$2:$D947,market_event_log!$C$2:$C947=$B56,market_event_log!$N$2:$N947=""active""),"""")"),"T03")</f>
        <v>T03</v>
      </c>
      <c r="K56" s="25" t="str">
        <f>IFERROR(__xludf.DUMMYFUNCTION("IFERROR(FILTER(market_event_log!$G$2:$G947,market_event_log!$C$2:$C947=$B56,market_event_log!$N$2:$N947=""active""),"""")"),"C04")</f>
        <v>C04</v>
      </c>
      <c r="L56" s="25" t="str">
        <f>IFERROR(__xludf.DUMMYFUNCTION("IF($F56&lt;&gt;""player"","""",IFERROR(INDEX(FILTER(group_setup!$E$2:$E947,group_setup!$B$2:$B947=$C56,group_setup!$G$2:$G947=TRUE,group_setup!$H$2:$H947=""completed""),1),""""))"),"S02")</f>
        <v>S02</v>
      </c>
      <c r="M56" s="25" t="str">
        <f>IFERROR(__xludf.DUMMYFUNCTION("IF($F56=""market"","""",IF($E56=""HUMAN"",IFERROR(FILTER(turn_log!$G$2:$G947,turn_log!$C$2:$C947=$B56,turn_log!$D$2:$D947=$C56,turn_log!$F$2:$F947=$E56),""""),IFERROR(FILTER(turn_log!$I$2:$I947,turn_log!$C$2:$C947=$B56,turn_log!$D$2:$D947=$C56,turn_log!$F"&amp;"$2:$F947=$E56),"""")))"),"A10")</f>
        <v>A10</v>
      </c>
      <c r="N56" s="25" t="str">
        <f>IFERROR(__xludf.DUMMYFUNCTION("IF($F56=""market"","""",IF($E56=""HUMAN"",IFERROR(FILTER(turn_log!$H$2:$H947,turn_log!$C$2:$C947=$B56,turn_log!$D$2:$D947=$C56,turn_log!$F$2:$F947=$E56),""""),IFERROR(FILTER(turn_log!$J$2:$J947,turn_log!$C$2:$C947=$B56,turn_log!$D$2:$D947=$C56,turn_log!$F"&amp;"$2:$F947=$E56),"""")))"),"A12")</f>
        <v>A12</v>
      </c>
      <c r="O56" s="25">
        <f>IFERROR(__xludf.DUMMYFUNCTION("IF($A56="""","""",
 IF($F56=""market"",
  IFERROR(XLOOKUP(REGEXEXTRACT($J56,""^[^｜]+""),tr_mst!$A:$A,tr_mst!$D:$D),0)
  +IFERROR(XLOOKUP(REGEXEXTRACT($K56,""^[^｜]+""),tc_mst!$A:$A,tc_mst!$D:$D),0),
  IF($B56=0,
   IFERROR(XLOOKUP(REGEXEXTRACT($I56,""^[^｜]"&amp;"+""),ms_mst!$A:$A,ms_mst!$D:$D),0),
   IFERROR(XLOOKUP(""T""&amp;($B56-1)&amp;""_""&amp;$D56,$A:$A,$O:$O),0)
  )
  +IFERROR(XLOOKUP(REGEXEXTRACT($J56,""^[^｜]+""),tr_mst!$A:$A,tr_mst!$D:$D),0)
  +IFERROR(XLOOKUP(REGEXEXTRACT($K56,""^[^｜]+""),tc_mst!$A:$A,tc_mst!$D:$D)"&amp;",0)
  +
  (
   IFERROR(XLOOKUP(REGEXEXTRACT($M56,""^[^｜]+""),ac_mst!$A:$A,ac_mst!$G:$G),0)
   +IFERROR(XLOOKUP(REGEXEXTRACT($N56,""^[^｜]+""),ac_mst!$A:$A,ac_mst!$G:$G),0)
   +IFERROR(
    XLOOKUP(
     IF(
      OR(
       IFERROR(REGEXEXTRACT($M56,""^[^｜"&amp;"]+""),"""")="""",
       IFERROR(REGEXEXTRACT($N56,""^[^｜]+""),"""")=""""
      ),
      """",
      IF(
       IFERROR(REGEXEXTRACT($M56,""^[^｜]+""),"""")&lt;IFERROR(REGEXEXTRACT($N56,""^[^｜]+""),""""),
       IFERROR(REGEXEXTRACT($M56,""^[^｜]+""),"""")&amp;""_"&amp;"""&amp;IFERROR(REGEXEXTRACT($N56,""^[^｜]+""),""""),
       IFERROR(REGEXEXTRACT($N56,""^[^｜]+""),"""")&amp;""_""&amp;IFERROR(REGEXEXTRACT($M56,""^[^｜]+""),"""")
      )
     ),
     sy_mst!$A:$A,
     sy_mst!$D:$D
    ),
    0
   )
  )
  *
  IFERROR(XLOOKUP(REGEXEXTR"&amp;"ACT($I56,""^[^｜]+""),ms_mst!$A:$A,ms_mst!$L:$L),1)
  *
  IF(
   $B56&gt;=IFERROR(XLOOKUP(REGEXEXTRACT($L56,""^[^｜]+""),sk_mst!$A:$A,sk_mst!$M:$M),999),
   IFERROR(XLOOKUP(REGEXEXTRACT($L56,""^[^｜]+""),sk_mst!$A:$A,sk_mst!$F:$F),1),
   1
  )
 )
)"),12600.0)</f>
        <v>12600</v>
      </c>
      <c r="P56" s="25">
        <f>IFERROR(__xludf.DUMMYFUNCTION("IF($A56="""","""",
 IF($F56=""market"",
  IFERROR(XLOOKUP(REGEXEXTRACT($J56,""^[^｜]+""),tr_mst!$A:$A,tr_mst!$E:$E),0)
  +IFERROR(XLOOKUP(REGEXEXTRACT($K56,""^[^｜]+""),tc_mst!$A:$A,tc_mst!$E:$E),0),
  IF($B56=0,
   IFERROR(XLOOKUP(REGEXEXTRACT($I56,""^[^｜]"&amp;"+""),ms_mst!$A:$A,ms_mst!$E:$E),0),
   IFERROR(XLOOKUP(""T""&amp;($B56-1)&amp;""_""&amp;$D56,$A:$A,$P:$P),0)
  )
  +IFERROR(XLOOKUP(REGEXEXTRACT($J56,""^[^｜]+""),tr_mst!$A:$A,tr_mst!$E:$E),0)
  +IFERROR(XLOOKUP(REGEXEXTRACT($K56,""^[^｜]+""),tc_mst!$A:$A,tc_mst!$E:$E)"&amp;",0)
  +
  (
   IFERROR(XLOOKUP(REGEXEXTRACT($M56,""^[^｜]+""),ac_mst!$A:$A,ac_mst!$H:$H),0)
   +IFERROR(XLOOKUP(REGEXEXTRACT($N56,""^[^｜]+""),ac_mst!$A:$A,ac_mst!$H:$H),0)
   +IFERROR(
    XLOOKUP(
     IF(
      OR(
       IFERROR(REGEXEXTRACT($M56,""^[^｜"&amp;"]+""),"""")="""",
       IFERROR(REGEXEXTRACT($N56,""^[^｜]+""),"""")=""""
      ),
      """",
      IF(
       IFERROR(REGEXEXTRACT($M56,""^[^｜]+""),"""")&lt;IFERROR(REGEXEXTRACT($N56,""^[^｜]+""),""""),
       IFERROR(REGEXEXTRACT($M56,""^[^｜]+""),"""")&amp;""_"&amp;"""&amp;IFERROR(REGEXEXTRACT($N56,""^[^｜]+""),""""),
       IFERROR(REGEXEXTRACT($N56,""^[^｜]+""),"""")&amp;""_""&amp;IFERROR(REGEXEXTRACT($M56,""^[^｜]+""),"""")
      )
     ),
     sy_mst!$A:$A,
     sy_mst!$E:$E
    ),
    0
   )
  )
  *
  IFERROR(XLOOKUP(REGEXEXTR"&amp;"ACT($I56,""^[^｜]+""),ms_mst!$A:$A,ms_mst!$M:$M),1)
  *
  IF(
   $B56&gt;=IFERROR(XLOOKUP(REGEXEXTRACT($L56,""^[^｜]+""),sk_mst!$A:$A,sk_mst!$M:$M),999),
   IFERROR(XLOOKUP(REGEXEXTRACT($L56,""^[^｜]+""),sk_mst!$A:$A,sk_mst!$G:$G),1),
   1
  )
 )
)"),2870.0)</f>
        <v>2870</v>
      </c>
      <c r="Q56" s="25">
        <f>IFERROR(__xludf.DUMMYFUNCTION("IF($A56="""","""",
 IF($F56=""market"",
  IFERROR(XLOOKUP(REGEXEXTRACT($J56,""^[^｜]+""),tr_mst!$A:$A,tr_mst!$F:$F),0)
  +IFERROR(XLOOKUP(REGEXEXTRACT($K56,""^[^｜]+""),tc_mst!$A:$A,tc_mst!$F:$F),0),
  IF($B56=0,
   IFERROR(XLOOKUP(REGEXEXTRACT($I56,""^[^｜]"&amp;"+""),ms_mst!$A:$A,ms_mst!$F:$F),0),
   IFERROR(XLOOKUP(""T""&amp;($B56-1)&amp;""_""&amp;$D56,$A:$A,$Q:$Q),0)
  )
  +IFERROR(XLOOKUP(REGEXEXTRACT($J56,""^[^｜]+""),tr_mst!$A:$A,tr_mst!$F:$F),0)
  +IFERROR(XLOOKUP(REGEXEXTRACT($K56,""^[^｜]+""),tc_mst!$A:$A,tc_mst!$F:$F)"&amp;",0)
  +
  (
   IFERROR(XLOOKUP(REGEXEXTRACT($M56,""^[^｜]+""),ac_mst!$A:$A,ac_mst!$I:$I),0)
   +IFERROR(XLOOKUP(REGEXEXTRACT($N56,""^[^｜]+""),ac_mst!$A:$A,ac_mst!$I:$I),0)
   +IFERROR(
    XLOOKUP(
     IF(
      OR(
       IFERROR(REGEXEXTRACT($M56,""^[^｜"&amp;"]+""),"""")="""",
       IFERROR(REGEXEXTRACT($N56,""^[^｜]+""),"""")=""""
      ),
      """",
      IF(
       IFERROR(REGEXEXTRACT($M56,""^[^｜]+""),"""")&lt;IFERROR(REGEXEXTRACT($N56,""^[^｜]+""),""""),
       IFERROR(REGEXEXTRACT($M56,""^[^｜]+""),"""")&amp;""_"&amp;"""&amp;IFERROR(REGEXEXTRACT($N56,""^[^｜]+""),""""),
       IFERROR(REGEXEXTRACT($N56,""^[^｜]+""),"""")&amp;""_""&amp;IFERROR(REGEXEXTRACT($M56,""^[^｜]+""),"""")
      )
     ),
     sy_mst!$A:$A,
     sy_mst!$F:$F
    ),
    0
   )
  )
  *
  IFERROR(XLOOKUP(REGEXEXTR"&amp;"ACT($I56,""^[^｜]+""),ms_mst!$A:$A,ms_mst!$N:$N),1)
  *
  IF(
   $B56&gt;=IFERROR(XLOOKUP(REGEXEXTRACT($L56,""^[^｜]+""),sk_mst!$A:$A,sk_mst!$M:$M),999),
   IFERROR(XLOOKUP(REGEXEXTRACT($L56,""^[^｜]+""),sk_mst!$A:$A,sk_mst!$H:$H),1),
   1
  )
 )
)"),0.5059999999999999)</f>
        <v>0.506</v>
      </c>
      <c r="R56" s="25">
        <f>IFERROR(__xludf.DUMMYFUNCTION("IF($A56="""","""",
 IF($F56=""market"",
  IFERROR(XLOOKUP(REGEXEXTRACT($J56,""^[^｜]+""),tr_mst!$A:$A,tr_mst!$G:$G),0)
  +IFERROR(XLOOKUP(REGEXEXTRACT($K56,""^[^｜]+""),tc_mst!$A:$A,tc_mst!$G:$G),0),
  IF($B56=0,
   IFERROR(XLOOKUP(REGEXEXTRACT($I56,""^[^｜]"&amp;"+""),ms_mst!$A:$A,ms_mst!$G:$G),0),
   IFERROR(XLOOKUP(""T""&amp;($B56-1)&amp;""_""&amp;$D56,$A:$A,$R:$R),0)
  )
  +IFERROR(XLOOKUP(REGEXEXTRACT($J56,""^[^｜]+""),tr_mst!$A:$A,tr_mst!$G:$G),0)
  +IFERROR(XLOOKUP(REGEXEXTRACT($K56,""^[^｜]+""),tc_mst!$A:$A,tc_mst!$G:$G)"&amp;",0)
  +
  (
   IFERROR(XLOOKUP(REGEXEXTRACT($M56,""^[^｜]+""),ac_mst!$A:$A,ac_mst!$J:$J),0)
   +IFERROR(XLOOKUP(REGEXEXTRACT($N56,""^[^｜]+""),ac_mst!$A:$A,ac_mst!$J:$J),0)
   +IFERROR(
    XLOOKUP(
     IF(
      OR(
       IFERROR(REGEXEXTRACT($M56,""^[^｜"&amp;"]+""),"""")="""",
       IFERROR(REGEXEXTRACT($N56,""^[^｜]+""),"""")=""""
      ),
      """",
      IF(
       IFERROR(REGEXEXTRACT($M56,""^[^｜]+""),"""")&lt;IFERROR(REGEXEXTRACT($N56,""^[^｜]+""),""""),
       IFERROR(REGEXEXTRACT($M56,""^[^｜]+""),"""")&amp;""_"&amp;"""&amp;IFERROR(REGEXEXTRACT($N56,""^[^｜]+""),""""),
       IFERROR(REGEXEXTRACT($N56,""^[^｜]+""),"""")&amp;""_""&amp;IFERROR(REGEXEXTRACT($M56,""^[^｜]+""),"""")
      )
     ),
     sy_mst!$A:$A,
     sy_mst!$G:$G
    ),
    0
   )
  )
  *
  IFERROR(XLOOKUP(REGEXEXTR"&amp;"ACT($I56,""^[^｜]+""),ms_mst!$A:$A,ms_mst!$O:$O),1)
  *
  IF(
   $B56&gt;=IFERROR(XLOOKUP(REGEXEXTRACT($L56,""^[^｜]+""),sk_mst!$A:$A,sk_mst!$M:$M),999),
   IFERROR(XLOOKUP(REGEXEXTRACT($L56,""^[^｜]+""),sk_mst!$A:$A,sk_mst!$I:$I),1),
   1
  )
 )
)"),1.6640000000000001)</f>
        <v>1.664</v>
      </c>
      <c r="S56" s="25">
        <f>IFERROR(__xludf.DUMMYFUNCTION("IF($A56="""","""",
 IF($F56=""market"",
  IFERROR(XLOOKUP(REGEXEXTRACT($J56,""^[^｜]+""),tr_mst!$A:$A,tr_mst!$H:$H),0)
  +IFERROR(XLOOKUP(REGEXEXTRACT($K56,""^[^｜]+""),tc_mst!$A:$A,tc_mst!$H:$H),0),
  IF($B56=0,
   IFERROR(XLOOKUP(REGEXEXTRACT($I56,""^[^｜]"&amp;"+""),ms_mst!$A:$A,ms_mst!$H:$H),0),
   IFERROR(XLOOKUP(""T""&amp;($B56-1)&amp;""_""&amp;$D56,$A:$A,$S:$S),0)
  )
  +IFERROR(XLOOKUP(REGEXEXTRACT($J56,""^[^｜]+""),tr_mst!$A:$A,tr_mst!$H:$H),0)
  +IFERROR(XLOOKUP(REGEXEXTRACT($K56,""^[^｜]+""),tc_mst!$A:$A,tc_mst!$H:$H)"&amp;",0)
  +
  (
   IFERROR(XLOOKUP(REGEXEXTRACT($M56,""^[^｜]+""),ac_mst!$A:$A,ac_mst!$K:$K),0)
   +IFERROR(XLOOKUP(REGEXEXTRACT($N56,""^[^｜]+""),ac_mst!$A:$A,ac_mst!$K:$K),0)
   +IFERROR(
    XLOOKUP(
     IF(
      OR(
       IFERROR(REGEXEXTRACT($M56,""^[^｜"&amp;"]+""),"""")="""",
       IFERROR(REGEXEXTRACT($N56,""^[^｜]+""),"""")=""""
      ),
      """",
      IF(
       IFERROR(REGEXEXTRACT($M56,""^[^｜]+""),"""")&lt;IFERROR(REGEXEXTRACT($N56,""^[^｜]+""),""""),
       IFERROR(REGEXEXTRACT($M56,""^[^｜]+""),"""")&amp;""_"&amp;"""&amp;IFERROR(REGEXEXTRACT($N56,""^[^｜]+""),""""),
       IFERROR(REGEXEXTRACT($N56,""^[^｜]+""),"""")&amp;""_""&amp;IFERROR(REGEXEXTRACT($M56,""^[^｜]+""),"""")
      )
     ),
     sy_mst!$A:$A,
     sy_mst!$H:$H
    ),
    0
   )
  )
  *
  IFERROR(XLOOKUP(REGEXEXTR"&amp;"ACT($I56,""^[^｜]+""),ms_mst!$A:$A,ms_mst!$P:$P),1)
  *
  IF(
   $B56&gt;=IFERROR(XLOOKUP(REGEXEXTRACT($L56,""^[^｜]+""),sk_mst!$A:$A,sk_mst!$M:$M),999),
   IFERROR(XLOOKUP(REGEXEXTRACT($L56,""^[^｜]+""),sk_mst!$A:$A,sk_mst!$J:$J),1),
   1
  )
 )
)"),0.015806499999999998)</f>
        <v>0.0158065</v>
      </c>
      <c r="T56" s="25">
        <f>IFERROR(__xludf.DUMMYFUNCTION("IF($A56="""","""",
 IF($F56=""market"",
  IFERROR(XLOOKUP(REGEXEXTRACT($J56,""^[^｜]+""),tr_mst!$A:$A,tr_mst!$I:$I),0)
  +IFERROR(XLOOKUP(REGEXEXTRACT($K56,""^[^｜]+""),tc_mst!$A:$A,tc_mst!$I:$I),0),
  IF($B56=0,
   IFERROR(XLOOKUP(REGEXEXTRACT($I56,""^[^｜]"&amp;"+""),ms_mst!$A:$A,ms_mst!$I:$I),0),
   IFERROR(XLOOKUP(""T""&amp;($B56-1)&amp;""_""&amp;$D56,$A:$A,$T:$T),0)
  )
  +IFERROR(XLOOKUP(REGEXEXTRACT($J56,""^[^｜]+""),tr_mst!$A:$A,tr_mst!$I:$I),0)
  +IFERROR(XLOOKUP(REGEXEXTRACT($K56,""^[^｜]+""),tc_mst!$A:$A,tc_mst!$I:$I)"&amp;",0)
  +
  (
   IFERROR(XLOOKUP(REGEXEXTRACT($M56,""^[^｜]+""),ac_mst!$A:$A,ac_mst!$L:$L),0)
   +IFERROR(XLOOKUP(REGEXEXTRACT($N56,""^[^｜]+""),ac_mst!$A:$A,ac_mst!$L:$L),0)
   +IFERROR(
    XLOOKUP(
     IF(
      OR(
       IFERROR(REGEXEXTRACT($M56,""^[^｜"&amp;"]+""),"""")="""",
       IFERROR(REGEXEXTRACT($N56,""^[^｜]+""),"""")=""""
      ),
      """",
      IF(
       IFERROR(REGEXEXTRACT($M56,""^[^｜]+""),"""")&lt;IFERROR(REGEXEXTRACT($N56,""^[^｜]+""),""""),
       IFERROR(REGEXEXTRACT($M56,""^[^｜]+""),"""")&amp;""_"&amp;"""&amp;IFERROR(REGEXEXTRACT($N56,""^[^｜]+""),""""),
       IFERROR(REGEXEXTRACT($N56,""^[^｜]+""),"""")&amp;""_""&amp;IFERROR(REGEXEXTRACT($M56,""^[^｜]+""),"""")
      )
     ),
     sy_mst!$A:$A,
     sy_mst!$I:$I
    ),
    0
   )
  )
  *
  IFERROR(XLOOKUP(REGEXEXTR"&amp;"ACT($I56,""^[^｜]+""),ms_mst!$A:$A,ms_mst!$Q:$Q),1)
  *
  IF(
   $B56&gt;=IFERROR(XLOOKUP(REGEXEXTRACT($L56,""^[^｜]+""),sk_mst!$A:$A,sk_mst!$M:$M),999),
   IFERROR(XLOOKUP(REGEXEXTRACT($L56,""^[^｜]+""),sk_mst!$A:$A,sk_mst!$K:$K),1),
   1
  )
 )
)"),5010.0)</f>
        <v>5010</v>
      </c>
      <c r="U56" s="25">
        <f>IFERROR(__xludf.DUMMYFUNCTION("IF($A56="""","""",
 IF($F56=""market"",
  IFERROR(XLOOKUP(REGEXEXTRACT($J56,""^[^｜]+""),tr_mst!$A:$A,tr_mst!$J:$J),0)
  +IFERROR(XLOOKUP(REGEXEXTRACT($K56,""^[^｜]+""),tc_mst!$A:$A,tc_mst!$J:$J),0),
  IF($B56=0,
   IFERROR(XLOOKUP(REGEXEXTRACT($I56,""^[^｜]"&amp;"+""),ms_mst!$A:$A,ms_mst!$J:$J),0),
   IFERROR(XLOOKUP(""T""&amp;($B56-1)&amp;""_""&amp;$D56,$A:$A,$U:$U),0)
  )
  +IFERROR(XLOOKUP(REGEXEXTRACT($J56,""^[^｜]+""),tr_mst!$A:$A,tr_mst!$J:$J),0)
  +IFERROR(XLOOKUP(REGEXEXTRACT($K56,""^[^｜]+""),tc_mst!$A:$A,tc_mst!$J:$J)"&amp;",0)
  +
  (
   IFERROR(XLOOKUP(REGEXEXTRACT($M56,""^[^｜]+""),ac_mst!$A:$A,ac_mst!$M:$M),0)
   +IFERROR(XLOOKUP(REGEXEXTRACT($N56,""^[^｜]+""),ac_mst!$A:$A,ac_mst!$M:$M),0)
   +IFERROR(
    XLOOKUP(
     IF(
      OR(
       IFERROR(REGEXEXTRACT($M56,""^[^｜"&amp;"]+""),"""")="""",
       IFERROR(REGEXEXTRACT($N56,""^[^｜]+""),"""")=""""
      ),
      """",
      IF(
       IFERROR(REGEXEXTRACT($M56,""^[^｜]+""),"""")&lt;IFERROR(REGEXEXTRACT($N56,""^[^｜]+""),""""),
       IFERROR(REGEXEXTRACT($M56,""^[^｜]+""),"""")&amp;""_"&amp;"""&amp;IFERROR(REGEXEXTRACT($N56,""^[^｜]+""),""""),
       IFERROR(REGEXEXTRACT($N56,""^[^｜]+""),"""")&amp;""_""&amp;IFERROR(REGEXEXTRACT($M56,""^[^｜]+""),"""")
      )
     ),
     sy_mst!$A:$A,
     sy_mst!$J:$J
    ),
    0
   )
  )
  *
  IFERROR(XLOOKUP(REGEXEXTR"&amp;"ACT($I56,""^[^｜]+""),ms_mst!$A:$A,ms_mst!$R:$R),1)
  *
  IF(
   $B56&gt;=IFERROR(XLOOKUP(REGEXEXTRACT($L56,""^[^｜]+""),sk_mst!$A:$A,sk_mst!$M:$M),999),
   IFERROR(XLOOKUP(REGEXEXTRACT($L56,""^[^｜]+""),sk_mst!$A:$A,sk_mst!$L:$L),1),
   1
  )
 )
)"),52.9)</f>
        <v>52.9</v>
      </c>
      <c r="V56" s="25">
        <f t="shared" si="1"/>
        <v>1007034</v>
      </c>
      <c r="W56" s="25">
        <f t="shared" si="2"/>
        <v>151823</v>
      </c>
      <c r="X56" s="25">
        <f t="shared" si="3"/>
        <v>855211</v>
      </c>
      <c r="Y56" s="25">
        <f t="shared" si="4"/>
        <v>6.63</v>
      </c>
      <c r="Z56" s="25">
        <f>IFERROR(__xludf.DUMMYFUNCTION("IF($A56="""","""",
 IF($F56&lt;&gt;""player"","""",
  IFERROR(
   RANK(
    $X56,
    FILTER($X:$X,$B:$B=$B56,$F:$F=""player"",$X:$X&lt;&gt;""""),
    0
   ),
   """"
  )
 )
)"),4.0)</f>
        <v>4</v>
      </c>
      <c r="AA56" s="25" t="str">
        <f t="shared" si="5"/>
        <v>4位</v>
      </c>
      <c r="AB56" s="26">
        <f t="shared" si="6"/>
        <v>3.31229988</v>
      </c>
    </row>
    <row r="57">
      <c r="A57" s="25" t="s">
        <v>230</v>
      </c>
      <c r="B57" s="14">
        <v>4.0</v>
      </c>
      <c r="C57" s="14" t="s">
        <v>159</v>
      </c>
      <c r="D57" s="14" t="s">
        <v>160</v>
      </c>
      <c r="E57" s="25" t="s">
        <v>153</v>
      </c>
      <c r="F57" s="25" t="s">
        <v>154</v>
      </c>
      <c r="I57" s="25" t="str">
        <f>IFERROR(__xludf.DUMMYFUNCTION("IF($F57&lt;&gt;""player"","""",IFERROR(INDEX(FILTER(group_setup!$D$2:$D947,group_setup!$B$2:$B947=$C57,group_setup!$G$2:$G947=TRUE,group_setup!$H$2:$H947=""completed""),1),""""))"),"M03")</f>
        <v>M03</v>
      </c>
      <c r="J57" s="25" t="str">
        <f>IFERROR(__xludf.DUMMYFUNCTION("IFERROR(FILTER(market_event_log!$D$2:$D947,market_event_log!$C$2:$C947=$B57,market_event_log!$N$2:$N947=""active""),"""")"),"T03")</f>
        <v>T03</v>
      </c>
      <c r="K57" s="25" t="str">
        <f>IFERROR(__xludf.DUMMYFUNCTION("IFERROR(FILTER(market_event_log!$G$2:$G947,market_event_log!$C$2:$C947=$B57,market_event_log!$N$2:$N947=""active""),"""")"),"C04")</f>
        <v>C04</v>
      </c>
      <c r="L57" s="25" t="str">
        <f>IFERROR(__xludf.DUMMYFUNCTION("IF($F57&lt;&gt;""player"","""",IFERROR(INDEX(FILTER(group_setup!$E$2:$E947,group_setup!$B$2:$B947=$C57,group_setup!$G$2:$G947=TRUE,group_setup!$H$2:$H947=""completed""),1),""""))"),"S02")</f>
        <v>S02</v>
      </c>
      <c r="M57" s="25" t="str">
        <f>IFERROR(__xludf.DUMMYFUNCTION("IF($F57=""market"","""",IF($E57=""HUMAN"",IFERROR(FILTER(turn_log!$G$2:$G947,turn_log!$C$2:$C947=$B57,turn_log!$D$2:$D947=$C57,turn_log!$F$2:$F947=$E57),""""),IFERROR(FILTER(turn_log!$I$2:$I947,turn_log!$C$2:$C947=$B57,turn_log!$D$2:$D947=$C57,turn_log!$F"&amp;"$2:$F947=$E57),"""")))"),"A11")</f>
        <v>A11</v>
      </c>
      <c r="N57" s="25" t="str">
        <f>IFERROR(__xludf.DUMMYFUNCTION("IF($F57=""market"","""",IF($E57=""HUMAN"",IFERROR(FILTER(turn_log!$H$2:$H947,turn_log!$C$2:$C947=$B57,turn_log!$D$2:$D947=$C57,turn_log!$F$2:$F947=$E57),""""),IFERROR(FILTER(turn_log!$J$2:$J947,turn_log!$C$2:$C947=$B57,turn_log!$D$2:$D947=$C57,turn_log!$F"&amp;"$2:$F947=$E57),"""")))"),"A12")</f>
        <v>A12</v>
      </c>
      <c r="O57" s="25">
        <f>IFERROR(__xludf.DUMMYFUNCTION("IF($A57="""","""",
 IF($F57=""market"",
  IFERROR(XLOOKUP(REGEXEXTRACT($J57,""^[^｜]+""),tr_mst!$A:$A,tr_mst!$D:$D),0)
  +IFERROR(XLOOKUP(REGEXEXTRACT($K57,""^[^｜]+""),tc_mst!$A:$A,tc_mst!$D:$D),0),
  IF($B57=0,
   IFERROR(XLOOKUP(REGEXEXTRACT($I57,""^[^｜]"&amp;"+""),ms_mst!$A:$A,ms_mst!$D:$D),0),
   IFERROR(XLOOKUP(""T""&amp;($B57-1)&amp;""_""&amp;$D57,$A:$A,$O:$O),0)
  )
  +IFERROR(XLOOKUP(REGEXEXTRACT($J57,""^[^｜]+""),tr_mst!$A:$A,tr_mst!$D:$D),0)
  +IFERROR(XLOOKUP(REGEXEXTRACT($K57,""^[^｜]+""),tc_mst!$A:$A,tc_mst!$D:$D)"&amp;",0)
  +
  (
   IFERROR(XLOOKUP(REGEXEXTRACT($M57,""^[^｜]+""),ac_mst!$A:$A,ac_mst!$G:$G),0)
   +IFERROR(XLOOKUP(REGEXEXTRACT($N57,""^[^｜]+""),ac_mst!$A:$A,ac_mst!$G:$G),0)
   +IFERROR(
    XLOOKUP(
     IF(
      OR(
       IFERROR(REGEXEXTRACT($M57,""^[^｜"&amp;"]+""),"""")="""",
       IFERROR(REGEXEXTRACT($N57,""^[^｜]+""),"""")=""""
      ),
      """",
      IF(
       IFERROR(REGEXEXTRACT($M57,""^[^｜]+""),"""")&lt;IFERROR(REGEXEXTRACT($N57,""^[^｜]+""),""""),
       IFERROR(REGEXEXTRACT($M57,""^[^｜]+""),"""")&amp;""_"&amp;"""&amp;IFERROR(REGEXEXTRACT($N57,""^[^｜]+""),""""),
       IFERROR(REGEXEXTRACT($N57,""^[^｜]+""),"""")&amp;""_""&amp;IFERROR(REGEXEXTRACT($M57,""^[^｜]+""),"""")
      )
     ),
     sy_mst!$A:$A,
     sy_mst!$D:$D
    ),
    0
   )
  )
  *
  IFERROR(XLOOKUP(REGEXEXTR"&amp;"ACT($I57,""^[^｜]+""),ms_mst!$A:$A,ms_mst!$L:$L),1)
  *
  IF(
   $B57&gt;=IFERROR(XLOOKUP(REGEXEXTRACT($L57,""^[^｜]+""),sk_mst!$A:$A,sk_mst!$M:$M),999),
   IFERROR(XLOOKUP(REGEXEXTRACT($L57,""^[^｜]+""),sk_mst!$A:$A,sk_mst!$F:$F),1),
   1
  )
 )
)"),15400.0)</f>
        <v>15400</v>
      </c>
      <c r="P57" s="25">
        <f>IFERROR(__xludf.DUMMYFUNCTION("IF($A57="""","""",
 IF($F57=""market"",
  IFERROR(XLOOKUP(REGEXEXTRACT($J57,""^[^｜]+""),tr_mst!$A:$A,tr_mst!$E:$E),0)
  +IFERROR(XLOOKUP(REGEXEXTRACT($K57,""^[^｜]+""),tc_mst!$A:$A,tc_mst!$E:$E),0),
  IF($B57=0,
   IFERROR(XLOOKUP(REGEXEXTRACT($I57,""^[^｜]"&amp;"+""),ms_mst!$A:$A,ms_mst!$E:$E),0),
   IFERROR(XLOOKUP(""T""&amp;($B57-1)&amp;""_""&amp;$D57,$A:$A,$P:$P),0)
  )
  +IFERROR(XLOOKUP(REGEXEXTRACT($J57,""^[^｜]+""),tr_mst!$A:$A,tr_mst!$E:$E),0)
  +IFERROR(XLOOKUP(REGEXEXTRACT($K57,""^[^｜]+""),tc_mst!$A:$A,tc_mst!$E:$E)"&amp;",0)
  +
  (
   IFERROR(XLOOKUP(REGEXEXTRACT($M57,""^[^｜]+""),ac_mst!$A:$A,ac_mst!$H:$H),0)
   +IFERROR(XLOOKUP(REGEXEXTRACT($N57,""^[^｜]+""),ac_mst!$A:$A,ac_mst!$H:$H),0)
   +IFERROR(
    XLOOKUP(
     IF(
      OR(
       IFERROR(REGEXEXTRACT($M57,""^[^｜"&amp;"]+""),"""")="""",
       IFERROR(REGEXEXTRACT($N57,""^[^｜]+""),"""")=""""
      ),
      """",
      IF(
       IFERROR(REGEXEXTRACT($M57,""^[^｜]+""),"""")&lt;IFERROR(REGEXEXTRACT($N57,""^[^｜]+""),""""),
       IFERROR(REGEXEXTRACT($M57,""^[^｜]+""),"""")&amp;""_"&amp;"""&amp;IFERROR(REGEXEXTRACT($N57,""^[^｜]+""),""""),
       IFERROR(REGEXEXTRACT($N57,""^[^｜]+""),"""")&amp;""_""&amp;IFERROR(REGEXEXTRACT($M57,""^[^｜]+""),"""")
      )
     ),
     sy_mst!$A:$A,
     sy_mst!$E:$E
    ),
    0
   )
  )
  *
  IFERROR(XLOOKUP(REGEXEXTR"&amp;"ACT($I57,""^[^｜]+""),ms_mst!$A:$A,ms_mst!$M:$M),1)
  *
  IF(
   $B57&gt;=IFERROR(XLOOKUP(REGEXEXTRACT($L57,""^[^｜]+""),sk_mst!$A:$A,sk_mst!$M:$M),999),
   IFERROR(XLOOKUP(REGEXEXTRACT($L57,""^[^｜]+""),sk_mst!$A:$A,sk_mst!$G:$G),1),
   1
  )
 )
)"),1870.0)</f>
        <v>1870</v>
      </c>
      <c r="Q57" s="25">
        <f>IFERROR(__xludf.DUMMYFUNCTION("IF($A57="""","""",
 IF($F57=""market"",
  IFERROR(XLOOKUP(REGEXEXTRACT($J57,""^[^｜]+""),tr_mst!$A:$A,tr_mst!$F:$F),0)
  +IFERROR(XLOOKUP(REGEXEXTRACT($K57,""^[^｜]+""),tc_mst!$A:$A,tc_mst!$F:$F),0),
  IF($B57=0,
   IFERROR(XLOOKUP(REGEXEXTRACT($I57,""^[^｜]"&amp;"+""),ms_mst!$A:$A,ms_mst!$F:$F),0),
   IFERROR(XLOOKUP(""T""&amp;($B57-1)&amp;""_""&amp;$D57,$A:$A,$Q:$Q),0)
  )
  +IFERROR(XLOOKUP(REGEXEXTRACT($J57,""^[^｜]+""),tr_mst!$A:$A,tr_mst!$F:$F),0)
  +IFERROR(XLOOKUP(REGEXEXTRACT($K57,""^[^｜]+""),tc_mst!$A:$A,tc_mst!$F:$F)"&amp;",0)
  +
  (
   IFERROR(XLOOKUP(REGEXEXTRACT($M57,""^[^｜]+""),ac_mst!$A:$A,ac_mst!$I:$I),0)
   +IFERROR(XLOOKUP(REGEXEXTRACT($N57,""^[^｜]+""),ac_mst!$A:$A,ac_mst!$I:$I),0)
   +IFERROR(
    XLOOKUP(
     IF(
      OR(
       IFERROR(REGEXEXTRACT($M57,""^[^｜"&amp;"]+""),"""")="""",
       IFERROR(REGEXEXTRACT($N57,""^[^｜]+""),"""")=""""
      ),
      """",
      IF(
       IFERROR(REGEXEXTRACT($M57,""^[^｜]+""),"""")&lt;IFERROR(REGEXEXTRACT($N57,""^[^｜]+""),""""),
       IFERROR(REGEXEXTRACT($M57,""^[^｜]+""),"""")&amp;""_"&amp;"""&amp;IFERROR(REGEXEXTRACT($N57,""^[^｜]+""),""""),
       IFERROR(REGEXEXTRACT($N57,""^[^｜]+""),"""")&amp;""_""&amp;IFERROR(REGEXEXTRACT($M57,""^[^｜]+""),"""")
      )
     ),
     sy_mst!$A:$A,
     sy_mst!$F:$F
    ),
    0
   )
  )
  *
  IFERROR(XLOOKUP(REGEXEXTR"&amp;"ACT($I57,""^[^｜]+""),ms_mst!$A:$A,ms_mst!$N:$N),1)
  *
  IF(
   $B57&gt;=IFERROR(XLOOKUP(REGEXEXTRACT($L57,""^[^｜]+""),sk_mst!$A:$A,sk_mst!$M:$M),999),
   IFERROR(XLOOKUP(REGEXEXTRACT($L57,""^[^｜]+""),sk_mst!$A:$A,sk_mst!$H:$H),1),
   1
  )
 )
)"),0.4600000000000001)</f>
        <v>0.46</v>
      </c>
      <c r="R57" s="25">
        <f>IFERROR(__xludf.DUMMYFUNCTION("IF($A57="""","""",
 IF($F57=""market"",
  IFERROR(XLOOKUP(REGEXEXTRACT($J57,""^[^｜]+""),tr_mst!$A:$A,tr_mst!$G:$G),0)
  +IFERROR(XLOOKUP(REGEXEXTRACT($K57,""^[^｜]+""),tc_mst!$A:$A,tc_mst!$G:$G),0),
  IF($B57=0,
   IFERROR(XLOOKUP(REGEXEXTRACT($I57,""^[^｜]"&amp;"+""),ms_mst!$A:$A,ms_mst!$G:$G),0),
   IFERROR(XLOOKUP(""T""&amp;($B57-1)&amp;""_""&amp;$D57,$A:$A,$R:$R),0)
  )
  +IFERROR(XLOOKUP(REGEXEXTRACT($J57,""^[^｜]+""),tr_mst!$A:$A,tr_mst!$G:$G),0)
  +IFERROR(XLOOKUP(REGEXEXTRACT($K57,""^[^｜]+""),tc_mst!$A:$A,tc_mst!$G:$G)"&amp;",0)
  +
  (
   IFERROR(XLOOKUP(REGEXEXTRACT($M57,""^[^｜]+""),ac_mst!$A:$A,ac_mst!$J:$J),0)
   +IFERROR(XLOOKUP(REGEXEXTRACT($N57,""^[^｜]+""),ac_mst!$A:$A,ac_mst!$J:$J),0)
   +IFERROR(
    XLOOKUP(
     IF(
      OR(
       IFERROR(REGEXEXTRACT($M57,""^[^｜"&amp;"]+""),"""")="""",
       IFERROR(REGEXEXTRACT($N57,""^[^｜]+""),"""")=""""
      ),
      """",
      IF(
       IFERROR(REGEXEXTRACT($M57,""^[^｜]+""),"""")&lt;IFERROR(REGEXEXTRACT($N57,""^[^｜]+""),""""),
       IFERROR(REGEXEXTRACT($M57,""^[^｜]+""),"""")&amp;""_"&amp;"""&amp;IFERROR(REGEXEXTRACT($N57,""^[^｜]+""),""""),
       IFERROR(REGEXEXTRACT($N57,""^[^｜]+""),"""")&amp;""_""&amp;IFERROR(REGEXEXTRACT($M57,""^[^｜]+""),"""")
      )
     ),
     sy_mst!$A:$A,
     sy_mst!$G:$G
    ),
    0
   )
  )
  *
  IFERROR(XLOOKUP(REGEXEXTR"&amp;"ACT($I57,""^[^｜]+""),ms_mst!$A:$A,ms_mst!$O:$O),1)
  *
  IF(
   $B57&gt;=IFERROR(XLOOKUP(REGEXEXTRACT($L57,""^[^｜]+""),sk_mst!$A:$A,sk_mst!$M:$M),999),
   IFERROR(XLOOKUP(REGEXEXTRACT($L57,""^[^｜]+""),sk_mst!$A:$A,sk_mst!$I:$I),1),
   1
  )
 )
)"),1.895)</f>
        <v>1.895</v>
      </c>
      <c r="S57" s="25">
        <f>IFERROR(__xludf.DUMMYFUNCTION("IF($A57="""","""",
 IF($F57=""market"",
  IFERROR(XLOOKUP(REGEXEXTRACT($J57,""^[^｜]+""),tr_mst!$A:$A,tr_mst!$H:$H),0)
  +IFERROR(XLOOKUP(REGEXEXTRACT($K57,""^[^｜]+""),tc_mst!$A:$A,tc_mst!$H:$H),0),
  IF($B57=0,
   IFERROR(XLOOKUP(REGEXEXTRACT($I57,""^[^｜]"&amp;"+""),ms_mst!$A:$A,ms_mst!$H:$H),0),
   IFERROR(XLOOKUP(""T""&amp;($B57-1)&amp;""_""&amp;$D57,$A:$A,$S:$S),0)
  )
  +IFERROR(XLOOKUP(REGEXEXTRACT($J57,""^[^｜]+""),tr_mst!$A:$A,tr_mst!$H:$H),0)
  +IFERROR(XLOOKUP(REGEXEXTRACT($K57,""^[^｜]+""),tc_mst!$A:$A,tc_mst!$H:$H)"&amp;",0)
  +
  (
   IFERROR(XLOOKUP(REGEXEXTRACT($M57,""^[^｜]+""),ac_mst!$A:$A,ac_mst!$K:$K),0)
   +IFERROR(XLOOKUP(REGEXEXTRACT($N57,""^[^｜]+""),ac_mst!$A:$A,ac_mst!$K:$K),0)
   +IFERROR(
    XLOOKUP(
     IF(
      OR(
       IFERROR(REGEXEXTRACT($M57,""^[^｜"&amp;"]+""),"""")="""",
       IFERROR(REGEXEXTRACT($N57,""^[^｜]+""),"""")=""""
      ),
      """",
      IF(
       IFERROR(REGEXEXTRACT($M57,""^[^｜]+""),"""")&lt;IFERROR(REGEXEXTRACT($N57,""^[^｜]+""),""""),
       IFERROR(REGEXEXTRACT($M57,""^[^｜]+""),"""")&amp;""_"&amp;"""&amp;IFERROR(REGEXEXTRACT($N57,""^[^｜]+""),""""),
       IFERROR(REGEXEXTRACT($N57,""^[^｜]+""),"""")&amp;""_""&amp;IFERROR(REGEXEXTRACT($M57,""^[^｜]+""),"""")
      )
     ),
     sy_mst!$A:$A,
     sy_mst!$H:$H
    ),
    0
   )
  )
  *
  IFERROR(XLOOKUP(REGEXEXTR"&amp;"ACT($I57,""^[^｜]+""),ms_mst!$A:$A,ms_mst!$P:$P),1)
  *
  IF(
   $B57&gt;=IFERROR(XLOOKUP(REGEXEXTRACT($L57,""^[^｜]+""),sk_mst!$A:$A,sk_mst!$M:$M),999),
   IFERROR(XLOOKUP(REGEXEXTRACT($L57,""^[^｜]+""),sk_mst!$A:$A,sk_mst!$J:$J),1),
   1
  )
 )
)"),0.016760000000000004)</f>
        <v>0.01676</v>
      </c>
      <c r="T57" s="25">
        <f>IFERROR(__xludf.DUMMYFUNCTION("IF($A57="""","""",
 IF($F57=""market"",
  IFERROR(XLOOKUP(REGEXEXTRACT($J57,""^[^｜]+""),tr_mst!$A:$A,tr_mst!$I:$I),0)
  +IFERROR(XLOOKUP(REGEXEXTRACT($K57,""^[^｜]+""),tc_mst!$A:$A,tc_mst!$I:$I),0),
  IF($B57=0,
   IFERROR(XLOOKUP(REGEXEXTRACT($I57,""^[^｜]"&amp;"+""),ms_mst!$A:$A,ms_mst!$I:$I),0),
   IFERROR(XLOOKUP(""T""&amp;($B57-1)&amp;""_""&amp;$D57,$A:$A,$T:$T),0)
  )
  +IFERROR(XLOOKUP(REGEXEXTRACT($J57,""^[^｜]+""),tr_mst!$A:$A,tr_mst!$I:$I),0)
  +IFERROR(XLOOKUP(REGEXEXTRACT($K57,""^[^｜]+""),tc_mst!$A:$A,tc_mst!$I:$I)"&amp;",0)
  +
  (
   IFERROR(XLOOKUP(REGEXEXTRACT($M57,""^[^｜]+""),ac_mst!$A:$A,ac_mst!$L:$L),0)
   +IFERROR(XLOOKUP(REGEXEXTRACT($N57,""^[^｜]+""),ac_mst!$A:$A,ac_mst!$L:$L),0)
   +IFERROR(
    XLOOKUP(
     IF(
      OR(
       IFERROR(REGEXEXTRACT($M57,""^[^｜"&amp;"]+""),"""")="""",
       IFERROR(REGEXEXTRACT($N57,""^[^｜]+""),"""")=""""
      ),
      """",
      IF(
       IFERROR(REGEXEXTRACT($M57,""^[^｜]+""),"""")&lt;IFERROR(REGEXEXTRACT($N57,""^[^｜]+""),""""),
       IFERROR(REGEXEXTRACT($M57,""^[^｜]+""),"""")&amp;""_"&amp;"""&amp;IFERROR(REGEXEXTRACT($N57,""^[^｜]+""),""""),
       IFERROR(REGEXEXTRACT($N57,""^[^｜]+""),"""")&amp;""_""&amp;IFERROR(REGEXEXTRACT($M57,""^[^｜]+""),"""")
      )
     ),
     sy_mst!$A:$A,
     sy_mst!$I:$I
    ),
    0
   )
  )
  *
  IFERROR(XLOOKUP(REGEXEXTR"&amp;"ACT($I57,""^[^｜]+""),ms_mst!$A:$A,ms_mst!$Q:$Q),1)
  *
  IF(
   $B57&gt;=IFERROR(XLOOKUP(REGEXEXTRACT($L57,""^[^｜]+""),sk_mst!$A:$A,sk_mst!$M:$M),999),
   IFERROR(XLOOKUP(REGEXEXTRACT($L57,""^[^｜]+""),sk_mst!$A:$A,sk_mst!$K:$K),1),
   1
  )
 )
)"),4800.0)</f>
        <v>4800</v>
      </c>
      <c r="U57" s="25">
        <f>IFERROR(__xludf.DUMMYFUNCTION("IF($A57="""","""",
 IF($F57=""market"",
  IFERROR(XLOOKUP(REGEXEXTRACT($J57,""^[^｜]+""),tr_mst!$A:$A,tr_mst!$J:$J),0)
  +IFERROR(XLOOKUP(REGEXEXTRACT($K57,""^[^｜]+""),tc_mst!$A:$A,tc_mst!$J:$J),0),
  IF($B57=0,
   IFERROR(XLOOKUP(REGEXEXTRACT($I57,""^[^｜]"&amp;"+""),ms_mst!$A:$A,ms_mst!$J:$J),0),
   IFERROR(XLOOKUP(""T""&amp;($B57-1)&amp;""_""&amp;$D57,$A:$A,$U:$U),0)
  )
  +IFERROR(XLOOKUP(REGEXEXTRACT($J57,""^[^｜]+""),tr_mst!$A:$A,tr_mst!$J:$J),0)
  +IFERROR(XLOOKUP(REGEXEXTRACT($K57,""^[^｜]+""),tc_mst!$A:$A,tc_mst!$J:$J)"&amp;",0)
  +
  (
   IFERROR(XLOOKUP(REGEXEXTRACT($M57,""^[^｜]+""),ac_mst!$A:$A,ac_mst!$M:$M),0)
   +IFERROR(XLOOKUP(REGEXEXTRACT($N57,""^[^｜]+""),ac_mst!$A:$A,ac_mst!$M:$M),0)
   +IFERROR(
    XLOOKUP(
     IF(
      OR(
       IFERROR(REGEXEXTRACT($M57,""^[^｜"&amp;"]+""),"""")="""",
       IFERROR(REGEXEXTRACT($N57,""^[^｜]+""),"""")=""""
      ),
      """",
      IF(
       IFERROR(REGEXEXTRACT($M57,""^[^｜]+""),"""")&lt;IFERROR(REGEXEXTRACT($N57,""^[^｜]+""),""""),
       IFERROR(REGEXEXTRACT($M57,""^[^｜]+""),"""")&amp;""_"&amp;"""&amp;IFERROR(REGEXEXTRACT($N57,""^[^｜]+""),""""),
       IFERROR(REGEXEXTRACT($N57,""^[^｜]+""),"""")&amp;""_""&amp;IFERROR(REGEXEXTRACT($M57,""^[^｜]+""),"""")
      )
     ),
     sy_mst!$A:$A,
     sy_mst!$J:$J
    ),
    0
   )
  )
  *
  IFERROR(XLOOKUP(REGEXEXTR"&amp;"ACT($I57,""^[^｜]+""),ms_mst!$A:$A,ms_mst!$R:$R),1)
  *
  IF(
   $B57&gt;=IFERROR(XLOOKUP(REGEXEXTRACT($L57,""^[^｜]+""),sk_mst!$A:$A,sk_mst!$M:$M),999),
   IFERROR(XLOOKUP(REGEXEXTRACT($L57,""^[^｜]+""),sk_mst!$A:$A,sk_mst!$L:$L),1),
   1
  )
 )
)"),45.0)</f>
        <v>45</v>
      </c>
      <c r="V57" s="25">
        <f t="shared" si="1"/>
        <v>1421709</v>
      </c>
      <c r="W57" s="25">
        <f t="shared" si="2"/>
        <v>84150</v>
      </c>
      <c r="X57" s="25">
        <f t="shared" si="3"/>
        <v>1337559</v>
      </c>
      <c r="Y57" s="25">
        <f t="shared" si="4"/>
        <v>16.89</v>
      </c>
      <c r="Z57" s="25">
        <f>IFERROR(__xludf.DUMMYFUNCTION("IF($A57="""","""",
 IF($F57&lt;&gt;""player"","""",
  IFERROR(
   RANK(
    $X57,
    FILTER($X:$X,$B:$B=$B57,$F:$F=""player"",$X:$X&lt;&gt;""""),
    0
   ),
   """"
  )
 )
)"),1.0)</f>
        <v>1</v>
      </c>
      <c r="AA57" s="25" t="str">
        <f t="shared" si="5"/>
        <v>1位</v>
      </c>
      <c r="AB57" s="26">
        <f t="shared" si="6"/>
        <v>3.097913603</v>
      </c>
    </row>
    <row r="58">
      <c r="A58" s="25" t="s">
        <v>231</v>
      </c>
      <c r="B58" s="14">
        <v>4.0</v>
      </c>
      <c r="C58" s="14" t="s">
        <v>162</v>
      </c>
      <c r="D58" s="14" t="s">
        <v>163</v>
      </c>
      <c r="E58" s="25" t="s">
        <v>153</v>
      </c>
      <c r="F58" s="25" t="s">
        <v>154</v>
      </c>
      <c r="I58" s="25" t="str">
        <f>IFERROR(__xludf.DUMMYFUNCTION("IF($F58&lt;&gt;""player"","""",IFERROR(INDEX(FILTER(group_setup!$D$2:$D947,group_setup!$B$2:$B947=$C58,group_setup!$G$2:$G947=TRUE,group_setup!$H$2:$H947=""completed""),1),""""))"),"M01")</f>
        <v>M01</v>
      </c>
      <c r="J58" s="25" t="str">
        <f>IFERROR(__xludf.DUMMYFUNCTION("IFERROR(FILTER(market_event_log!$D$2:$D947,market_event_log!$C$2:$C947=$B58,market_event_log!$N$2:$N947=""active""),"""")"),"T03")</f>
        <v>T03</v>
      </c>
      <c r="K58" s="25" t="str">
        <f>IFERROR(__xludf.DUMMYFUNCTION("IFERROR(FILTER(market_event_log!$G$2:$G947,market_event_log!$C$2:$C947=$B58,market_event_log!$N$2:$N947=""active""),"""")"),"C04")</f>
        <v>C04</v>
      </c>
      <c r="L58" s="25" t="str">
        <f>IFERROR(__xludf.DUMMYFUNCTION("IF($F58&lt;&gt;""player"","""",IFERROR(INDEX(FILTER(group_setup!$E$2:$E947,group_setup!$B$2:$B947=$C58,group_setup!$G$2:$G947=TRUE,group_setup!$H$2:$H947=""completed""),1),""""))"),"S01")</f>
        <v>S01</v>
      </c>
      <c r="M58" s="25" t="str">
        <f>IFERROR(__xludf.DUMMYFUNCTION("IF($F58=""market"","""",IF($E58=""HUMAN"",IFERROR(FILTER(turn_log!$G$2:$G947,turn_log!$C$2:$C947=$B58,turn_log!$D$2:$D947=$C58,turn_log!$F$2:$F947=$E58),""""),IFERROR(FILTER(turn_log!$I$2:$I947,turn_log!$C$2:$C947=$B58,turn_log!$D$2:$D947=$C58,turn_log!$F"&amp;"$2:$F947=$E58),"""")))"),"A03")</f>
        <v>A03</v>
      </c>
      <c r="N58" s="25" t="str">
        <f>IFERROR(__xludf.DUMMYFUNCTION("IF($F58=""market"","""",IF($E58=""HUMAN"",IFERROR(FILTER(turn_log!$H$2:$H947,turn_log!$C$2:$C947=$B58,turn_log!$D$2:$D947=$C58,turn_log!$F$2:$F947=$E58),""""),IFERROR(FILTER(turn_log!$J$2:$J947,turn_log!$C$2:$C947=$B58,turn_log!$D$2:$D947=$C58,turn_log!$F"&amp;"$2:$F947=$E58),"""")))"),"A07")</f>
        <v>A07</v>
      </c>
      <c r="O58" s="25">
        <f>IFERROR(__xludf.DUMMYFUNCTION("IF($A58="""","""",
 IF($F58=""market"",
  IFERROR(XLOOKUP(REGEXEXTRACT($J58,""^[^｜]+""),tr_mst!$A:$A,tr_mst!$D:$D),0)
  +IFERROR(XLOOKUP(REGEXEXTRACT($K58,""^[^｜]+""),tc_mst!$A:$A,tc_mst!$D:$D),0),
  IF($B58=0,
   IFERROR(XLOOKUP(REGEXEXTRACT($I58,""^[^｜]"&amp;"+""),ms_mst!$A:$A,ms_mst!$D:$D),0),
   IFERROR(XLOOKUP(""T""&amp;($B58-1)&amp;""_""&amp;$D58,$A:$A,$O:$O),0)
  )
  +IFERROR(XLOOKUP(REGEXEXTRACT($J58,""^[^｜]+""),tr_mst!$A:$A,tr_mst!$D:$D),0)
  +IFERROR(XLOOKUP(REGEXEXTRACT($K58,""^[^｜]+""),tc_mst!$A:$A,tc_mst!$D:$D)"&amp;",0)
  +
  (
   IFERROR(XLOOKUP(REGEXEXTRACT($M58,""^[^｜]+""),ac_mst!$A:$A,ac_mst!$G:$G),0)
   +IFERROR(XLOOKUP(REGEXEXTRACT($N58,""^[^｜]+""),ac_mst!$A:$A,ac_mst!$G:$G),0)
   +IFERROR(
    XLOOKUP(
     IF(
      OR(
       IFERROR(REGEXEXTRACT($M58,""^[^｜"&amp;"]+""),"""")="""",
       IFERROR(REGEXEXTRACT($N58,""^[^｜]+""),"""")=""""
      ),
      """",
      IF(
       IFERROR(REGEXEXTRACT($M58,""^[^｜]+""),"""")&lt;IFERROR(REGEXEXTRACT($N58,""^[^｜]+""),""""),
       IFERROR(REGEXEXTRACT($M58,""^[^｜]+""),"""")&amp;""_"&amp;"""&amp;IFERROR(REGEXEXTRACT($N58,""^[^｜]+""),""""),
       IFERROR(REGEXEXTRACT($N58,""^[^｜]+""),"""")&amp;""_""&amp;IFERROR(REGEXEXTRACT($M58,""^[^｜]+""),"""")
      )
     ),
     sy_mst!$A:$A,
     sy_mst!$D:$D
    ),
    0
   )
  )
  *
  IFERROR(XLOOKUP(REGEXEXTR"&amp;"ACT($I58,""^[^｜]+""),ms_mst!$A:$A,ms_mst!$L:$L),1)
  *
  IF(
   $B58&gt;=IFERROR(XLOOKUP(REGEXEXTRACT($L58,""^[^｜]+""),sk_mst!$A:$A,sk_mst!$M:$M),999),
   IFERROR(XLOOKUP(REGEXEXTRACT($L58,""^[^｜]+""),sk_mst!$A:$A,sk_mst!$F:$F),1),
   1
  )
 )
)"),11760.0)</f>
        <v>11760</v>
      </c>
      <c r="P58" s="25">
        <f>IFERROR(__xludf.DUMMYFUNCTION("IF($A58="""","""",
 IF($F58=""market"",
  IFERROR(XLOOKUP(REGEXEXTRACT($J58,""^[^｜]+""),tr_mst!$A:$A,tr_mst!$E:$E),0)
  +IFERROR(XLOOKUP(REGEXEXTRACT($K58,""^[^｜]+""),tc_mst!$A:$A,tc_mst!$E:$E),0),
  IF($B58=0,
   IFERROR(XLOOKUP(REGEXEXTRACT($I58,""^[^｜]"&amp;"+""),ms_mst!$A:$A,ms_mst!$E:$E),0),
   IFERROR(XLOOKUP(""T""&amp;($B58-1)&amp;""_""&amp;$D58,$A:$A,$P:$P),0)
  )
  +IFERROR(XLOOKUP(REGEXEXTRACT($J58,""^[^｜]+""),tr_mst!$A:$A,tr_mst!$E:$E),0)
  +IFERROR(XLOOKUP(REGEXEXTRACT($K58,""^[^｜]+""),tc_mst!$A:$A,tc_mst!$E:$E)"&amp;",0)
  +
  (
   IFERROR(XLOOKUP(REGEXEXTRACT($M58,""^[^｜]+""),ac_mst!$A:$A,ac_mst!$H:$H),0)
   +IFERROR(XLOOKUP(REGEXEXTRACT($N58,""^[^｜]+""),ac_mst!$A:$A,ac_mst!$H:$H),0)
   +IFERROR(
    XLOOKUP(
     IF(
      OR(
       IFERROR(REGEXEXTRACT($M58,""^[^｜"&amp;"]+""),"""")="""",
       IFERROR(REGEXEXTRACT($N58,""^[^｜]+""),"""")=""""
      ),
      """",
      IF(
       IFERROR(REGEXEXTRACT($M58,""^[^｜]+""),"""")&lt;IFERROR(REGEXEXTRACT($N58,""^[^｜]+""),""""),
       IFERROR(REGEXEXTRACT($M58,""^[^｜]+""),"""")&amp;""_"&amp;"""&amp;IFERROR(REGEXEXTRACT($N58,""^[^｜]+""),""""),
       IFERROR(REGEXEXTRACT($N58,""^[^｜]+""),"""")&amp;""_""&amp;IFERROR(REGEXEXTRACT($M58,""^[^｜]+""),"""")
      )
     ),
     sy_mst!$A:$A,
     sy_mst!$E:$E
    ),
    0
   )
  )
  *
  IFERROR(XLOOKUP(REGEXEXTR"&amp;"ACT($I58,""^[^｜]+""),ms_mst!$A:$A,ms_mst!$M:$M),1)
  *
  IF(
   $B58&gt;=IFERROR(XLOOKUP(REGEXEXTRACT($L58,""^[^｜]+""),sk_mst!$A:$A,sk_mst!$M:$M),999),
   IFERROR(XLOOKUP(REGEXEXTRACT($L58,""^[^｜]+""),sk_mst!$A:$A,sk_mst!$G:$G),1),
   1
  )
 )
)"),4745.0)</f>
        <v>4745</v>
      </c>
      <c r="Q58" s="25">
        <f>IFERROR(__xludf.DUMMYFUNCTION("IF($A58="""","""",
 IF($F58=""market"",
  IFERROR(XLOOKUP(REGEXEXTRACT($J58,""^[^｜]+""),tr_mst!$A:$A,tr_mst!$F:$F),0)
  +IFERROR(XLOOKUP(REGEXEXTRACT($K58,""^[^｜]+""),tc_mst!$A:$A,tc_mst!$F:$F),0),
  IF($B58=0,
   IFERROR(XLOOKUP(REGEXEXTRACT($I58,""^[^｜]"&amp;"+""),ms_mst!$A:$A,ms_mst!$F:$F),0),
   IFERROR(XLOOKUP(""T""&amp;($B58-1)&amp;""_""&amp;$D58,$A:$A,$Q:$Q),0)
  )
  +IFERROR(XLOOKUP(REGEXEXTRACT($J58,""^[^｜]+""),tr_mst!$A:$A,tr_mst!$F:$F),0)
  +IFERROR(XLOOKUP(REGEXEXTRACT($K58,""^[^｜]+""),tc_mst!$A:$A,tc_mst!$F:$F)"&amp;",0)
  +
  (
   IFERROR(XLOOKUP(REGEXEXTRACT($M58,""^[^｜]+""),ac_mst!$A:$A,ac_mst!$I:$I),0)
   +IFERROR(XLOOKUP(REGEXEXTRACT($N58,""^[^｜]+""),ac_mst!$A:$A,ac_mst!$I:$I),0)
   +IFERROR(
    XLOOKUP(
     IF(
      OR(
       IFERROR(REGEXEXTRACT($M58,""^[^｜"&amp;"]+""),"""")="""",
       IFERROR(REGEXEXTRACT($N58,""^[^｜]+""),"""")=""""
      ),
      """",
      IF(
       IFERROR(REGEXEXTRACT($M58,""^[^｜]+""),"""")&lt;IFERROR(REGEXEXTRACT($N58,""^[^｜]+""),""""),
       IFERROR(REGEXEXTRACT($M58,""^[^｜]+""),"""")&amp;""_"&amp;"""&amp;IFERROR(REGEXEXTRACT($N58,""^[^｜]+""),""""),
       IFERROR(REGEXEXTRACT($N58,""^[^｜]+""),"""")&amp;""_""&amp;IFERROR(REGEXEXTRACT($M58,""^[^｜]+""),"""")
      )
     ),
     sy_mst!$A:$A,
     sy_mst!$F:$F
    ),
    0
   )
  )
  *
  IFERROR(XLOOKUP(REGEXEXTR"&amp;"ACT($I58,""^[^｜]+""),ms_mst!$A:$A,ms_mst!$N:$N),1)
  *
  IF(
   $B58&gt;=IFERROR(XLOOKUP(REGEXEXTRACT($L58,""^[^｜]+""),sk_mst!$A:$A,sk_mst!$M:$M),999),
   IFERROR(XLOOKUP(REGEXEXTRACT($L58,""^[^｜]+""),sk_mst!$A:$A,sk_mst!$H:$H),1),
   1
  )
 )
)"),0.49999999999999994)</f>
        <v>0.5</v>
      </c>
      <c r="R58" s="25">
        <f>IFERROR(__xludf.DUMMYFUNCTION("IF($A58="""","""",
 IF($F58=""market"",
  IFERROR(XLOOKUP(REGEXEXTRACT($J58,""^[^｜]+""),tr_mst!$A:$A,tr_mst!$G:$G),0)
  +IFERROR(XLOOKUP(REGEXEXTRACT($K58,""^[^｜]+""),tc_mst!$A:$A,tc_mst!$G:$G),0),
  IF($B58=0,
   IFERROR(XLOOKUP(REGEXEXTRACT($I58,""^[^｜]"&amp;"+""),ms_mst!$A:$A,ms_mst!$G:$G),0),
   IFERROR(XLOOKUP(""T""&amp;($B58-1)&amp;""_""&amp;$D58,$A:$A,$R:$R),0)
  )
  +IFERROR(XLOOKUP(REGEXEXTRACT($J58,""^[^｜]+""),tr_mst!$A:$A,tr_mst!$G:$G),0)
  +IFERROR(XLOOKUP(REGEXEXTRACT($K58,""^[^｜]+""),tc_mst!$A:$A,tc_mst!$G:$G)"&amp;",0)
  +
  (
   IFERROR(XLOOKUP(REGEXEXTRACT($M58,""^[^｜]+""),ac_mst!$A:$A,ac_mst!$J:$J),0)
   +IFERROR(XLOOKUP(REGEXEXTRACT($N58,""^[^｜]+""),ac_mst!$A:$A,ac_mst!$J:$J),0)
   +IFERROR(
    XLOOKUP(
     IF(
      OR(
       IFERROR(REGEXEXTRACT($M58,""^[^｜"&amp;"]+""),"""")="""",
       IFERROR(REGEXEXTRACT($N58,""^[^｜]+""),"""")=""""
      ),
      """",
      IF(
       IFERROR(REGEXEXTRACT($M58,""^[^｜]+""),"""")&lt;IFERROR(REGEXEXTRACT($N58,""^[^｜]+""),""""),
       IFERROR(REGEXEXTRACT($M58,""^[^｜]+""),"""")&amp;""_"&amp;"""&amp;IFERROR(REGEXEXTRACT($N58,""^[^｜]+""),""""),
       IFERROR(REGEXEXTRACT($N58,""^[^｜]+""),"""")&amp;""_""&amp;IFERROR(REGEXEXTRACT($M58,""^[^｜]+""),"""")
      )
     ),
     sy_mst!$A:$A,
     sy_mst!$G:$G
    ),
    0
   )
  )
  *
  IFERROR(XLOOKUP(REGEXEXTR"&amp;"ACT($I58,""^[^｜]+""),ms_mst!$A:$A,ms_mst!$O:$O),1)
  *
  IF(
   $B58&gt;=IFERROR(XLOOKUP(REGEXEXTRACT($L58,""^[^｜]+""),sk_mst!$A:$A,sk_mst!$M:$M),999),
   IFERROR(XLOOKUP(REGEXEXTRACT($L58,""^[^｜]+""),sk_mst!$A:$A,sk_mst!$I:$I),1),
   1
  )
 )
)"),1.5465)</f>
        <v>1.5465</v>
      </c>
      <c r="S58" s="25">
        <f>IFERROR(__xludf.DUMMYFUNCTION("IF($A58="""","""",
 IF($F58=""market"",
  IFERROR(XLOOKUP(REGEXEXTRACT($J58,""^[^｜]+""),tr_mst!$A:$A,tr_mst!$H:$H),0)
  +IFERROR(XLOOKUP(REGEXEXTRACT($K58,""^[^｜]+""),tc_mst!$A:$A,tc_mst!$H:$H),0),
  IF($B58=0,
   IFERROR(XLOOKUP(REGEXEXTRACT($I58,""^[^｜]"&amp;"+""),ms_mst!$A:$A,ms_mst!$H:$H),0),
   IFERROR(XLOOKUP(""T""&amp;($B58-1)&amp;""_""&amp;$D58,$A:$A,$S:$S),0)
  )
  +IFERROR(XLOOKUP(REGEXEXTRACT($J58,""^[^｜]+""),tr_mst!$A:$A,tr_mst!$H:$H),0)
  +IFERROR(XLOOKUP(REGEXEXTRACT($K58,""^[^｜]+""),tc_mst!$A:$A,tc_mst!$H:$H)"&amp;",0)
  +
  (
   IFERROR(XLOOKUP(REGEXEXTRACT($M58,""^[^｜]+""),ac_mst!$A:$A,ac_mst!$K:$K),0)
   +IFERROR(XLOOKUP(REGEXEXTRACT($N58,""^[^｜]+""),ac_mst!$A:$A,ac_mst!$K:$K),0)
   +IFERROR(
    XLOOKUP(
     IF(
      OR(
       IFERROR(REGEXEXTRACT($M58,""^[^｜"&amp;"]+""),"""")="""",
       IFERROR(REGEXEXTRACT($N58,""^[^｜]+""),"""")=""""
      ),
      """",
      IF(
       IFERROR(REGEXEXTRACT($M58,""^[^｜]+""),"""")&lt;IFERROR(REGEXEXTRACT($N58,""^[^｜]+""),""""),
       IFERROR(REGEXEXTRACT($M58,""^[^｜]+""),"""")&amp;""_"&amp;"""&amp;IFERROR(REGEXEXTRACT($N58,""^[^｜]+""),""""),
       IFERROR(REGEXEXTRACT($N58,""^[^｜]+""),"""")&amp;""_""&amp;IFERROR(REGEXEXTRACT($M58,""^[^｜]+""),"""")
      )
     ),
     sy_mst!$A:$A,
     sy_mst!$H:$H
    ),
    0
   )
  )
  *
  IFERROR(XLOOKUP(REGEXEXTR"&amp;"ACT($I58,""^[^｜]+""),ms_mst!$A:$A,ms_mst!$P:$P),1)
  *
  IF(
   $B58&gt;=IFERROR(XLOOKUP(REGEXEXTRACT($L58,""^[^｜]+""),sk_mst!$A:$A,sk_mst!$M:$M),999),
   IFERROR(XLOOKUP(REGEXEXTRACT($L58,""^[^｜]+""),sk_mst!$A:$A,sk_mst!$J:$J),1),
   1
  )
 )
)"),0.0193)</f>
        <v>0.0193</v>
      </c>
      <c r="T58" s="25">
        <f>IFERROR(__xludf.DUMMYFUNCTION("IF($A58="""","""",
 IF($F58=""market"",
  IFERROR(XLOOKUP(REGEXEXTRACT($J58,""^[^｜]+""),tr_mst!$A:$A,tr_mst!$I:$I),0)
  +IFERROR(XLOOKUP(REGEXEXTRACT($K58,""^[^｜]+""),tc_mst!$A:$A,tc_mst!$I:$I),0),
  IF($B58=0,
   IFERROR(XLOOKUP(REGEXEXTRACT($I58,""^[^｜]"&amp;"+""),ms_mst!$A:$A,ms_mst!$I:$I),0),
   IFERROR(XLOOKUP(""T""&amp;($B58-1)&amp;""_""&amp;$D58,$A:$A,$T:$T),0)
  )
  +IFERROR(XLOOKUP(REGEXEXTRACT($J58,""^[^｜]+""),tr_mst!$A:$A,tr_mst!$I:$I),0)
  +IFERROR(XLOOKUP(REGEXEXTRACT($K58,""^[^｜]+""),tc_mst!$A:$A,tc_mst!$I:$I)"&amp;",0)
  +
  (
   IFERROR(XLOOKUP(REGEXEXTRACT($M58,""^[^｜]+""),ac_mst!$A:$A,ac_mst!$L:$L),0)
   +IFERROR(XLOOKUP(REGEXEXTRACT($N58,""^[^｜]+""),ac_mst!$A:$A,ac_mst!$L:$L),0)
   +IFERROR(
    XLOOKUP(
     IF(
      OR(
       IFERROR(REGEXEXTRACT($M58,""^[^｜"&amp;"]+""),"""")="""",
       IFERROR(REGEXEXTRACT($N58,""^[^｜]+""),"""")=""""
      ),
      """",
      IF(
       IFERROR(REGEXEXTRACT($M58,""^[^｜]+""),"""")&lt;IFERROR(REGEXEXTRACT($N58,""^[^｜]+""),""""),
       IFERROR(REGEXEXTRACT($M58,""^[^｜]+""),"""")&amp;""_"&amp;"""&amp;IFERROR(REGEXEXTRACT($N58,""^[^｜]+""),""""),
       IFERROR(REGEXEXTRACT($N58,""^[^｜]+""),"""")&amp;""_""&amp;IFERROR(REGEXEXTRACT($M58,""^[^｜]+""),"""")
      )
     ),
     sy_mst!$A:$A,
     sy_mst!$I:$I
    ),
    0
   )
  )
  *
  IFERROR(XLOOKUP(REGEXEXTR"&amp;"ACT($I58,""^[^｜]+""),ms_mst!$A:$A,ms_mst!$Q:$Q),1)
  *
  IF(
   $B58&gt;=IFERROR(XLOOKUP(REGEXEXTRACT($L58,""^[^｜]+""),sk_mst!$A:$A,sk_mst!$M:$M),999),
   IFERROR(XLOOKUP(REGEXEXTRACT($L58,""^[^｜]+""),sk_mst!$A:$A,sk_mst!$K:$K),1),
   1
  )
 )
)"),4550.0)</f>
        <v>4550</v>
      </c>
      <c r="U58" s="25">
        <f>IFERROR(__xludf.DUMMYFUNCTION("IF($A58="""","""",
 IF($F58=""market"",
  IFERROR(XLOOKUP(REGEXEXTRACT($J58,""^[^｜]+""),tr_mst!$A:$A,tr_mst!$J:$J),0)
  +IFERROR(XLOOKUP(REGEXEXTRACT($K58,""^[^｜]+""),tc_mst!$A:$A,tc_mst!$J:$J),0),
  IF($B58=0,
   IFERROR(XLOOKUP(REGEXEXTRACT($I58,""^[^｜]"&amp;"+""),ms_mst!$A:$A,ms_mst!$J:$J),0),
   IFERROR(XLOOKUP(""T""&amp;($B58-1)&amp;""_""&amp;$D58,$A:$A,$U:$U),0)
  )
  +IFERROR(XLOOKUP(REGEXEXTRACT($J58,""^[^｜]+""),tr_mst!$A:$A,tr_mst!$J:$J),0)
  +IFERROR(XLOOKUP(REGEXEXTRACT($K58,""^[^｜]+""),tc_mst!$A:$A,tc_mst!$J:$J)"&amp;",0)
  +
  (
   IFERROR(XLOOKUP(REGEXEXTRACT($M58,""^[^｜]+""),ac_mst!$A:$A,ac_mst!$M:$M),0)
   +IFERROR(XLOOKUP(REGEXEXTRACT($N58,""^[^｜]+""),ac_mst!$A:$A,ac_mst!$M:$M),0)
   +IFERROR(
    XLOOKUP(
     IF(
      OR(
       IFERROR(REGEXEXTRACT($M58,""^[^｜"&amp;"]+""),"""")="""",
       IFERROR(REGEXEXTRACT($N58,""^[^｜]+""),"""")=""""
      ),
      """",
      IF(
       IFERROR(REGEXEXTRACT($M58,""^[^｜]+""),"""")&lt;IFERROR(REGEXEXTRACT($N58,""^[^｜]+""),""""),
       IFERROR(REGEXEXTRACT($M58,""^[^｜]+""),"""")&amp;""_"&amp;"""&amp;IFERROR(REGEXEXTRACT($N58,""^[^｜]+""),""""),
       IFERROR(REGEXEXTRACT($N58,""^[^｜]+""),"""")&amp;""_""&amp;IFERROR(REGEXEXTRACT($M58,""^[^｜]+""),"""")
      )
     ),
     sy_mst!$A:$A,
     sy_mst!$J:$J
    ),
    0
   )
  )
  *
  IFERROR(XLOOKUP(REGEXEXTR"&amp;"ACT($I58,""^[^｜]+""),ms_mst!$A:$A,ms_mst!$R:$R),1)
  *
  IF(
   $B58&gt;=IFERROR(XLOOKUP(REGEXEXTRACT($L58,""^[^｜]+""),sk_mst!$A:$A,sk_mst!$M:$M),999),
   IFERROR(XLOOKUP(REGEXEXTRACT($L58,""^[^｜]+""),sk_mst!$A:$A,sk_mst!$L:$L),1),
   1
  )
 )
)"),65.0)</f>
        <v>65</v>
      </c>
      <c r="V58" s="25">
        <f t="shared" si="1"/>
        <v>1120738</v>
      </c>
      <c r="W58" s="25">
        <f t="shared" si="2"/>
        <v>308425</v>
      </c>
      <c r="X58" s="25">
        <f t="shared" si="3"/>
        <v>812313</v>
      </c>
      <c r="Y58" s="25">
        <f t="shared" si="4"/>
        <v>3.63</v>
      </c>
      <c r="Z58" s="25">
        <f>IFERROR(__xludf.DUMMYFUNCTION("IF($A58="""","""",
 IF($F58&lt;&gt;""player"","""",
  IFERROR(
   RANK(
    $X58,
    FILTER($X:$X,$B:$B=$B58,$F:$F=""player"",$X:$X&lt;&gt;""""),
    0
   ),
   """"
  )
 )
)"),5.0)</f>
        <v>5</v>
      </c>
      <c r="AA58" s="25" t="str">
        <f t="shared" si="5"/>
        <v>5位</v>
      </c>
      <c r="AB58" s="26">
        <f t="shared" si="6"/>
        <v>6.224798548</v>
      </c>
    </row>
    <row r="59">
      <c r="A59" s="25" t="s">
        <v>232</v>
      </c>
      <c r="B59" s="14">
        <v>4.0</v>
      </c>
      <c r="C59" s="14" t="s">
        <v>165</v>
      </c>
      <c r="D59" s="14" t="s">
        <v>166</v>
      </c>
      <c r="E59" s="25" t="s">
        <v>153</v>
      </c>
      <c r="F59" s="25" t="s">
        <v>154</v>
      </c>
      <c r="I59" s="25" t="str">
        <f>IFERROR(__xludf.DUMMYFUNCTION("IF($F59&lt;&gt;""player"","""",IFERROR(INDEX(FILTER(group_setup!$D$2:$D947,group_setup!$B$2:$B947=$C59,group_setup!$G$2:$G947=TRUE,group_setup!$H$2:$H947=""completed""),1),""""))"),"M10")</f>
        <v>M10</v>
      </c>
      <c r="J59" s="25" t="str">
        <f>IFERROR(__xludf.DUMMYFUNCTION("IFERROR(FILTER(market_event_log!$D$2:$D947,market_event_log!$C$2:$C947=$B59,market_event_log!$N$2:$N947=""active""),"""")"),"T03")</f>
        <v>T03</v>
      </c>
      <c r="K59" s="25" t="str">
        <f>IFERROR(__xludf.DUMMYFUNCTION("IFERROR(FILTER(market_event_log!$G$2:$G947,market_event_log!$C$2:$C947=$B59,market_event_log!$N$2:$N947=""active""),"""")"),"C04")</f>
        <v>C04</v>
      </c>
      <c r="L59" s="25" t="str">
        <f>IFERROR(__xludf.DUMMYFUNCTION("IF($F59&lt;&gt;""player"","""",IFERROR(INDEX(FILTER(group_setup!$E$2:$E947,group_setup!$B$2:$B947=$C59,group_setup!$G$2:$G947=TRUE,group_setup!$H$2:$H947=""completed""),1),""""))"),"S06")</f>
        <v>S06</v>
      </c>
      <c r="M59" s="25" t="str">
        <f>IFERROR(__xludf.DUMMYFUNCTION("IF($F59=""market"","""",IF($E59=""HUMAN"",IFERROR(FILTER(turn_log!$G$2:$G947,turn_log!$C$2:$C947=$B59,turn_log!$D$2:$D947=$C59,turn_log!$F$2:$F947=$E59),""""),IFERROR(FILTER(turn_log!$I$2:$I947,turn_log!$C$2:$C947=$B59,turn_log!$D$2:$D947=$C59,turn_log!$F"&amp;"$2:$F947=$E59),"""")))"),"A21")</f>
        <v>A21</v>
      </c>
      <c r="N59" s="25" t="str">
        <f>IFERROR(__xludf.DUMMYFUNCTION("IF($F59=""market"","""",IF($E59=""HUMAN"",IFERROR(FILTER(turn_log!$H$2:$H947,turn_log!$C$2:$C947=$B59,turn_log!$D$2:$D947=$C59,turn_log!$F$2:$F947=$E59),""""),IFERROR(FILTER(turn_log!$J$2:$J947,turn_log!$C$2:$C947=$B59,turn_log!$D$2:$D947=$C59,turn_log!$F"&amp;"$2:$F947=$E59),"""")))"),"A10")</f>
        <v>A10</v>
      </c>
      <c r="O59" s="25">
        <f>IFERROR(__xludf.DUMMYFUNCTION("IF($A59="""","""",
 IF($F59=""market"",
  IFERROR(XLOOKUP(REGEXEXTRACT($J59,""^[^｜]+""),tr_mst!$A:$A,tr_mst!$D:$D),0)
  +IFERROR(XLOOKUP(REGEXEXTRACT($K59,""^[^｜]+""),tc_mst!$A:$A,tc_mst!$D:$D),0),
  IF($B59=0,
   IFERROR(XLOOKUP(REGEXEXTRACT($I59,""^[^｜]"&amp;"+""),ms_mst!$A:$A,ms_mst!$D:$D),0),
   IFERROR(XLOOKUP(""T""&amp;($B59-1)&amp;""_""&amp;$D59,$A:$A,$O:$O),0)
  )
  +IFERROR(XLOOKUP(REGEXEXTRACT($J59,""^[^｜]+""),tr_mst!$A:$A,tr_mst!$D:$D),0)
  +IFERROR(XLOOKUP(REGEXEXTRACT($K59,""^[^｜]+""),tc_mst!$A:$A,tc_mst!$D:$D)"&amp;",0)
  +
  (
   IFERROR(XLOOKUP(REGEXEXTRACT($M59,""^[^｜]+""),ac_mst!$A:$A,ac_mst!$G:$G),0)
   +IFERROR(XLOOKUP(REGEXEXTRACT($N59,""^[^｜]+""),ac_mst!$A:$A,ac_mst!$G:$G),0)
   +IFERROR(
    XLOOKUP(
     IF(
      OR(
       IFERROR(REGEXEXTRACT($M59,""^[^｜"&amp;"]+""),"""")="""",
       IFERROR(REGEXEXTRACT($N59,""^[^｜]+""),"""")=""""
      ),
      """",
      IF(
       IFERROR(REGEXEXTRACT($M59,""^[^｜]+""),"""")&lt;IFERROR(REGEXEXTRACT($N59,""^[^｜]+""),""""),
       IFERROR(REGEXEXTRACT($M59,""^[^｜]+""),"""")&amp;""_"&amp;"""&amp;IFERROR(REGEXEXTRACT($N59,""^[^｜]+""),""""),
       IFERROR(REGEXEXTRACT($N59,""^[^｜]+""),"""")&amp;""_""&amp;IFERROR(REGEXEXTRACT($M59,""^[^｜]+""),"""")
      )
     ),
     sy_mst!$A:$A,
     sy_mst!$D:$D
    ),
    0
   )
  )
  *
  IFERROR(XLOOKUP(REGEXEXTR"&amp;"ACT($I59,""^[^｜]+""),ms_mst!$A:$A,ms_mst!$L:$L),1)
  *
  IF(
   $B59&gt;=IFERROR(XLOOKUP(REGEXEXTRACT($L59,""^[^｜]+""),sk_mst!$A:$A,sk_mst!$M:$M),999),
   IFERROR(XLOOKUP(REGEXEXTRACT($L59,""^[^｜]+""),sk_mst!$A:$A,sk_mst!$F:$F),1),
   1
  )
 )
)"),11100.0)</f>
        <v>11100</v>
      </c>
      <c r="P59" s="25">
        <f>IFERROR(__xludf.DUMMYFUNCTION("IF($A59="""","""",
 IF($F59=""market"",
  IFERROR(XLOOKUP(REGEXEXTRACT($J59,""^[^｜]+""),tr_mst!$A:$A,tr_mst!$E:$E),0)
  +IFERROR(XLOOKUP(REGEXEXTRACT($K59,""^[^｜]+""),tc_mst!$A:$A,tc_mst!$E:$E),0),
  IF($B59=0,
   IFERROR(XLOOKUP(REGEXEXTRACT($I59,""^[^｜]"&amp;"+""),ms_mst!$A:$A,ms_mst!$E:$E),0),
   IFERROR(XLOOKUP(""T""&amp;($B59-1)&amp;""_""&amp;$D59,$A:$A,$P:$P),0)
  )
  +IFERROR(XLOOKUP(REGEXEXTRACT($J59,""^[^｜]+""),tr_mst!$A:$A,tr_mst!$E:$E),0)
  +IFERROR(XLOOKUP(REGEXEXTRACT($K59,""^[^｜]+""),tc_mst!$A:$A,tc_mst!$E:$E)"&amp;",0)
  +
  (
   IFERROR(XLOOKUP(REGEXEXTRACT($M59,""^[^｜]+""),ac_mst!$A:$A,ac_mst!$H:$H),0)
   +IFERROR(XLOOKUP(REGEXEXTRACT($N59,""^[^｜]+""),ac_mst!$A:$A,ac_mst!$H:$H),0)
   +IFERROR(
    XLOOKUP(
     IF(
      OR(
       IFERROR(REGEXEXTRACT($M59,""^[^｜"&amp;"]+""),"""")="""",
       IFERROR(REGEXEXTRACT($N59,""^[^｜]+""),"""")=""""
      ),
      """",
      IF(
       IFERROR(REGEXEXTRACT($M59,""^[^｜]+""),"""")&lt;IFERROR(REGEXEXTRACT($N59,""^[^｜]+""),""""),
       IFERROR(REGEXEXTRACT($M59,""^[^｜]+""),"""")&amp;""_"&amp;"""&amp;IFERROR(REGEXEXTRACT($N59,""^[^｜]+""),""""),
       IFERROR(REGEXEXTRACT($N59,""^[^｜]+""),"""")&amp;""_""&amp;IFERROR(REGEXEXTRACT($M59,""^[^｜]+""),"""")
      )
     ),
     sy_mst!$A:$A,
     sy_mst!$E:$E
    ),
    0
   )
  )
  *
  IFERROR(XLOOKUP(REGEXEXTR"&amp;"ACT($I59,""^[^｜]+""),ms_mst!$A:$A,ms_mst!$M:$M),1)
  *
  IF(
   $B59&gt;=IFERROR(XLOOKUP(REGEXEXTRACT($L59,""^[^｜]+""),sk_mst!$A:$A,sk_mst!$M:$M),999),
   IFERROR(XLOOKUP(REGEXEXTRACT($L59,""^[^｜]+""),sk_mst!$A:$A,sk_mst!$G:$G),1),
   1
  )
 )
)"),4495.0)</f>
        <v>4495</v>
      </c>
      <c r="Q59" s="25">
        <f>IFERROR(__xludf.DUMMYFUNCTION("IF($A59="""","""",
 IF($F59=""market"",
  IFERROR(XLOOKUP(REGEXEXTRACT($J59,""^[^｜]+""),tr_mst!$A:$A,tr_mst!$F:$F),0)
  +IFERROR(XLOOKUP(REGEXEXTRACT($K59,""^[^｜]+""),tc_mst!$A:$A,tc_mst!$F:$F),0),
  IF($B59=0,
   IFERROR(XLOOKUP(REGEXEXTRACT($I59,""^[^｜]"&amp;"+""),ms_mst!$A:$A,ms_mst!$F:$F),0),
   IFERROR(XLOOKUP(""T""&amp;($B59-1)&amp;""_""&amp;$D59,$A:$A,$Q:$Q),0)
  )
  +IFERROR(XLOOKUP(REGEXEXTRACT($J59,""^[^｜]+""),tr_mst!$A:$A,tr_mst!$F:$F),0)
  +IFERROR(XLOOKUP(REGEXEXTRACT($K59,""^[^｜]+""),tc_mst!$A:$A,tc_mst!$F:$F)"&amp;",0)
  +
  (
   IFERROR(XLOOKUP(REGEXEXTRACT($M59,""^[^｜]+""),ac_mst!$A:$A,ac_mst!$I:$I),0)
   +IFERROR(XLOOKUP(REGEXEXTRACT($N59,""^[^｜]+""),ac_mst!$A:$A,ac_mst!$I:$I),0)
   +IFERROR(
    XLOOKUP(
     IF(
      OR(
       IFERROR(REGEXEXTRACT($M59,""^[^｜"&amp;"]+""),"""")="""",
       IFERROR(REGEXEXTRACT($N59,""^[^｜]+""),"""")=""""
      ),
      """",
      IF(
       IFERROR(REGEXEXTRACT($M59,""^[^｜]+""),"""")&lt;IFERROR(REGEXEXTRACT($N59,""^[^｜]+""),""""),
       IFERROR(REGEXEXTRACT($M59,""^[^｜]+""),"""")&amp;""_"&amp;"""&amp;IFERROR(REGEXEXTRACT($N59,""^[^｜]+""),""""),
       IFERROR(REGEXEXTRACT($N59,""^[^｜]+""),"""")&amp;""_""&amp;IFERROR(REGEXEXTRACT($M59,""^[^｜]+""),"""")
      )
     ),
     sy_mst!$A:$A,
     sy_mst!$F:$F
    ),
    0
   )
  )
  *
  IFERROR(XLOOKUP(REGEXEXTR"&amp;"ACT($I59,""^[^｜]+""),ms_mst!$A:$A,ms_mst!$N:$N),1)
  *
  IF(
   $B59&gt;=IFERROR(XLOOKUP(REGEXEXTRACT($L59,""^[^｜]+""),sk_mst!$A:$A,sk_mst!$M:$M),999),
   IFERROR(XLOOKUP(REGEXEXTRACT($L59,""^[^｜]+""),sk_mst!$A:$A,sk_mst!$H:$H),1),
   1
  )
 )
)"),0.5299999999999999)</f>
        <v>0.53</v>
      </c>
      <c r="R59" s="25">
        <f>IFERROR(__xludf.DUMMYFUNCTION("IF($A59="""","""",
 IF($F59=""market"",
  IFERROR(XLOOKUP(REGEXEXTRACT($J59,""^[^｜]+""),tr_mst!$A:$A,tr_mst!$G:$G),0)
  +IFERROR(XLOOKUP(REGEXEXTRACT($K59,""^[^｜]+""),tc_mst!$A:$A,tc_mst!$G:$G),0),
  IF($B59=0,
   IFERROR(XLOOKUP(REGEXEXTRACT($I59,""^[^｜]"&amp;"+""),ms_mst!$A:$A,ms_mst!$G:$G),0),
   IFERROR(XLOOKUP(""T""&amp;($B59-1)&amp;""_""&amp;$D59,$A:$A,$R:$R),0)
  )
  +IFERROR(XLOOKUP(REGEXEXTRACT($J59,""^[^｜]+""),tr_mst!$A:$A,tr_mst!$G:$G),0)
  +IFERROR(XLOOKUP(REGEXEXTRACT($K59,""^[^｜]+""),tc_mst!$A:$A,tc_mst!$G:$G)"&amp;",0)
  +
  (
   IFERROR(XLOOKUP(REGEXEXTRACT($M59,""^[^｜]+""),ac_mst!$A:$A,ac_mst!$J:$J),0)
   +IFERROR(XLOOKUP(REGEXEXTRACT($N59,""^[^｜]+""),ac_mst!$A:$A,ac_mst!$J:$J),0)
   +IFERROR(
    XLOOKUP(
     IF(
      OR(
       IFERROR(REGEXEXTRACT($M59,""^[^｜"&amp;"]+""),"""")="""",
       IFERROR(REGEXEXTRACT($N59,""^[^｜]+""),"""")=""""
      ),
      """",
      IF(
       IFERROR(REGEXEXTRACT($M59,""^[^｜]+""),"""")&lt;IFERROR(REGEXEXTRACT($N59,""^[^｜]+""),""""),
       IFERROR(REGEXEXTRACT($M59,""^[^｜]+""),"""")&amp;""_"&amp;"""&amp;IFERROR(REGEXEXTRACT($N59,""^[^｜]+""),""""),
       IFERROR(REGEXEXTRACT($N59,""^[^｜]+""),"""")&amp;""_""&amp;IFERROR(REGEXEXTRACT($M59,""^[^｜]+""),"""")
      )
     ),
     sy_mst!$A:$A,
     sy_mst!$G:$G
    ),
    0
   )
  )
  *
  IFERROR(XLOOKUP(REGEXEXTR"&amp;"ACT($I59,""^[^｜]+""),ms_mst!$A:$A,ms_mst!$O:$O),1)
  *
  IF(
   $B59&gt;=IFERROR(XLOOKUP(REGEXEXTRACT($L59,""^[^｜]+""),sk_mst!$A:$A,sk_mst!$M:$M),999),
   IFERROR(XLOOKUP(REGEXEXTRACT($L59,""^[^｜]+""),sk_mst!$A:$A,sk_mst!$I:$I),1),
   1
  )
 )
)"),1.4749999999999999)</f>
        <v>1.475</v>
      </c>
      <c r="S59" s="25">
        <f>IFERROR(__xludf.DUMMYFUNCTION("IF($A59="""","""",
 IF($F59=""market"",
  IFERROR(XLOOKUP(REGEXEXTRACT($J59,""^[^｜]+""),tr_mst!$A:$A,tr_mst!$H:$H),0)
  +IFERROR(XLOOKUP(REGEXEXTRACT($K59,""^[^｜]+""),tc_mst!$A:$A,tc_mst!$H:$H),0),
  IF($B59=0,
   IFERROR(XLOOKUP(REGEXEXTRACT($I59,""^[^｜]"&amp;"+""),ms_mst!$A:$A,ms_mst!$H:$H),0),
   IFERROR(XLOOKUP(""T""&amp;($B59-1)&amp;""_""&amp;$D59,$A:$A,$S:$S),0)
  )
  +IFERROR(XLOOKUP(REGEXEXTRACT($J59,""^[^｜]+""),tr_mst!$A:$A,tr_mst!$H:$H),0)
  +IFERROR(XLOOKUP(REGEXEXTRACT($K59,""^[^｜]+""),tc_mst!$A:$A,tc_mst!$H:$H)"&amp;",0)
  +
  (
   IFERROR(XLOOKUP(REGEXEXTRACT($M59,""^[^｜]+""),ac_mst!$A:$A,ac_mst!$K:$K),0)
   +IFERROR(XLOOKUP(REGEXEXTRACT($N59,""^[^｜]+""),ac_mst!$A:$A,ac_mst!$K:$K),0)
   +IFERROR(
    XLOOKUP(
     IF(
      OR(
       IFERROR(REGEXEXTRACT($M59,""^[^｜"&amp;"]+""),"""")="""",
       IFERROR(REGEXEXTRACT($N59,""^[^｜]+""),"""")=""""
      ),
      """",
      IF(
       IFERROR(REGEXEXTRACT($M59,""^[^｜]+""),"""")&lt;IFERROR(REGEXEXTRACT($N59,""^[^｜]+""),""""),
       IFERROR(REGEXEXTRACT($M59,""^[^｜]+""),"""")&amp;""_"&amp;"""&amp;IFERROR(REGEXEXTRACT($N59,""^[^｜]+""),""""),
       IFERROR(REGEXEXTRACT($N59,""^[^｜]+""),"""")&amp;""_""&amp;IFERROR(REGEXEXTRACT($M59,""^[^｜]+""),"""")
      )
     ),
     sy_mst!$A:$A,
     sy_mst!$H:$H
    ),
    0
   )
  )
  *
  IFERROR(XLOOKUP(REGEXEXTR"&amp;"ACT($I59,""^[^｜]+""),ms_mst!$A:$A,ms_mst!$P:$P),1)
  *
  IF(
   $B59&gt;=IFERROR(XLOOKUP(REGEXEXTRACT($L59,""^[^｜]+""),sk_mst!$A:$A,sk_mst!$M:$M),999),
   IFERROR(XLOOKUP(REGEXEXTRACT($L59,""^[^｜]+""),sk_mst!$A:$A,sk_mst!$J:$J),1),
   1
  )
 )
)"),0.015300000000000001)</f>
        <v>0.0153</v>
      </c>
      <c r="T59" s="25">
        <f>IFERROR(__xludf.DUMMYFUNCTION("IF($A59="""","""",
 IF($F59=""market"",
  IFERROR(XLOOKUP(REGEXEXTRACT($J59,""^[^｜]+""),tr_mst!$A:$A,tr_mst!$I:$I),0)
  +IFERROR(XLOOKUP(REGEXEXTRACT($K59,""^[^｜]+""),tc_mst!$A:$A,tc_mst!$I:$I),0),
  IF($B59=0,
   IFERROR(XLOOKUP(REGEXEXTRACT($I59,""^[^｜]"&amp;"+""),ms_mst!$A:$A,ms_mst!$I:$I),0),
   IFERROR(XLOOKUP(""T""&amp;($B59-1)&amp;""_""&amp;$D59,$A:$A,$T:$T),0)
  )
  +IFERROR(XLOOKUP(REGEXEXTRACT($J59,""^[^｜]+""),tr_mst!$A:$A,tr_mst!$I:$I),0)
  +IFERROR(XLOOKUP(REGEXEXTRACT($K59,""^[^｜]+""),tc_mst!$A:$A,tc_mst!$I:$I)"&amp;",0)
  +
  (
   IFERROR(XLOOKUP(REGEXEXTRACT($M59,""^[^｜]+""),ac_mst!$A:$A,ac_mst!$L:$L),0)
   +IFERROR(XLOOKUP(REGEXEXTRACT($N59,""^[^｜]+""),ac_mst!$A:$A,ac_mst!$L:$L),0)
   +IFERROR(
    XLOOKUP(
     IF(
      OR(
       IFERROR(REGEXEXTRACT($M59,""^[^｜"&amp;"]+""),"""")="""",
       IFERROR(REGEXEXTRACT($N59,""^[^｜]+""),"""")=""""
      ),
      """",
      IF(
       IFERROR(REGEXEXTRACT($M59,""^[^｜]+""),"""")&lt;IFERROR(REGEXEXTRACT($N59,""^[^｜]+""),""""),
       IFERROR(REGEXEXTRACT($M59,""^[^｜]+""),"""")&amp;""_"&amp;"""&amp;IFERROR(REGEXEXTRACT($N59,""^[^｜]+""),""""),
       IFERROR(REGEXEXTRACT($N59,""^[^｜]+""),"""")&amp;""_""&amp;IFERROR(REGEXEXTRACT($M59,""^[^｜]+""),"""")
      )
     ),
     sy_mst!$A:$A,
     sy_mst!$I:$I
    ),
    0
   )
  )
  *
  IFERROR(XLOOKUP(REGEXEXTR"&amp;"ACT($I59,""^[^｜]+""),ms_mst!$A:$A,ms_mst!$Q:$Q),1)
  *
  IF(
   $B59&gt;=IFERROR(XLOOKUP(REGEXEXTRACT($L59,""^[^｜]+""),sk_mst!$A:$A,sk_mst!$M:$M),999),
   IFERROR(XLOOKUP(REGEXEXTRACT($L59,""^[^｜]+""),sk_mst!$A:$A,sk_mst!$K:$K),1),
   1
  )
 )
)"),4000.0)</f>
        <v>4000</v>
      </c>
      <c r="U59" s="25">
        <f>IFERROR(__xludf.DUMMYFUNCTION("IF($A59="""","""",
 IF($F59=""market"",
  IFERROR(XLOOKUP(REGEXEXTRACT($J59,""^[^｜]+""),tr_mst!$A:$A,tr_mst!$J:$J),0)
  +IFERROR(XLOOKUP(REGEXEXTRACT($K59,""^[^｜]+""),tc_mst!$A:$A,tc_mst!$J:$J),0),
  IF($B59=0,
   IFERROR(XLOOKUP(REGEXEXTRACT($I59,""^[^｜]"&amp;"+""),ms_mst!$A:$A,ms_mst!$J:$J),0),
   IFERROR(XLOOKUP(""T""&amp;($B59-1)&amp;""_""&amp;$D59,$A:$A,$U:$U),0)
  )
  +IFERROR(XLOOKUP(REGEXEXTRACT($J59,""^[^｜]+""),tr_mst!$A:$A,tr_mst!$J:$J),0)
  +IFERROR(XLOOKUP(REGEXEXTRACT($K59,""^[^｜]+""),tc_mst!$A:$A,tc_mst!$J:$J)"&amp;",0)
  +
  (
   IFERROR(XLOOKUP(REGEXEXTRACT($M59,""^[^｜]+""),ac_mst!$A:$A,ac_mst!$M:$M),0)
   +IFERROR(XLOOKUP(REGEXEXTRACT($N59,""^[^｜]+""),ac_mst!$A:$A,ac_mst!$M:$M),0)
   +IFERROR(
    XLOOKUP(
     IF(
      OR(
       IFERROR(REGEXEXTRACT($M59,""^[^｜"&amp;"]+""),"""")="""",
       IFERROR(REGEXEXTRACT($N59,""^[^｜]+""),"""")=""""
      ),
      """",
      IF(
       IFERROR(REGEXEXTRACT($M59,""^[^｜]+""),"""")&lt;IFERROR(REGEXEXTRACT($N59,""^[^｜]+""),""""),
       IFERROR(REGEXEXTRACT($M59,""^[^｜]+""),"""")&amp;""_"&amp;"""&amp;IFERROR(REGEXEXTRACT($N59,""^[^｜]+""),""""),
       IFERROR(REGEXEXTRACT($N59,""^[^｜]+""),"""")&amp;""_""&amp;IFERROR(REGEXEXTRACT($M59,""^[^｜]+""),"""")
      )
     ),
     sy_mst!$A:$A,
     sy_mst!$J:$J
    ),
    0
   )
  )
  *
  IFERROR(XLOOKUP(REGEXEXTR"&amp;"ACT($I59,""^[^｜]+""),ms_mst!$A:$A,ms_mst!$R:$R),1)
  *
  IF(
   $B59&gt;=IFERROR(XLOOKUP(REGEXEXTRACT($L59,""^[^｜]+""),sk_mst!$A:$A,sk_mst!$M:$M),999),
   IFERROR(XLOOKUP(REGEXEXTRACT($L59,""^[^｜]+""),sk_mst!$A:$A,sk_mst!$L:$L),1),
   1
  )
 )
)"),62.32000000000001)</f>
        <v>62.32</v>
      </c>
      <c r="V59" s="25">
        <f t="shared" si="1"/>
        <v>661648</v>
      </c>
      <c r="W59" s="25">
        <f t="shared" si="2"/>
        <v>280128</v>
      </c>
      <c r="X59" s="25">
        <f t="shared" si="3"/>
        <v>381520</v>
      </c>
      <c r="Y59" s="25">
        <f t="shared" si="4"/>
        <v>2.36</v>
      </c>
      <c r="Z59" s="25">
        <f>IFERROR(__xludf.DUMMYFUNCTION("IF($A59="""","""",
 IF($F59&lt;&gt;""player"","""",
  IFERROR(
   RANK(
    $X59,
    FILTER($X:$X,$B:$B=$B59,$F:$F=""player"",$X:$X&lt;&gt;""""),
    0
   ),
   """"
  )
 )
)"),7.0)</f>
        <v>7</v>
      </c>
      <c r="AA59" s="25" t="str">
        <f t="shared" si="5"/>
        <v>7位</v>
      </c>
      <c r="AB59" s="26">
        <f t="shared" si="6"/>
        <v>11.6036687</v>
      </c>
    </row>
    <row r="60">
      <c r="A60" s="25" t="s">
        <v>233</v>
      </c>
      <c r="B60" s="14">
        <v>4.0</v>
      </c>
      <c r="C60" s="14" t="s">
        <v>168</v>
      </c>
      <c r="D60" s="14" t="s">
        <v>169</v>
      </c>
      <c r="E60" s="25" t="s">
        <v>153</v>
      </c>
      <c r="F60" s="25" t="s">
        <v>154</v>
      </c>
      <c r="I60" s="25" t="str">
        <f>IFERROR(__xludf.DUMMYFUNCTION("IF($F60&lt;&gt;""player"","""",IFERROR(INDEX(FILTER(group_setup!$D$2:$D947,group_setup!$B$2:$B947=$C60,group_setup!$G$2:$G947=TRUE,group_setup!$H$2:$H947=""completed""),1),""""))"),"M02")</f>
        <v>M02</v>
      </c>
      <c r="J60" s="25" t="str">
        <f>IFERROR(__xludf.DUMMYFUNCTION("IFERROR(FILTER(market_event_log!$D$2:$D947,market_event_log!$C$2:$C947=$B60,market_event_log!$N$2:$N947=""active""),"""")"),"T03")</f>
        <v>T03</v>
      </c>
      <c r="K60" s="25" t="str">
        <f>IFERROR(__xludf.DUMMYFUNCTION("IFERROR(FILTER(market_event_log!$G$2:$G947,market_event_log!$C$2:$C947=$B60,market_event_log!$N$2:$N947=""active""),"""")"),"C04")</f>
        <v>C04</v>
      </c>
      <c r="L60" s="25" t="str">
        <f>IFERROR(__xludf.DUMMYFUNCTION("IF($F60&lt;&gt;""player"","""",IFERROR(INDEX(FILTER(group_setup!$E$2:$E947,group_setup!$B$2:$B947=$C60,group_setup!$G$2:$G947=TRUE,group_setup!$H$2:$H947=""completed""),1),""""))"),"S03")</f>
        <v>S03</v>
      </c>
      <c r="M60" s="25" t="str">
        <f>IFERROR(__xludf.DUMMYFUNCTION("IF($F60=""market"","""",IF($E60=""HUMAN"",IFERROR(FILTER(turn_log!$G$2:$G947,turn_log!$C$2:$C947=$B60,turn_log!$D$2:$D947=$C60,turn_log!$F$2:$F947=$E60),""""),IFERROR(FILTER(turn_log!$I$2:$I947,turn_log!$C$2:$C947=$B60,turn_log!$D$2:$D947=$C60,turn_log!$F"&amp;"$2:$F947=$E60),"""")))"),"A05")</f>
        <v>A05</v>
      </c>
      <c r="N60" s="25" t="str">
        <f>IFERROR(__xludf.DUMMYFUNCTION("IF($F60=""market"","""",IF($E60=""HUMAN"",IFERROR(FILTER(turn_log!$H$2:$H947,turn_log!$C$2:$C947=$B60,turn_log!$D$2:$D947=$C60,turn_log!$F$2:$F947=$E60),""""),IFERROR(FILTER(turn_log!$J$2:$J947,turn_log!$C$2:$C947=$B60,turn_log!$D$2:$D947=$C60,turn_log!$F"&amp;"$2:$F947=$E60),"""")))"),"A07")</f>
        <v>A07</v>
      </c>
      <c r="O60" s="25">
        <f>IFERROR(__xludf.DUMMYFUNCTION("IF($A60="""","""",
 IF($F60=""market"",
  IFERROR(XLOOKUP(REGEXEXTRACT($J60,""^[^｜]+""),tr_mst!$A:$A,tr_mst!$D:$D),0)
  +IFERROR(XLOOKUP(REGEXEXTRACT($K60,""^[^｜]+""),tc_mst!$A:$A,tc_mst!$D:$D),0),
  IF($B60=0,
   IFERROR(XLOOKUP(REGEXEXTRACT($I60,""^[^｜]"&amp;"+""),ms_mst!$A:$A,ms_mst!$D:$D),0),
   IFERROR(XLOOKUP(""T""&amp;($B60-1)&amp;""_""&amp;$D60,$A:$A,$O:$O),0)
  )
  +IFERROR(XLOOKUP(REGEXEXTRACT($J60,""^[^｜]+""),tr_mst!$A:$A,tr_mst!$D:$D),0)
  +IFERROR(XLOOKUP(REGEXEXTRACT($K60,""^[^｜]+""),tc_mst!$A:$A,tc_mst!$D:$D)"&amp;",0)
  +
  (
   IFERROR(XLOOKUP(REGEXEXTRACT($M60,""^[^｜]+""),ac_mst!$A:$A,ac_mst!$G:$G),0)
   +IFERROR(XLOOKUP(REGEXEXTRACT($N60,""^[^｜]+""),ac_mst!$A:$A,ac_mst!$G:$G),0)
   +IFERROR(
    XLOOKUP(
     IF(
      OR(
       IFERROR(REGEXEXTRACT($M60,""^[^｜"&amp;"]+""),"""")="""",
       IFERROR(REGEXEXTRACT($N60,""^[^｜]+""),"""")=""""
      ),
      """",
      IF(
       IFERROR(REGEXEXTRACT($M60,""^[^｜]+""),"""")&lt;IFERROR(REGEXEXTRACT($N60,""^[^｜]+""),""""),
       IFERROR(REGEXEXTRACT($M60,""^[^｜]+""),"""")&amp;""_"&amp;"""&amp;IFERROR(REGEXEXTRACT($N60,""^[^｜]+""),""""),
       IFERROR(REGEXEXTRACT($N60,""^[^｜]+""),"""")&amp;""_""&amp;IFERROR(REGEXEXTRACT($M60,""^[^｜]+""),"""")
      )
     ),
     sy_mst!$A:$A,
     sy_mst!$D:$D
    ),
    0
   )
  )
  *
  IFERROR(XLOOKUP(REGEXEXTR"&amp;"ACT($I60,""^[^｜]+""),ms_mst!$A:$A,ms_mst!$L:$L),1)
  *
  IF(
   $B60&gt;=IFERROR(XLOOKUP(REGEXEXTRACT($L60,""^[^｜]+""),sk_mst!$A:$A,sk_mst!$M:$M),999),
   IFERROR(XLOOKUP(REGEXEXTRACT($L60,""^[^｜]+""),sk_mst!$A:$A,sk_mst!$F:$F),1),
   1
  )
 )
)"),10100.0)</f>
        <v>10100</v>
      </c>
      <c r="P60" s="25">
        <f>IFERROR(__xludf.DUMMYFUNCTION("IF($A60="""","""",
 IF($F60=""market"",
  IFERROR(XLOOKUP(REGEXEXTRACT($J60,""^[^｜]+""),tr_mst!$A:$A,tr_mst!$E:$E),0)
  +IFERROR(XLOOKUP(REGEXEXTRACT($K60,""^[^｜]+""),tc_mst!$A:$A,tc_mst!$E:$E),0),
  IF($B60=0,
   IFERROR(XLOOKUP(REGEXEXTRACT($I60,""^[^｜]"&amp;"+""),ms_mst!$A:$A,ms_mst!$E:$E),0),
   IFERROR(XLOOKUP(""T""&amp;($B60-1)&amp;""_""&amp;$D60,$A:$A,$P:$P),0)
  )
  +IFERROR(XLOOKUP(REGEXEXTRACT($J60,""^[^｜]+""),tr_mst!$A:$A,tr_mst!$E:$E),0)
  +IFERROR(XLOOKUP(REGEXEXTRACT($K60,""^[^｜]+""),tc_mst!$A:$A,tc_mst!$E:$E)"&amp;",0)
  +
  (
   IFERROR(XLOOKUP(REGEXEXTRACT($M60,""^[^｜]+""),ac_mst!$A:$A,ac_mst!$H:$H),0)
   +IFERROR(XLOOKUP(REGEXEXTRACT($N60,""^[^｜]+""),ac_mst!$A:$A,ac_mst!$H:$H),0)
   +IFERROR(
    XLOOKUP(
     IF(
      OR(
       IFERROR(REGEXEXTRACT($M60,""^[^｜"&amp;"]+""),"""")="""",
       IFERROR(REGEXEXTRACT($N60,""^[^｜]+""),"""")=""""
      ),
      """",
      IF(
       IFERROR(REGEXEXTRACT($M60,""^[^｜]+""),"""")&lt;IFERROR(REGEXEXTRACT($N60,""^[^｜]+""),""""),
       IFERROR(REGEXEXTRACT($M60,""^[^｜]+""),"""")&amp;""_"&amp;"""&amp;IFERROR(REGEXEXTRACT($N60,""^[^｜]+""),""""),
       IFERROR(REGEXEXTRACT($N60,""^[^｜]+""),"""")&amp;""_""&amp;IFERROR(REGEXEXTRACT($M60,""^[^｜]+""),"""")
      )
     ),
     sy_mst!$A:$A,
     sy_mst!$E:$E
    ),
    0
   )
  )
  *
  IFERROR(XLOOKUP(REGEXEXTR"&amp;"ACT($I60,""^[^｜]+""),ms_mst!$A:$A,ms_mst!$M:$M),1)
  *
  IF(
   $B60&gt;=IFERROR(XLOOKUP(REGEXEXTRACT($L60,""^[^｜]+""),sk_mst!$A:$A,sk_mst!$M:$M),999),
   IFERROR(XLOOKUP(REGEXEXTRACT($L60,""^[^｜]+""),sk_mst!$A:$A,sk_mst!$G:$G),1),
   1
  )
 )
)"),4305.0)</f>
        <v>4305</v>
      </c>
      <c r="Q60" s="25">
        <f>IFERROR(__xludf.DUMMYFUNCTION("IF($A60="""","""",
 IF($F60=""market"",
  IFERROR(XLOOKUP(REGEXEXTRACT($J60,""^[^｜]+""),tr_mst!$A:$A,tr_mst!$F:$F),0)
  +IFERROR(XLOOKUP(REGEXEXTRACT($K60,""^[^｜]+""),tc_mst!$A:$A,tc_mst!$F:$F),0),
  IF($B60=0,
   IFERROR(XLOOKUP(REGEXEXTRACT($I60,""^[^｜]"&amp;"+""),ms_mst!$A:$A,ms_mst!$F:$F),0),
   IFERROR(XLOOKUP(""T""&amp;($B60-1)&amp;""_""&amp;$D60,$A:$A,$Q:$Q),0)
  )
  +IFERROR(XLOOKUP(REGEXEXTRACT($J60,""^[^｜]+""),tr_mst!$A:$A,tr_mst!$F:$F),0)
  +IFERROR(XLOOKUP(REGEXEXTRACT($K60,""^[^｜]+""),tc_mst!$A:$A,tc_mst!$F:$F)"&amp;",0)
  +
  (
   IFERROR(XLOOKUP(REGEXEXTRACT($M60,""^[^｜]+""),ac_mst!$A:$A,ac_mst!$I:$I),0)
   +IFERROR(XLOOKUP(REGEXEXTRACT($N60,""^[^｜]+""),ac_mst!$A:$A,ac_mst!$I:$I),0)
   +IFERROR(
    XLOOKUP(
     IF(
      OR(
       IFERROR(REGEXEXTRACT($M60,""^[^｜"&amp;"]+""),"""")="""",
       IFERROR(REGEXEXTRACT($N60,""^[^｜]+""),"""")=""""
      ),
      """",
      IF(
       IFERROR(REGEXEXTRACT($M60,""^[^｜]+""),"""")&lt;IFERROR(REGEXEXTRACT($N60,""^[^｜]+""),""""),
       IFERROR(REGEXEXTRACT($M60,""^[^｜]+""),"""")&amp;""_"&amp;"""&amp;IFERROR(REGEXEXTRACT($N60,""^[^｜]+""),""""),
       IFERROR(REGEXEXTRACT($N60,""^[^｜]+""),"""")&amp;""_""&amp;IFERROR(REGEXEXTRACT($M60,""^[^｜]+""),"""")
      )
     ),
     sy_mst!$A:$A,
     sy_mst!$F:$F
    ),
    0
   )
  )
  *
  IFERROR(XLOOKUP(REGEXEXTR"&amp;"ACT($I60,""^[^｜]+""),ms_mst!$A:$A,ms_mst!$N:$N),1)
  *
  IF(
   $B60&gt;=IFERROR(XLOOKUP(REGEXEXTRACT($L60,""^[^｜]+""),sk_mst!$A:$A,sk_mst!$M:$M),999),
   IFERROR(XLOOKUP(REGEXEXTRACT($L60,""^[^｜]+""),sk_mst!$A:$A,sk_mst!$H:$H),1),
   1
  )
 )
)"),0.47)</f>
        <v>0.47</v>
      </c>
      <c r="R60" s="25">
        <f>IFERROR(__xludf.DUMMYFUNCTION("IF($A60="""","""",
 IF($F60=""market"",
  IFERROR(XLOOKUP(REGEXEXTRACT($J60,""^[^｜]+""),tr_mst!$A:$A,tr_mst!$G:$G),0)
  +IFERROR(XLOOKUP(REGEXEXTRACT($K60,""^[^｜]+""),tc_mst!$A:$A,tc_mst!$G:$G),0),
  IF($B60=0,
   IFERROR(XLOOKUP(REGEXEXTRACT($I60,""^[^｜]"&amp;"+""),ms_mst!$A:$A,ms_mst!$G:$G),0),
   IFERROR(XLOOKUP(""T""&amp;($B60-1)&amp;""_""&amp;$D60,$A:$A,$R:$R),0)
  )
  +IFERROR(XLOOKUP(REGEXEXTRACT($J60,""^[^｜]+""),tr_mst!$A:$A,tr_mst!$G:$G),0)
  +IFERROR(XLOOKUP(REGEXEXTRACT($K60,""^[^｜]+""),tc_mst!$A:$A,tc_mst!$G:$G)"&amp;",0)
  +
  (
   IFERROR(XLOOKUP(REGEXEXTRACT($M60,""^[^｜]+""),ac_mst!$A:$A,ac_mst!$J:$J),0)
   +IFERROR(XLOOKUP(REGEXEXTRACT($N60,""^[^｜]+""),ac_mst!$A:$A,ac_mst!$J:$J),0)
   +IFERROR(
    XLOOKUP(
     IF(
      OR(
       IFERROR(REGEXEXTRACT($M60,""^[^｜"&amp;"]+""),"""")="""",
       IFERROR(REGEXEXTRACT($N60,""^[^｜]+""),"""")=""""
      ),
      """",
      IF(
       IFERROR(REGEXEXTRACT($M60,""^[^｜]+""),"""")&lt;IFERROR(REGEXEXTRACT($N60,""^[^｜]+""),""""),
       IFERROR(REGEXEXTRACT($M60,""^[^｜]+""),"""")&amp;""_"&amp;"""&amp;IFERROR(REGEXEXTRACT($N60,""^[^｜]+""),""""),
       IFERROR(REGEXEXTRACT($N60,""^[^｜]+""),"""")&amp;""_""&amp;IFERROR(REGEXEXTRACT($M60,""^[^｜]+""),"""")
      )
     ),
     sy_mst!$A:$A,
     sy_mst!$G:$G
    ),
    0
   )
  )
  *
  IFERROR(XLOOKUP(REGEXEXTR"&amp;"ACT($I60,""^[^｜]+""),ms_mst!$A:$A,ms_mst!$O:$O),1)
  *
  IF(
   $B60&gt;=IFERROR(XLOOKUP(REGEXEXTRACT($L60,""^[^｜]+""),sk_mst!$A:$A,sk_mst!$M:$M),999),
   IFERROR(XLOOKUP(REGEXEXTRACT($L60,""^[^｜]+""),sk_mst!$A:$A,sk_mst!$I:$I),1),
   1
  )
 )
)"),1.4749999999999999)</f>
        <v>1.475</v>
      </c>
      <c r="S60" s="25">
        <f>IFERROR(__xludf.DUMMYFUNCTION("IF($A60="""","""",
 IF($F60=""market"",
  IFERROR(XLOOKUP(REGEXEXTRACT($J60,""^[^｜]+""),tr_mst!$A:$A,tr_mst!$H:$H),0)
  +IFERROR(XLOOKUP(REGEXEXTRACT($K60,""^[^｜]+""),tc_mst!$A:$A,tc_mst!$H:$H),0),
  IF($B60=0,
   IFERROR(XLOOKUP(REGEXEXTRACT($I60,""^[^｜]"&amp;"+""),ms_mst!$A:$A,ms_mst!$H:$H),0),
   IFERROR(XLOOKUP(""T""&amp;($B60-1)&amp;""_""&amp;$D60,$A:$A,$S:$S),0)
  )
  +IFERROR(XLOOKUP(REGEXEXTRACT($J60,""^[^｜]+""),tr_mst!$A:$A,tr_mst!$H:$H),0)
  +IFERROR(XLOOKUP(REGEXEXTRACT($K60,""^[^｜]+""),tc_mst!$A:$A,tc_mst!$H:$H)"&amp;",0)
  +
  (
   IFERROR(XLOOKUP(REGEXEXTRACT($M60,""^[^｜]+""),ac_mst!$A:$A,ac_mst!$K:$K),0)
   +IFERROR(XLOOKUP(REGEXEXTRACT($N60,""^[^｜]+""),ac_mst!$A:$A,ac_mst!$K:$K),0)
   +IFERROR(
    XLOOKUP(
     IF(
      OR(
       IFERROR(REGEXEXTRACT($M60,""^[^｜"&amp;"]+""),"""")="""",
       IFERROR(REGEXEXTRACT($N60,""^[^｜]+""),"""")=""""
      ),
      """",
      IF(
       IFERROR(REGEXEXTRACT($M60,""^[^｜]+""),"""")&lt;IFERROR(REGEXEXTRACT($N60,""^[^｜]+""),""""),
       IFERROR(REGEXEXTRACT($M60,""^[^｜]+""),"""")&amp;""_"&amp;"""&amp;IFERROR(REGEXEXTRACT($N60,""^[^｜]+""),""""),
       IFERROR(REGEXEXTRACT($N60,""^[^｜]+""),"""")&amp;""_""&amp;IFERROR(REGEXEXTRACT($M60,""^[^｜]+""),"""")
      )
     ),
     sy_mst!$A:$A,
     sy_mst!$H:$H
    ),
    0
   )
  )
  *
  IFERROR(XLOOKUP(REGEXEXTR"&amp;"ACT($I60,""^[^｜]+""),ms_mst!$A:$A,ms_mst!$P:$P),1)
  *
  IF(
   $B60&gt;=IFERROR(XLOOKUP(REGEXEXTRACT($L60,""^[^｜]+""),sk_mst!$A:$A,sk_mst!$M:$M),999),
   IFERROR(XLOOKUP(REGEXEXTRACT($L60,""^[^｜]+""),sk_mst!$A:$A,sk_mst!$J:$J),1),
   1
  )
 )
)"),0.01462)</f>
        <v>0.01462</v>
      </c>
      <c r="T60" s="25">
        <f>IFERROR(__xludf.DUMMYFUNCTION("IF($A60="""","""",
 IF($F60=""market"",
  IFERROR(XLOOKUP(REGEXEXTRACT($J60,""^[^｜]+""),tr_mst!$A:$A,tr_mst!$I:$I),0)
  +IFERROR(XLOOKUP(REGEXEXTRACT($K60,""^[^｜]+""),tc_mst!$A:$A,tc_mst!$I:$I),0),
  IF($B60=0,
   IFERROR(XLOOKUP(REGEXEXTRACT($I60,""^[^｜]"&amp;"+""),ms_mst!$A:$A,ms_mst!$I:$I),0),
   IFERROR(XLOOKUP(""T""&amp;($B60-1)&amp;""_""&amp;$D60,$A:$A,$T:$T),0)
  )
  +IFERROR(XLOOKUP(REGEXEXTRACT($J60,""^[^｜]+""),tr_mst!$A:$A,tr_mst!$I:$I),0)
  +IFERROR(XLOOKUP(REGEXEXTRACT($K60,""^[^｜]+""),tc_mst!$A:$A,tc_mst!$I:$I)"&amp;",0)
  +
  (
   IFERROR(XLOOKUP(REGEXEXTRACT($M60,""^[^｜]+""),ac_mst!$A:$A,ac_mst!$L:$L),0)
   +IFERROR(XLOOKUP(REGEXEXTRACT($N60,""^[^｜]+""),ac_mst!$A:$A,ac_mst!$L:$L),0)
   +IFERROR(
    XLOOKUP(
     IF(
      OR(
       IFERROR(REGEXEXTRACT($M60,""^[^｜"&amp;"]+""),"""")="""",
       IFERROR(REGEXEXTRACT($N60,""^[^｜]+""),"""")=""""
      ),
      """",
      IF(
       IFERROR(REGEXEXTRACT($M60,""^[^｜]+""),"""")&lt;IFERROR(REGEXEXTRACT($N60,""^[^｜]+""),""""),
       IFERROR(REGEXEXTRACT($M60,""^[^｜]+""),"""")&amp;""_"&amp;"""&amp;IFERROR(REGEXEXTRACT($N60,""^[^｜]+""),""""),
       IFERROR(REGEXEXTRACT($N60,""^[^｜]+""),"""")&amp;""_""&amp;IFERROR(REGEXEXTRACT($M60,""^[^｜]+""),"""")
      )
     ),
     sy_mst!$A:$A,
     sy_mst!$I:$I
    ),
    0
   )
  )
  *
  IFERROR(XLOOKUP(REGEXEXTR"&amp;"ACT($I60,""^[^｜]+""),ms_mst!$A:$A,ms_mst!$Q:$Q),1)
  *
  IF(
   $B60&gt;=IFERROR(XLOOKUP(REGEXEXTRACT($L60,""^[^｜]+""),sk_mst!$A:$A,sk_mst!$M:$M),999),
   IFERROR(XLOOKUP(REGEXEXTRACT($L60,""^[^｜]+""),sk_mst!$A:$A,sk_mst!$K:$K),1),
   1
  )
 )
)"),5000.0)</f>
        <v>5000</v>
      </c>
      <c r="U60" s="25">
        <f>IFERROR(__xludf.DUMMYFUNCTION("IF($A60="""","""",
 IF($F60=""market"",
  IFERROR(XLOOKUP(REGEXEXTRACT($J60,""^[^｜]+""),tr_mst!$A:$A,tr_mst!$J:$J),0)
  +IFERROR(XLOOKUP(REGEXEXTRACT($K60,""^[^｜]+""),tc_mst!$A:$A,tc_mst!$J:$J),0),
  IF($B60=0,
   IFERROR(XLOOKUP(REGEXEXTRACT($I60,""^[^｜]"&amp;"+""),ms_mst!$A:$A,ms_mst!$J:$J),0),
   IFERROR(XLOOKUP(""T""&amp;($B60-1)&amp;""_""&amp;$D60,$A:$A,$U:$U),0)
  )
  +IFERROR(XLOOKUP(REGEXEXTRACT($J60,""^[^｜]+""),tr_mst!$A:$A,tr_mst!$J:$J),0)
  +IFERROR(XLOOKUP(REGEXEXTRACT($K60,""^[^｜]+""),tc_mst!$A:$A,tc_mst!$J:$J)"&amp;",0)
  +
  (
   IFERROR(XLOOKUP(REGEXEXTRACT($M60,""^[^｜]+""),ac_mst!$A:$A,ac_mst!$M:$M),0)
   +IFERROR(XLOOKUP(REGEXEXTRACT($N60,""^[^｜]+""),ac_mst!$A:$A,ac_mst!$M:$M),0)
   +IFERROR(
    XLOOKUP(
     IF(
      OR(
       IFERROR(REGEXEXTRACT($M60,""^[^｜"&amp;"]+""),"""")="""",
       IFERROR(REGEXEXTRACT($N60,""^[^｜]+""),"""")=""""
      ),
      """",
      IF(
       IFERROR(REGEXEXTRACT($M60,""^[^｜]+""),"""")&lt;IFERROR(REGEXEXTRACT($N60,""^[^｜]+""),""""),
       IFERROR(REGEXEXTRACT($M60,""^[^｜]+""),"""")&amp;""_"&amp;"""&amp;IFERROR(REGEXEXTRACT($N60,""^[^｜]+""),""""),
       IFERROR(REGEXEXTRACT($N60,""^[^｜]+""),"""")&amp;""_""&amp;IFERROR(REGEXEXTRACT($M60,""^[^｜]+""),"""")
      )
     ),
     sy_mst!$A:$A,
     sy_mst!$J:$J
    ),
    0
   )
  )
  *
  IFERROR(XLOOKUP(REGEXEXTR"&amp;"ACT($I60,""^[^｜]+""),ms_mst!$A:$A,ms_mst!$R:$R),1)
  *
  IF(
   $B60&gt;=IFERROR(XLOOKUP(REGEXEXTRACT($L60,""^[^｜]+""),sk_mst!$A:$A,sk_mst!$M:$M),999),
   IFERROR(XLOOKUP(REGEXEXTRACT($L60,""^[^｜]+""),sk_mst!$A:$A,sk_mst!$L:$L),1),
   1
  )
 )
)"),42.0)</f>
        <v>42</v>
      </c>
      <c r="V60" s="25">
        <f t="shared" si="1"/>
        <v>823187</v>
      </c>
      <c r="W60" s="25">
        <f t="shared" si="2"/>
        <v>180810</v>
      </c>
      <c r="X60" s="25">
        <f t="shared" si="3"/>
        <v>642377</v>
      </c>
      <c r="Y60" s="25">
        <f t="shared" si="4"/>
        <v>4.55</v>
      </c>
      <c r="Z60" s="25">
        <f>IFERROR(__xludf.DUMMYFUNCTION("IF($A60="""","""",
 IF($F60&lt;&gt;""player"","""",
  IFERROR(
   RANK(
    $X60,
    FILTER($X:$X,$B:$B=$B60,$F:$F=""player"",$X:$X&lt;&gt;""""),
    0
   ),
   """"
  )
 )
)"),6.0)</f>
        <v>6</v>
      </c>
      <c r="AA60" s="25" t="str">
        <f t="shared" si="5"/>
        <v>6位</v>
      </c>
      <c r="AB60" s="26">
        <f t="shared" si="6"/>
        <v>14.92091306</v>
      </c>
    </row>
    <row r="61">
      <c r="A61" s="25" t="s">
        <v>234</v>
      </c>
      <c r="B61" s="14">
        <v>4.0</v>
      </c>
      <c r="C61" s="14" t="s">
        <v>171</v>
      </c>
      <c r="D61" s="14" t="s">
        <v>172</v>
      </c>
      <c r="E61" s="25" t="s">
        <v>153</v>
      </c>
      <c r="F61" s="25" t="s">
        <v>154</v>
      </c>
      <c r="I61" s="25" t="str">
        <f>IFERROR(__xludf.DUMMYFUNCTION("IF($F61&lt;&gt;""player"","""",IFERROR(INDEX(FILTER(group_setup!$D$2:$D947,group_setup!$B$2:$B947=$C61,group_setup!$G$2:$G947=TRUE,group_setup!$H$2:$H947=""completed""),1),""""))"),"M03")</f>
        <v>M03</v>
      </c>
      <c r="J61" s="25" t="str">
        <f>IFERROR(__xludf.DUMMYFUNCTION("IFERROR(FILTER(market_event_log!$D$2:$D947,market_event_log!$C$2:$C947=$B61,market_event_log!$N$2:$N947=""active""),"""")"),"T03")</f>
        <v>T03</v>
      </c>
      <c r="K61" s="25" t="str">
        <f>IFERROR(__xludf.DUMMYFUNCTION("IFERROR(FILTER(market_event_log!$G$2:$G947,market_event_log!$C$2:$C947=$B61,market_event_log!$N$2:$N947=""active""),"""")"),"C04")</f>
        <v>C04</v>
      </c>
      <c r="L61" s="25" t="str">
        <f>IFERROR(__xludf.DUMMYFUNCTION("IF($F61&lt;&gt;""player"","""",IFERROR(INDEX(FILTER(group_setup!$E$2:$E947,group_setup!$B$2:$B947=$C61,group_setup!$G$2:$G947=TRUE,group_setup!$H$2:$H947=""completed""),1),""""))"),"S03")</f>
        <v>S03</v>
      </c>
      <c r="M61" s="25" t="str">
        <f>IFERROR(__xludf.DUMMYFUNCTION("IF($F61=""market"","""",IF($E61=""HUMAN"",IFERROR(FILTER(turn_log!$G$2:$G947,turn_log!$C$2:$C947=$B61,turn_log!$D$2:$D947=$C61,turn_log!$F$2:$F947=$E61),""""),IFERROR(FILTER(turn_log!$I$2:$I947,turn_log!$C$2:$C947=$B61,turn_log!$D$2:$D947=$C61,turn_log!$F"&amp;"$2:$F947=$E61),"""")))"),"A09")</f>
        <v>A09</v>
      </c>
      <c r="N61" s="25" t="str">
        <f>IFERROR(__xludf.DUMMYFUNCTION("IF($F61=""market"","""",IF($E61=""HUMAN"",IFERROR(FILTER(turn_log!$H$2:$H947,turn_log!$C$2:$C947=$B61,turn_log!$D$2:$D947=$C61,turn_log!$F$2:$F947=$E61),""""),IFERROR(FILTER(turn_log!$J$2:$J947,turn_log!$C$2:$C947=$B61,turn_log!$D$2:$D947=$C61,turn_log!$F"&amp;"$2:$F947=$E61),"""")))"),"A10")</f>
        <v>A10</v>
      </c>
      <c r="O61" s="25">
        <f>IFERROR(__xludf.DUMMYFUNCTION("IF($A61="""","""",
 IF($F61=""market"",
  IFERROR(XLOOKUP(REGEXEXTRACT($J61,""^[^｜]+""),tr_mst!$A:$A,tr_mst!$D:$D),0)
  +IFERROR(XLOOKUP(REGEXEXTRACT($K61,""^[^｜]+""),tc_mst!$A:$A,tc_mst!$D:$D),0),
  IF($B61=0,
   IFERROR(XLOOKUP(REGEXEXTRACT($I61,""^[^｜]"&amp;"+""),ms_mst!$A:$A,ms_mst!$D:$D),0),
   IFERROR(XLOOKUP(""T""&amp;($B61-1)&amp;""_""&amp;$D61,$A:$A,$O:$O),0)
  )
  +IFERROR(XLOOKUP(REGEXEXTRACT($J61,""^[^｜]+""),tr_mst!$A:$A,tr_mst!$D:$D),0)
  +IFERROR(XLOOKUP(REGEXEXTRACT($K61,""^[^｜]+""),tc_mst!$A:$A,tc_mst!$D:$D)"&amp;",0)
  +
  (
   IFERROR(XLOOKUP(REGEXEXTRACT($M61,""^[^｜]+""),ac_mst!$A:$A,ac_mst!$G:$G),0)
   +IFERROR(XLOOKUP(REGEXEXTRACT($N61,""^[^｜]+""),ac_mst!$A:$A,ac_mst!$G:$G),0)
   +IFERROR(
    XLOOKUP(
     IF(
      OR(
       IFERROR(REGEXEXTRACT($M61,""^[^｜"&amp;"]+""),"""")="""",
       IFERROR(REGEXEXTRACT($N61,""^[^｜]+""),"""")=""""
      ),
      """",
      IF(
       IFERROR(REGEXEXTRACT($M61,""^[^｜]+""),"""")&lt;IFERROR(REGEXEXTRACT($N61,""^[^｜]+""),""""),
       IFERROR(REGEXEXTRACT($M61,""^[^｜]+""),"""")&amp;""_"&amp;"""&amp;IFERROR(REGEXEXTRACT($N61,""^[^｜]+""),""""),
       IFERROR(REGEXEXTRACT($N61,""^[^｜]+""),"""")&amp;""_""&amp;IFERROR(REGEXEXTRACT($M61,""^[^｜]+""),"""")
      )
     ),
     sy_mst!$A:$A,
     sy_mst!$D:$D
    ),
    0
   )
  )
  *
  IFERROR(XLOOKUP(REGEXEXTR"&amp;"ACT($I61,""^[^｜]+""),ms_mst!$A:$A,ms_mst!$L:$L),1)
  *
  IF(
   $B61&gt;=IFERROR(XLOOKUP(REGEXEXTRACT($L61,""^[^｜]+""),sk_mst!$A:$A,sk_mst!$M:$M),999),
   IFERROR(XLOOKUP(REGEXEXTRACT($L61,""^[^｜]+""),sk_mst!$A:$A,sk_mst!$F:$F),1),
   1
  )
 )
)"),14825.0)</f>
        <v>14825</v>
      </c>
      <c r="P61" s="25">
        <f>IFERROR(__xludf.DUMMYFUNCTION("IF($A61="""","""",
 IF($F61=""market"",
  IFERROR(XLOOKUP(REGEXEXTRACT($J61,""^[^｜]+""),tr_mst!$A:$A,tr_mst!$E:$E),0)
  +IFERROR(XLOOKUP(REGEXEXTRACT($K61,""^[^｜]+""),tc_mst!$A:$A,tc_mst!$E:$E),0),
  IF($B61=0,
   IFERROR(XLOOKUP(REGEXEXTRACT($I61,""^[^｜]"&amp;"+""),ms_mst!$A:$A,ms_mst!$E:$E),0),
   IFERROR(XLOOKUP(""T""&amp;($B61-1)&amp;""_""&amp;$D61,$A:$A,$P:$P),0)
  )
  +IFERROR(XLOOKUP(REGEXEXTRACT($J61,""^[^｜]+""),tr_mst!$A:$A,tr_mst!$E:$E),0)
  +IFERROR(XLOOKUP(REGEXEXTRACT($K61,""^[^｜]+""),tc_mst!$A:$A,tc_mst!$E:$E)"&amp;",0)
  +
  (
   IFERROR(XLOOKUP(REGEXEXTRACT($M61,""^[^｜]+""),ac_mst!$A:$A,ac_mst!$H:$H),0)
   +IFERROR(XLOOKUP(REGEXEXTRACT($N61,""^[^｜]+""),ac_mst!$A:$A,ac_mst!$H:$H),0)
   +IFERROR(
    XLOOKUP(
     IF(
      OR(
       IFERROR(REGEXEXTRACT($M61,""^[^｜"&amp;"]+""),"""")="""",
       IFERROR(REGEXEXTRACT($N61,""^[^｜]+""),"""")=""""
      ),
      """",
      IF(
       IFERROR(REGEXEXTRACT($M61,""^[^｜]+""),"""")&lt;IFERROR(REGEXEXTRACT($N61,""^[^｜]+""),""""),
       IFERROR(REGEXEXTRACT($M61,""^[^｜]+""),"""")&amp;""_"&amp;"""&amp;IFERROR(REGEXEXTRACT($N61,""^[^｜]+""),""""),
       IFERROR(REGEXEXTRACT($N61,""^[^｜]+""),"""")&amp;""_""&amp;IFERROR(REGEXEXTRACT($M61,""^[^｜]+""),"""")
      )
     ),
     sy_mst!$A:$A,
     sy_mst!$E:$E
    ),
    0
   )
  )
  *
  IFERROR(XLOOKUP(REGEXEXTR"&amp;"ACT($I61,""^[^｜]+""),ms_mst!$A:$A,ms_mst!$M:$M),1)
  *
  IF(
   $B61&gt;=IFERROR(XLOOKUP(REGEXEXTRACT($L61,""^[^｜]+""),sk_mst!$A:$A,sk_mst!$M:$M),999),
   IFERROR(XLOOKUP(REGEXEXTRACT($L61,""^[^｜]+""),sk_mst!$A:$A,sk_mst!$G:$G),1),
   1
  )
 )
)"),1870.0)</f>
        <v>1870</v>
      </c>
      <c r="Q61" s="25">
        <f>IFERROR(__xludf.DUMMYFUNCTION("IF($A61="""","""",
 IF($F61=""market"",
  IFERROR(XLOOKUP(REGEXEXTRACT($J61,""^[^｜]+""),tr_mst!$A:$A,tr_mst!$F:$F),0)
  +IFERROR(XLOOKUP(REGEXEXTRACT($K61,""^[^｜]+""),tc_mst!$A:$A,tc_mst!$F:$F),0),
  IF($B61=0,
   IFERROR(XLOOKUP(REGEXEXTRACT($I61,""^[^｜]"&amp;"+""),ms_mst!$A:$A,ms_mst!$F:$F),0),
   IFERROR(XLOOKUP(""T""&amp;($B61-1)&amp;""_""&amp;$D61,$A:$A,$Q:$Q),0)
  )
  +IFERROR(XLOOKUP(REGEXEXTRACT($J61,""^[^｜]+""),tr_mst!$A:$A,tr_mst!$F:$F),0)
  +IFERROR(XLOOKUP(REGEXEXTRACT($K61,""^[^｜]+""),tc_mst!$A:$A,tc_mst!$F:$F)"&amp;",0)
  +
  (
   IFERROR(XLOOKUP(REGEXEXTRACT($M61,""^[^｜]+""),ac_mst!$A:$A,ac_mst!$I:$I),0)
   +IFERROR(XLOOKUP(REGEXEXTRACT($N61,""^[^｜]+""),ac_mst!$A:$A,ac_mst!$I:$I),0)
   +IFERROR(
    XLOOKUP(
     IF(
      OR(
       IFERROR(REGEXEXTRACT($M61,""^[^｜"&amp;"]+""),"""")="""",
       IFERROR(REGEXEXTRACT($N61,""^[^｜]+""),"""")=""""
      ),
      """",
      IF(
       IFERROR(REGEXEXTRACT($M61,""^[^｜]+""),"""")&lt;IFERROR(REGEXEXTRACT($N61,""^[^｜]+""),""""),
       IFERROR(REGEXEXTRACT($M61,""^[^｜]+""),"""")&amp;""_"&amp;"""&amp;IFERROR(REGEXEXTRACT($N61,""^[^｜]+""),""""),
       IFERROR(REGEXEXTRACT($N61,""^[^｜]+""),"""")&amp;""_""&amp;IFERROR(REGEXEXTRACT($M61,""^[^｜]+""),"""")
      )
     ),
     sy_mst!$A:$A,
     sy_mst!$F:$F
    ),
    0
   )
  )
  *
  IFERROR(XLOOKUP(REGEXEXTR"&amp;"ACT($I61,""^[^｜]+""),ms_mst!$A:$A,ms_mst!$N:$N),1)
  *
  IF(
   $B61&gt;=IFERROR(XLOOKUP(REGEXEXTRACT($L61,""^[^｜]+""),sk_mst!$A:$A,sk_mst!$M:$M),999),
   IFERROR(XLOOKUP(REGEXEXTRACT($L61,""^[^｜]+""),sk_mst!$A:$A,sk_mst!$H:$H),1),
   1
  )
 )
)"),0.47000000000000003)</f>
        <v>0.47</v>
      </c>
      <c r="R61" s="25">
        <f>IFERROR(__xludf.DUMMYFUNCTION("IF($A61="""","""",
 IF($F61=""market"",
  IFERROR(XLOOKUP(REGEXEXTRACT($J61,""^[^｜]+""),tr_mst!$A:$A,tr_mst!$G:$G),0)
  +IFERROR(XLOOKUP(REGEXEXTRACT($K61,""^[^｜]+""),tc_mst!$A:$A,tc_mst!$G:$G),0),
  IF($B61=0,
   IFERROR(XLOOKUP(REGEXEXTRACT($I61,""^[^｜]"&amp;"+""),ms_mst!$A:$A,ms_mst!$G:$G),0),
   IFERROR(XLOOKUP(""T""&amp;($B61-1)&amp;""_""&amp;$D61,$A:$A,$R:$R),0)
  )
  +IFERROR(XLOOKUP(REGEXEXTRACT($J61,""^[^｜]+""),tr_mst!$A:$A,tr_mst!$G:$G),0)
  +IFERROR(XLOOKUP(REGEXEXTRACT($K61,""^[^｜]+""),tc_mst!$A:$A,tc_mst!$G:$G)"&amp;",0)
  +
  (
   IFERROR(XLOOKUP(REGEXEXTRACT($M61,""^[^｜]+""),ac_mst!$A:$A,ac_mst!$J:$J),0)
   +IFERROR(XLOOKUP(REGEXEXTRACT($N61,""^[^｜]+""),ac_mst!$A:$A,ac_mst!$J:$J),0)
   +IFERROR(
    XLOOKUP(
     IF(
      OR(
       IFERROR(REGEXEXTRACT($M61,""^[^｜"&amp;"]+""),"""")="""",
       IFERROR(REGEXEXTRACT($N61,""^[^｜]+""),"""")=""""
      ),
      """",
      IF(
       IFERROR(REGEXEXTRACT($M61,""^[^｜]+""),"""")&lt;IFERROR(REGEXEXTRACT($N61,""^[^｜]+""),""""),
       IFERROR(REGEXEXTRACT($M61,""^[^｜]+""),"""")&amp;""_"&amp;"""&amp;IFERROR(REGEXEXTRACT($N61,""^[^｜]+""),""""),
       IFERROR(REGEXEXTRACT($N61,""^[^｜]+""),"""")&amp;""_""&amp;IFERROR(REGEXEXTRACT($M61,""^[^｜]+""),"""")
      )
     ),
     sy_mst!$A:$A,
     sy_mst!$G:$G
    ),
    0
   )
  )
  *
  IFERROR(XLOOKUP(REGEXEXTR"&amp;"ACT($I61,""^[^｜]+""),ms_mst!$A:$A,ms_mst!$O:$O),1)
  *
  IF(
   $B61&gt;=IFERROR(XLOOKUP(REGEXEXTRACT($L61,""^[^｜]+""),sk_mst!$A:$A,sk_mst!$M:$M),999),
   IFERROR(XLOOKUP(REGEXEXTRACT($L61,""^[^｜]+""),sk_mst!$A:$A,sk_mst!$I:$I),1),
   1
  )
 )
)"),1.87775)</f>
        <v>1.87775</v>
      </c>
      <c r="S61" s="25">
        <f>IFERROR(__xludf.DUMMYFUNCTION("IF($A61="""","""",
 IF($F61=""market"",
  IFERROR(XLOOKUP(REGEXEXTRACT($J61,""^[^｜]+""),tr_mst!$A:$A,tr_mst!$H:$H),0)
  +IFERROR(XLOOKUP(REGEXEXTRACT($K61,""^[^｜]+""),tc_mst!$A:$A,tc_mst!$H:$H),0),
  IF($B61=0,
   IFERROR(XLOOKUP(REGEXEXTRACT($I61,""^[^｜]"&amp;"+""),ms_mst!$A:$A,ms_mst!$H:$H),0),
   IFERROR(XLOOKUP(""T""&amp;($B61-1)&amp;""_""&amp;$D61,$A:$A,$S:$S),0)
  )
  +IFERROR(XLOOKUP(REGEXEXTRACT($J61,""^[^｜]+""),tr_mst!$A:$A,tr_mst!$H:$H),0)
  +IFERROR(XLOOKUP(REGEXEXTRACT($K61,""^[^｜]+""),tc_mst!$A:$A,tc_mst!$H:$H)"&amp;",0)
  +
  (
   IFERROR(XLOOKUP(REGEXEXTRACT($M61,""^[^｜]+""),ac_mst!$A:$A,ac_mst!$K:$K),0)
   +IFERROR(XLOOKUP(REGEXEXTRACT($N61,""^[^｜]+""),ac_mst!$A:$A,ac_mst!$K:$K),0)
   +IFERROR(
    XLOOKUP(
     IF(
      OR(
       IFERROR(REGEXEXTRACT($M61,""^[^｜"&amp;"]+""),"""")="""",
       IFERROR(REGEXEXTRACT($N61,""^[^｜]+""),"""")=""""
      ),
      """",
      IF(
       IFERROR(REGEXEXTRACT($M61,""^[^｜]+""),"""")&lt;IFERROR(REGEXEXTRACT($N61,""^[^｜]+""),""""),
       IFERROR(REGEXEXTRACT($M61,""^[^｜]+""),"""")&amp;""_"&amp;"""&amp;IFERROR(REGEXEXTRACT($N61,""^[^｜]+""),""""),
       IFERROR(REGEXEXTRACT($N61,""^[^｜]+""),"""")&amp;""_""&amp;IFERROR(REGEXEXTRACT($M61,""^[^｜]+""),"""")
      )
     ),
     sy_mst!$A:$A,
     sy_mst!$H:$H
    ),
    0
   )
  )
  *
  IFERROR(XLOOKUP(REGEXEXTR"&amp;"ACT($I61,""^[^｜]+""),ms_mst!$A:$A,ms_mst!$P:$P),1)
  *
  IF(
   $B61&gt;=IFERROR(XLOOKUP(REGEXEXTRACT($L61,""^[^｜]+""),sk_mst!$A:$A,sk_mst!$M:$M),999),
   IFERROR(XLOOKUP(REGEXEXTRACT($L61,""^[^｜]+""),sk_mst!$A:$A,sk_mst!$J:$J),1),
   1
  )
 )
)"),0.015700000000000002)</f>
        <v>0.0157</v>
      </c>
      <c r="T61" s="25">
        <f>IFERROR(__xludf.DUMMYFUNCTION("IF($A61="""","""",
 IF($F61=""market"",
  IFERROR(XLOOKUP(REGEXEXTRACT($J61,""^[^｜]+""),tr_mst!$A:$A,tr_mst!$I:$I),0)
  +IFERROR(XLOOKUP(REGEXEXTRACT($K61,""^[^｜]+""),tc_mst!$A:$A,tc_mst!$I:$I),0),
  IF($B61=0,
   IFERROR(XLOOKUP(REGEXEXTRACT($I61,""^[^｜]"&amp;"+""),ms_mst!$A:$A,ms_mst!$I:$I),0),
   IFERROR(XLOOKUP(""T""&amp;($B61-1)&amp;""_""&amp;$D61,$A:$A,$T:$T),0)
  )
  +IFERROR(XLOOKUP(REGEXEXTRACT($J61,""^[^｜]+""),tr_mst!$A:$A,tr_mst!$I:$I),0)
  +IFERROR(XLOOKUP(REGEXEXTRACT($K61,""^[^｜]+""),tc_mst!$A:$A,tc_mst!$I:$I)"&amp;",0)
  +
  (
   IFERROR(XLOOKUP(REGEXEXTRACT($M61,""^[^｜]+""),ac_mst!$A:$A,ac_mst!$L:$L),0)
   +IFERROR(XLOOKUP(REGEXEXTRACT($N61,""^[^｜]+""),ac_mst!$A:$A,ac_mst!$L:$L),0)
   +IFERROR(
    XLOOKUP(
     IF(
      OR(
       IFERROR(REGEXEXTRACT($M61,""^[^｜"&amp;"]+""),"""")="""",
       IFERROR(REGEXEXTRACT($N61,""^[^｜]+""),"""")=""""
      ),
      """",
      IF(
       IFERROR(REGEXEXTRACT($M61,""^[^｜]+""),"""")&lt;IFERROR(REGEXEXTRACT($N61,""^[^｜]+""),""""),
       IFERROR(REGEXEXTRACT($M61,""^[^｜]+""),"""")&amp;""_"&amp;"""&amp;IFERROR(REGEXEXTRACT($N61,""^[^｜]+""),""""),
       IFERROR(REGEXEXTRACT($N61,""^[^｜]+""),"""")&amp;""_""&amp;IFERROR(REGEXEXTRACT($M61,""^[^｜]+""),"""")
      )
     ),
     sy_mst!$A:$A,
     sy_mst!$I:$I
    ),
    0
   )
  )
  *
  IFERROR(XLOOKUP(REGEXEXTR"&amp;"ACT($I61,""^[^｜]+""),ms_mst!$A:$A,ms_mst!$Q:$Q),1)
  *
  IF(
   $B61&gt;=IFERROR(XLOOKUP(REGEXEXTRACT($L61,""^[^｜]+""),sk_mst!$A:$A,sk_mst!$M:$M),999),
   IFERROR(XLOOKUP(REGEXEXTRACT($L61,""^[^｜]+""),sk_mst!$A:$A,sk_mst!$K:$K),1),
   1
  )
 )
)"),4800.0)</f>
        <v>4800</v>
      </c>
      <c r="U61" s="25">
        <f>IFERROR(__xludf.DUMMYFUNCTION("IF($A61="""","""",
 IF($F61=""market"",
  IFERROR(XLOOKUP(REGEXEXTRACT($J61,""^[^｜]+""),tr_mst!$A:$A,tr_mst!$J:$J),0)
  +IFERROR(XLOOKUP(REGEXEXTRACT($K61,""^[^｜]+""),tc_mst!$A:$A,tc_mst!$J:$J),0),
  IF($B61=0,
   IFERROR(XLOOKUP(REGEXEXTRACT($I61,""^[^｜]"&amp;"+""),ms_mst!$A:$A,ms_mst!$J:$J),0),
   IFERROR(XLOOKUP(""T""&amp;($B61-1)&amp;""_""&amp;$D61,$A:$A,$U:$U),0)
  )
  +IFERROR(XLOOKUP(REGEXEXTRACT($J61,""^[^｜]+""),tr_mst!$A:$A,tr_mst!$J:$J),0)
  +IFERROR(XLOOKUP(REGEXEXTRACT($K61,""^[^｜]+""),tc_mst!$A:$A,tc_mst!$J:$J)"&amp;",0)
  +
  (
   IFERROR(XLOOKUP(REGEXEXTRACT($M61,""^[^｜]+""),ac_mst!$A:$A,ac_mst!$M:$M),0)
   +IFERROR(XLOOKUP(REGEXEXTRACT($N61,""^[^｜]+""),ac_mst!$A:$A,ac_mst!$M:$M),0)
   +IFERROR(
    XLOOKUP(
     IF(
      OR(
       IFERROR(REGEXEXTRACT($M61,""^[^｜"&amp;"]+""),"""")="""",
       IFERROR(REGEXEXTRACT($N61,""^[^｜]+""),"""")=""""
      ),
      """",
      IF(
       IFERROR(REGEXEXTRACT($M61,""^[^｜]+""),"""")&lt;IFERROR(REGEXEXTRACT($N61,""^[^｜]+""),""""),
       IFERROR(REGEXEXTRACT($M61,""^[^｜]+""),"""")&amp;""_"&amp;"""&amp;IFERROR(REGEXEXTRACT($N61,""^[^｜]+""),""""),
       IFERROR(REGEXEXTRACT($N61,""^[^｜]+""),"""")&amp;""_""&amp;IFERROR(REGEXEXTRACT($M61,""^[^｜]+""),"""")
      )
     ),
     sy_mst!$A:$A,
     sy_mst!$J:$J
    ),
    0
   )
  )
  *
  IFERROR(XLOOKUP(REGEXEXTR"&amp;"ACT($I61,""^[^｜]+""),ms_mst!$A:$A,ms_mst!$R:$R),1)
  *
  IF(
   $B61&gt;=IFERROR(XLOOKUP(REGEXEXTRACT($L61,""^[^｜]+""),sk_mst!$A:$A,sk_mst!$M:$M),999),
   IFERROR(XLOOKUP(REGEXEXTRACT($L61,""^[^｜]+""),sk_mst!$A:$A,sk_mst!$L:$L),1),
   1
  )
 )
)"),45.0)</f>
        <v>45</v>
      </c>
      <c r="V61" s="25">
        <f t="shared" si="1"/>
        <v>1252106</v>
      </c>
      <c r="W61" s="25">
        <f t="shared" si="2"/>
        <v>84150</v>
      </c>
      <c r="X61" s="25">
        <f t="shared" si="3"/>
        <v>1167956</v>
      </c>
      <c r="Y61" s="25">
        <f t="shared" si="4"/>
        <v>14.88</v>
      </c>
      <c r="Z61" s="25">
        <f>IFERROR(__xludf.DUMMYFUNCTION("IF($A61="""","""",
 IF($F61&lt;&gt;""player"","""",
  IFERROR(
   RANK(
    $X61,
    FILTER($X:$X,$B:$B=$B61,$F:$F=""player"",$X:$X&lt;&gt;""""),
    0
   ),
   """"
  )
 )
)"),3.0)</f>
        <v>3</v>
      </c>
      <c r="AA61" s="25" t="str">
        <f t="shared" si="5"/>
        <v>3位</v>
      </c>
      <c r="AB61" s="26">
        <f t="shared" si="6"/>
        <v>2.578296569</v>
      </c>
    </row>
    <row r="62">
      <c r="A62" s="25" t="s">
        <v>235</v>
      </c>
      <c r="B62" s="14">
        <v>4.0</v>
      </c>
      <c r="C62" s="14" t="s">
        <v>174</v>
      </c>
      <c r="D62" s="14" t="s">
        <v>175</v>
      </c>
      <c r="E62" s="25" t="s">
        <v>153</v>
      </c>
      <c r="F62" s="25" t="s">
        <v>154</v>
      </c>
      <c r="I62" s="25" t="str">
        <f>IFERROR(__xludf.DUMMYFUNCTION("IF($F62&lt;&gt;""player"","""",IFERROR(INDEX(FILTER(group_setup!$D$2:$D947,group_setup!$B$2:$B947=$C62,group_setup!$G$2:$G947=TRUE,group_setup!$H$2:$H947=""completed""),1),""""))"),"")</f>
        <v/>
      </c>
      <c r="J62" s="25" t="str">
        <f>IFERROR(__xludf.DUMMYFUNCTION("IFERROR(FILTER(market_event_log!$D$2:$D947,market_event_log!$C$2:$C947=$B62,market_event_log!$N$2:$N947=""active""),"""")"),"T03")</f>
        <v>T03</v>
      </c>
      <c r="K62" s="25" t="str">
        <f>IFERROR(__xludf.DUMMYFUNCTION("IFERROR(FILTER(market_event_log!$G$2:$G947,market_event_log!$C$2:$C947=$B62,market_event_log!$N$2:$N947=""active""),"""")"),"C04")</f>
        <v>C04</v>
      </c>
      <c r="L62" s="25" t="str">
        <f>IFERROR(__xludf.DUMMYFUNCTION("IF($F62&lt;&gt;""player"","""",IFERROR(INDEX(FILTER(group_setup!$E$2:$E947,group_setup!$B$2:$B947=$C62,group_setup!$G$2:$G947=TRUE,group_setup!$H$2:$H947=""completed""),1),""""))"),"")</f>
        <v/>
      </c>
      <c r="M62" s="25" t="str">
        <f>IFERROR(__xludf.DUMMYFUNCTION("IF($F62=""market"","""",IF($E62=""HUMAN"",IFERROR(FILTER(turn_log!$G$2:$G947,turn_log!$C$2:$C947=$B62,turn_log!$D$2:$D947=$C62,turn_log!$F$2:$F947=$E62),""""),IFERROR(FILTER(turn_log!$I$2:$I947,turn_log!$C$2:$C947=$B62,turn_log!$D$2:$D947=$C62,turn_log!$F"&amp;"$2:$F947=$E62),"""")))"),"")</f>
        <v/>
      </c>
      <c r="N62" s="25" t="str">
        <f>IFERROR(__xludf.DUMMYFUNCTION("IF($F62=""market"","""",IF($E62=""HUMAN"",IFERROR(FILTER(turn_log!$H$2:$H947,turn_log!$C$2:$C947=$B62,turn_log!$D$2:$D947=$C62,turn_log!$F$2:$F947=$E62),""""),IFERROR(FILTER(turn_log!$J$2:$J947,turn_log!$C$2:$C947=$B62,turn_log!$D$2:$D947=$C62,turn_log!$F"&amp;"$2:$F947=$E62),"""")))"),"")</f>
        <v/>
      </c>
      <c r="O62" s="25">
        <f>IFERROR(__xludf.DUMMYFUNCTION("IF($A62="""","""",
 IF($F62=""market"",
  IFERROR(XLOOKUP(REGEXEXTRACT($J62,""^[^｜]+""),tr_mst!$A:$A,tr_mst!$D:$D),0)
  +IFERROR(XLOOKUP(REGEXEXTRACT($K62,""^[^｜]+""),tc_mst!$A:$A,tc_mst!$D:$D),0),
  IF($B62=0,
   IFERROR(XLOOKUP(REGEXEXTRACT($I62,""^[^｜]"&amp;"+""),ms_mst!$A:$A,ms_mst!$D:$D),0),
   IFERROR(XLOOKUP(""T""&amp;($B62-1)&amp;""_""&amp;$D62,$A:$A,$O:$O),0)
  )
  +IFERROR(XLOOKUP(REGEXEXTRACT($J62,""^[^｜]+""),tr_mst!$A:$A,tr_mst!$D:$D),0)
  +IFERROR(XLOOKUP(REGEXEXTRACT($K62,""^[^｜]+""),tc_mst!$A:$A,tc_mst!$D:$D)"&amp;",0)
  +
  (
   IFERROR(XLOOKUP(REGEXEXTRACT($M62,""^[^｜]+""),ac_mst!$A:$A,ac_mst!$G:$G),0)
   +IFERROR(XLOOKUP(REGEXEXTRACT($N62,""^[^｜]+""),ac_mst!$A:$A,ac_mst!$G:$G),0)
   +IFERROR(
    XLOOKUP(
     IF(
      OR(
       IFERROR(REGEXEXTRACT($M62,""^[^｜"&amp;"]+""),"""")="""",
       IFERROR(REGEXEXTRACT($N62,""^[^｜]+""),"""")=""""
      ),
      """",
      IF(
       IFERROR(REGEXEXTRACT($M62,""^[^｜]+""),"""")&lt;IFERROR(REGEXEXTRACT($N62,""^[^｜]+""),""""),
       IFERROR(REGEXEXTRACT($M62,""^[^｜]+""),"""")&amp;""_"&amp;"""&amp;IFERROR(REGEXEXTRACT($N62,""^[^｜]+""),""""),
       IFERROR(REGEXEXTRACT($N62,""^[^｜]+""),"""")&amp;""_""&amp;IFERROR(REGEXEXTRACT($M62,""^[^｜]+""),"""")
      )
     ),
     sy_mst!$A:$A,
     sy_mst!$D:$D
    ),
    0
   )
  )
  *
  IFERROR(XLOOKUP(REGEXEXTR"&amp;"ACT($I62,""^[^｜]+""),ms_mst!$A:$A,ms_mst!$L:$L),1)
  *
  IF(
   $B62&gt;=IFERROR(XLOOKUP(REGEXEXTRACT($L62,""^[^｜]+""),sk_mst!$A:$A,sk_mst!$M:$M),999),
   IFERROR(XLOOKUP(REGEXEXTRACT($L62,""^[^｜]+""),sk_mst!$A:$A,sk_mst!$F:$F),1),
   1
  )
 )
)"),4600.0)</f>
        <v>4600</v>
      </c>
      <c r="P62" s="25">
        <f>IFERROR(__xludf.DUMMYFUNCTION("IF($A62="""","""",
 IF($F62=""market"",
  IFERROR(XLOOKUP(REGEXEXTRACT($J62,""^[^｜]+""),tr_mst!$A:$A,tr_mst!$E:$E),0)
  +IFERROR(XLOOKUP(REGEXEXTRACT($K62,""^[^｜]+""),tc_mst!$A:$A,tc_mst!$E:$E),0),
  IF($B62=0,
   IFERROR(XLOOKUP(REGEXEXTRACT($I62,""^[^｜]"&amp;"+""),ms_mst!$A:$A,ms_mst!$E:$E),0),
   IFERROR(XLOOKUP(""T""&amp;($B62-1)&amp;""_""&amp;$D62,$A:$A,$P:$P),0)
  )
  +IFERROR(XLOOKUP(REGEXEXTRACT($J62,""^[^｜]+""),tr_mst!$A:$A,tr_mst!$E:$E),0)
  +IFERROR(XLOOKUP(REGEXEXTRACT($K62,""^[^｜]+""),tc_mst!$A:$A,tc_mst!$E:$E)"&amp;",0)
  +
  (
   IFERROR(XLOOKUP(REGEXEXTRACT($M62,""^[^｜]+""),ac_mst!$A:$A,ac_mst!$H:$H),0)
   +IFERROR(XLOOKUP(REGEXEXTRACT($N62,""^[^｜]+""),ac_mst!$A:$A,ac_mst!$H:$H),0)
   +IFERROR(
    XLOOKUP(
     IF(
      OR(
       IFERROR(REGEXEXTRACT($M62,""^[^｜"&amp;"]+""),"""")="""",
       IFERROR(REGEXEXTRACT($N62,""^[^｜]+""),"""")=""""
      ),
      """",
      IF(
       IFERROR(REGEXEXTRACT($M62,""^[^｜]+""),"""")&lt;IFERROR(REGEXEXTRACT($N62,""^[^｜]+""),""""),
       IFERROR(REGEXEXTRACT($M62,""^[^｜]+""),"""")&amp;""_"&amp;"""&amp;IFERROR(REGEXEXTRACT($N62,""^[^｜]+""),""""),
       IFERROR(REGEXEXTRACT($N62,""^[^｜]+""),"""")&amp;""_""&amp;IFERROR(REGEXEXTRACT($M62,""^[^｜]+""),"""")
      )
     ),
     sy_mst!$A:$A,
     sy_mst!$E:$E
    ),
    0
   )
  )
  *
  IFERROR(XLOOKUP(REGEXEXTR"&amp;"ACT($I62,""^[^｜]+""),ms_mst!$A:$A,ms_mst!$M:$M),1)
  *
  IF(
   $B62&gt;=IFERROR(XLOOKUP(REGEXEXTRACT($L62,""^[^｜]+""),sk_mst!$A:$A,sk_mst!$M:$M),999),
   IFERROR(XLOOKUP(REGEXEXTRACT($L62,""^[^｜]+""),sk_mst!$A:$A,sk_mst!$G:$G),1),
   1
  )
 )
)"),370.0)</f>
        <v>370</v>
      </c>
      <c r="Q62" s="25">
        <f>IFERROR(__xludf.DUMMYFUNCTION("IF($A62="""","""",
 IF($F62=""market"",
  IFERROR(XLOOKUP(REGEXEXTRACT($J62,""^[^｜]+""),tr_mst!$A:$A,tr_mst!$F:$F),0)
  +IFERROR(XLOOKUP(REGEXEXTRACT($K62,""^[^｜]+""),tc_mst!$A:$A,tc_mst!$F:$F),0),
  IF($B62=0,
   IFERROR(XLOOKUP(REGEXEXTRACT($I62,""^[^｜]"&amp;"+""),ms_mst!$A:$A,ms_mst!$F:$F),0),
   IFERROR(XLOOKUP(""T""&amp;($B62-1)&amp;""_""&amp;$D62,$A:$A,$Q:$Q),0)
  )
  +IFERROR(XLOOKUP(REGEXEXTRACT($J62,""^[^｜]+""),tr_mst!$A:$A,tr_mst!$F:$F),0)
  +IFERROR(XLOOKUP(REGEXEXTRACT($K62,""^[^｜]+""),tc_mst!$A:$A,tc_mst!$F:$F)"&amp;",0)
  +
  (
   IFERROR(XLOOKUP(REGEXEXTRACT($M62,""^[^｜]+""),ac_mst!$A:$A,ac_mst!$I:$I),0)
   +IFERROR(XLOOKUP(REGEXEXTRACT($N62,""^[^｜]+""),ac_mst!$A:$A,ac_mst!$I:$I),0)
   +IFERROR(
    XLOOKUP(
     IF(
      OR(
       IFERROR(REGEXEXTRACT($M62,""^[^｜"&amp;"]+""),"""")="""",
       IFERROR(REGEXEXTRACT($N62,""^[^｜]+""),"""")=""""
      ),
      """",
      IF(
       IFERROR(REGEXEXTRACT($M62,""^[^｜]+""),"""")&lt;IFERROR(REGEXEXTRACT($N62,""^[^｜]+""),""""),
       IFERROR(REGEXEXTRACT($M62,""^[^｜]+""),"""")&amp;""_"&amp;"""&amp;IFERROR(REGEXEXTRACT($N62,""^[^｜]+""),""""),
       IFERROR(REGEXEXTRACT($N62,""^[^｜]+""),"""")&amp;""_""&amp;IFERROR(REGEXEXTRACT($M62,""^[^｜]+""),"""")
      )
     ),
     sy_mst!$A:$A,
     sy_mst!$F:$F
    ),
    0
   )
  )
  *
  IFERROR(XLOOKUP(REGEXEXTR"&amp;"ACT($I62,""^[^｜]+""),ms_mst!$A:$A,ms_mst!$N:$N),1)
  *
  IF(
   $B62&gt;=IFERROR(XLOOKUP(REGEXEXTRACT($L62,""^[^｜]+""),sk_mst!$A:$A,sk_mst!$M:$M),999),
   IFERROR(XLOOKUP(REGEXEXTRACT($L62,""^[^｜]+""),sk_mst!$A:$A,sk_mst!$H:$H),1),
   1
  )
 )
)"),0.02)</f>
        <v>0.02</v>
      </c>
      <c r="R62" s="25">
        <f>IFERROR(__xludf.DUMMYFUNCTION("IF($A62="""","""",
 IF($F62=""market"",
  IFERROR(XLOOKUP(REGEXEXTRACT($J62,""^[^｜]+""),tr_mst!$A:$A,tr_mst!$G:$G),0)
  +IFERROR(XLOOKUP(REGEXEXTRACT($K62,""^[^｜]+""),tc_mst!$A:$A,tc_mst!$G:$G),0),
  IF($B62=0,
   IFERROR(XLOOKUP(REGEXEXTRACT($I62,""^[^｜]"&amp;"+""),ms_mst!$A:$A,ms_mst!$G:$G),0),
   IFERROR(XLOOKUP(""T""&amp;($B62-1)&amp;""_""&amp;$D62,$A:$A,$R:$R),0)
  )
  +IFERROR(XLOOKUP(REGEXEXTRACT($J62,""^[^｜]+""),tr_mst!$A:$A,tr_mst!$G:$G),0)
  +IFERROR(XLOOKUP(REGEXEXTRACT($K62,""^[^｜]+""),tc_mst!$A:$A,tc_mst!$G:$G)"&amp;",0)
  +
  (
   IFERROR(XLOOKUP(REGEXEXTRACT($M62,""^[^｜]+""),ac_mst!$A:$A,ac_mst!$J:$J),0)
   +IFERROR(XLOOKUP(REGEXEXTRACT($N62,""^[^｜]+""),ac_mst!$A:$A,ac_mst!$J:$J),0)
   +IFERROR(
    XLOOKUP(
     IF(
      OR(
       IFERROR(REGEXEXTRACT($M62,""^[^｜"&amp;"]+""),"""")="""",
       IFERROR(REGEXEXTRACT($N62,""^[^｜]+""),"""")=""""
      ),
      """",
      IF(
       IFERROR(REGEXEXTRACT($M62,""^[^｜]+""),"""")&lt;IFERROR(REGEXEXTRACT($N62,""^[^｜]+""),""""),
       IFERROR(REGEXEXTRACT($M62,""^[^｜]+""),"""")&amp;""_"&amp;"""&amp;IFERROR(REGEXEXTRACT($N62,""^[^｜]+""),""""),
       IFERROR(REGEXEXTRACT($N62,""^[^｜]+""),"""")&amp;""_""&amp;IFERROR(REGEXEXTRACT($M62,""^[^｜]+""),"""")
      )
     ),
     sy_mst!$A:$A,
     sy_mst!$G:$G
    ),
    0
   )
  )
  *
  IFERROR(XLOOKUP(REGEXEXTR"&amp;"ACT($I62,""^[^｜]+""),ms_mst!$A:$A,ms_mst!$O:$O),1)
  *
  IF(
   $B62&gt;=IFERROR(XLOOKUP(REGEXEXTRACT($L62,""^[^｜]+""),sk_mst!$A:$A,sk_mst!$M:$M),999),
   IFERROR(XLOOKUP(REGEXEXTRACT($L62,""^[^｜]+""),sk_mst!$A:$A,sk_mst!$I:$I),1),
   1
  )
 )
)"),0.03)</f>
        <v>0.03</v>
      </c>
      <c r="S62" s="25">
        <f>IFERROR(__xludf.DUMMYFUNCTION("IF($A62="""","""",
 IF($F62=""market"",
  IFERROR(XLOOKUP(REGEXEXTRACT($J62,""^[^｜]+""),tr_mst!$A:$A,tr_mst!$H:$H),0)
  +IFERROR(XLOOKUP(REGEXEXTRACT($K62,""^[^｜]+""),tc_mst!$A:$A,tc_mst!$H:$H),0),
  IF($B62=0,
   IFERROR(XLOOKUP(REGEXEXTRACT($I62,""^[^｜]"&amp;"+""),ms_mst!$A:$A,ms_mst!$H:$H),0),
   IFERROR(XLOOKUP(""T""&amp;($B62-1)&amp;""_""&amp;$D62,$A:$A,$S:$S),0)
  )
  +IFERROR(XLOOKUP(REGEXEXTRACT($J62,""^[^｜]+""),tr_mst!$A:$A,tr_mst!$H:$H),0)
  +IFERROR(XLOOKUP(REGEXEXTRACT($K62,""^[^｜]+""),tc_mst!$A:$A,tc_mst!$H:$H)"&amp;",0)
  +
  (
   IFERROR(XLOOKUP(REGEXEXTRACT($M62,""^[^｜]+""),ac_mst!$A:$A,ac_mst!$K:$K),0)
   +IFERROR(XLOOKUP(REGEXEXTRACT($N62,""^[^｜]+""),ac_mst!$A:$A,ac_mst!$K:$K),0)
   +IFERROR(
    XLOOKUP(
     IF(
      OR(
       IFERROR(REGEXEXTRACT($M62,""^[^｜"&amp;"]+""),"""")="""",
       IFERROR(REGEXEXTRACT($N62,""^[^｜]+""),"""")=""""
      ),
      """",
      IF(
       IFERROR(REGEXEXTRACT($M62,""^[^｜]+""),"""")&lt;IFERROR(REGEXEXTRACT($N62,""^[^｜]+""),""""),
       IFERROR(REGEXEXTRACT($M62,""^[^｜]+""),"""")&amp;""_"&amp;"""&amp;IFERROR(REGEXEXTRACT($N62,""^[^｜]+""),""""),
       IFERROR(REGEXEXTRACT($N62,""^[^｜]+""),"""")&amp;""_""&amp;IFERROR(REGEXEXTRACT($M62,""^[^｜]+""),"""")
      )
     ),
     sy_mst!$A:$A,
     sy_mst!$H:$H
    ),
    0
   )
  )
  *
  IFERROR(XLOOKUP(REGEXEXTR"&amp;"ACT($I62,""^[^｜]+""),ms_mst!$A:$A,ms_mst!$P:$P),1)
  *
  IF(
   $B62&gt;=IFERROR(XLOOKUP(REGEXEXTRACT($L62,""^[^｜]+""),sk_mst!$A:$A,sk_mst!$M:$M),999),
   IFERROR(XLOOKUP(REGEXEXTRACT($L62,""^[^｜]+""),sk_mst!$A:$A,sk_mst!$J:$J),1),
   1
  )
 )
)"),0.0010999999999999998)</f>
        <v>0.0011</v>
      </c>
      <c r="T62" s="25">
        <f>IFERROR(__xludf.DUMMYFUNCTION("IF($A62="""","""",
 IF($F62=""market"",
  IFERROR(XLOOKUP(REGEXEXTRACT($J62,""^[^｜]+""),tr_mst!$A:$A,tr_mst!$I:$I),0)
  +IFERROR(XLOOKUP(REGEXEXTRACT($K62,""^[^｜]+""),tc_mst!$A:$A,tc_mst!$I:$I),0),
  IF($B62=0,
   IFERROR(XLOOKUP(REGEXEXTRACT($I62,""^[^｜]"&amp;"+""),ms_mst!$A:$A,ms_mst!$I:$I),0),
   IFERROR(XLOOKUP(""T""&amp;($B62-1)&amp;""_""&amp;$D62,$A:$A,$T:$T),0)
  )
  +IFERROR(XLOOKUP(REGEXEXTRACT($J62,""^[^｜]+""),tr_mst!$A:$A,tr_mst!$I:$I),0)
  +IFERROR(XLOOKUP(REGEXEXTRACT($K62,""^[^｜]+""),tc_mst!$A:$A,tc_mst!$I:$I)"&amp;",0)
  +
  (
   IFERROR(XLOOKUP(REGEXEXTRACT($M62,""^[^｜]+""),ac_mst!$A:$A,ac_mst!$L:$L),0)
   +IFERROR(XLOOKUP(REGEXEXTRACT($N62,""^[^｜]+""),ac_mst!$A:$A,ac_mst!$L:$L),0)
   +IFERROR(
    XLOOKUP(
     IF(
      OR(
       IFERROR(REGEXEXTRACT($M62,""^[^｜"&amp;"]+""),"""")="""",
       IFERROR(REGEXEXTRACT($N62,""^[^｜]+""),"""")=""""
      ),
      """",
      IF(
       IFERROR(REGEXEXTRACT($M62,""^[^｜]+""),"""")&lt;IFERROR(REGEXEXTRACT($N62,""^[^｜]+""),""""),
       IFERROR(REGEXEXTRACT($M62,""^[^｜]+""),"""")&amp;""_"&amp;"""&amp;IFERROR(REGEXEXTRACT($N62,""^[^｜]+""),""""),
       IFERROR(REGEXEXTRACT($N62,""^[^｜]+""),"""")&amp;""_""&amp;IFERROR(REGEXEXTRACT($M62,""^[^｜]+""),"""")
      )
     ),
     sy_mst!$A:$A,
     sy_mst!$I:$I
    ),
    0
   )
  )
  *
  IFERROR(XLOOKUP(REGEXEXTR"&amp;"ACT($I62,""^[^｜]+""),ms_mst!$A:$A,ms_mst!$Q:$Q),1)
  *
  IF(
   $B62&gt;=IFERROR(XLOOKUP(REGEXEXTRACT($L62,""^[^｜]+""),sk_mst!$A:$A,sk_mst!$M:$M),999),
   IFERROR(XLOOKUP(REGEXEXTRACT($L62,""^[^｜]+""),sk_mst!$A:$A,sk_mst!$K:$K),1),
   1
  )
 )
)"),400.0)</f>
        <v>400</v>
      </c>
      <c r="U62" s="25">
        <f>IFERROR(__xludf.DUMMYFUNCTION("IF($A62="""","""",
 IF($F62=""market"",
  IFERROR(XLOOKUP(REGEXEXTRACT($J62,""^[^｜]+""),tr_mst!$A:$A,tr_mst!$J:$J),0)
  +IFERROR(XLOOKUP(REGEXEXTRACT($K62,""^[^｜]+""),tc_mst!$A:$A,tc_mst!$J:$J),0),
  IF($B62=0,
   IFERROR(XLOOKUP(REGEXEXTRACT($I62,""^[^｜]"&amp;"+""),ms_mst!$A:$A,ms_mst!$J:$J),0),
   IFERROR(XLOOKUP(""T""&amp;($B62-1)&amp;""_""&amp;$D62,$A:$A,$U:$U),0)
  )
  +IFERROR(XLOOKUP(REGEXEXTRACT($J62,""^[^｜]+""),tr_mst!$A:$A,tr_mst!$J:$J),0)
  +IFERROR(XLOOKUP(REGEXEXTRACT($K62,""^[^｜]+""),tc_mst!$A:$A,tc_mst!$J:$J)"&amp;",0)
  +
  (
   IFERROR(XLOOKUP(REGEXEXTRACT($M62,""^[^｜]+""),ac_mst!$A:$A,ac_mst!$M:$M),0)
   +IFERROR(XLOOKUP(REGEXEXTRACT($N62,""^[^｜]+""),ac_mst!$A:$A,ac_mst!$M:$M),0)
   +IFERROR(
    XLOOKUP(
     IF(
      OR(
       IFERROR(REGEXEXTRACT($M62,""^[^｜"&amp;"]+""),"""")="""",
       IFERROR(REGEXEXTRACT($N62,""^[^｜]+""),"""")=""""
      ),
      """",
      IF(
       IFERROR(REGEXEXTRACT($M62,""^[^｜]+""),"""")&lt;IFERROR(REGEXEXTRACT($N62,""^[^｜]+""),""""),
       IFERROR(REGEXEXTRACT($M62,""^[^｜]+""),"""")&amp;""_"&amp;"""&amp;IFERROR(REGEXEXTRACT($N62,""^[^｜]+""),""""),
       IFERROR(REGEXEXTRACT($N62,""^[^｜]+""),"""")&amp;""_""&amp;IFERROR(REGEXEXTRACT($M62,""^[^｜]+""),"""")
      )
     ),
     sy_mst!$A:$A,
     sy_mst!$J:$J
    ),
    0
   )
  )
  *
  IFERROR(XLOOKUP(REGEXEXTR"&amp;"ACT($I62,""^[^｜]+""),ms_mst!$A:$A,ms_mst!$R:$R),1)
  *
  IF(
   $B62&gt;=IFERROR(XLOOKUP(REGEXEXTRACT($L62,""^[^｜]+""),sk_mst!$A:$A,sk_mst!$M:$M),999),
   IFERROR(XLOOKUP(REGEXEXTRACT($L62,""^[^｜]+""),sk_mst!$A:$A,sk_mst!$L:$L),1),
   1
  )
 )
)"),5.0)</f>
        <v>5</v>
      </c>
      <c r="V62" s="25">
        <f t="shared" si="1"/>
        <v>64</v>
      </c>
      <c r="W62" s="25">
        <f t="shared" si="2"/>
        <v>1850</v>
      </c>
      <c r="X62" s="25">
        <f t="shared" si="3"/>
        <v>-1786</v>
      </c>
      <c r="Y62" s="25">
        <f t="shared" si="4"/>
        <v>0.03</v>
      </c>
      <c r="Z62" s="25">
        <f>IFERROR(__xludf.DUMMYFUNCTION("IF($A62="""","""",
 IF($F62&lt;&gt;""player"","""",
  IFERROR(
   RANK(
    $X62,
    FILTER($X:$X,$B:$B=$B62,$F:$F=""player"",$X:$X&lt;&gt;""""),
    0
   ),
   """"
  )
 )
)"),8.0)</f>
        <v>8</v>
      </c>
      <c r="AA62" s="25" t="str">
        <f t="shared" si="5"/>
        <v>8位</v>
      </c>
      <c r="AB62" s="26">
        <f t="shared" si="6"/>
        <v>0</v>
      </c>
    </row>
    <row r="63">
      <c r="A63" s="25" t="s">
        <v>236</v>
      </c>
      <c r="B63" s="14">
        <v>4.0</v>
      </c>
      <c r="C63" s="14" t="s">
        <v>177</v>
      </c>
      <c r="D63" s="14" t="s">
        <v>178</v>
      </c>
      <c r="E63" s="25" t="s">
        <v>153</v>
      </c>
      <c r="F63" s="25" t="s">
        <v>154</v>
      </c>
      <c r="I63" s="25" t="str">
        <f>IFERROR(__xludf.DUMMYFUNCTION("IF($F63&lt;&gt;""player"","""",IFERROR(INDEX(FILTER(group_setup!$D$2:$D947,group_setup!$B$2:$B947=$C63,group_setup!$G$2:$G947=TRUE,group_setup!$H$2:$H947=""completed""),1),""""))"),"")</f>
        <v/>
      </c>
      <c r="J63" s="25" t="str">
        <f>IFERROR(__xludf.DUMMYFUNCTION("IFERROR(FILTER(market_event_log!$D$2:$D947,market_event_log!$C$2:$C947=$B63,market_event_log!$N$2:$N947=""active""),"""")"),"T03")</f>
        <v>T03</v>
      </c>
      <c r="K63" s="25" t="str">
        <f>IFERROR(__xludf.DUMMYFUNCTION("IFERROR(FILTER(market_event_log!$G$2:$G947,market_event_log!$C$2:$C947=$B63,market_event_log!$N$2:$N947=""active""),"""")"),"C04")</f>
        <v>C04</v>
      </c>
      <c r="L63" s="25" t="str">
        <f>IFERROR(__xludf.DUMMYFUNCTION("IF($F63&lt;&gt;""player"","""",IFERROR(INDEX(FILTER(group_setup!$E$2:$E947,group_setup!$B$2:$B947=$C63,group_setup!$G$2:$G947=TRUE,group_setup!$H$2:$H947=""completed""),1),""""))"),"")</f>
        <v/>
      </c>
      <c r="M63" s="25" t="str">
        <f>IFERROR(__xludf.DUMMYFUNCTION("IF($F63=""market"","""",IF($E63=""HUMAN"",IFERROR(FILTER(turn_log!$G$2:$G947,turn_log!$C$2:$C947=$B63,turn_log!$D$2:$D947=$C63,turn_log!$F$2:$F947=$E63),""""),IFERROR(FILTER(turn_log!$I$2:$I947,turn_log!$C$2:$C947=$B63,turn_log!$D$2:$D947=$C63,turn_log!$F"&amp;"$2:$F947=$E63),"""")))"),"")</f>
        <v/>
      </c>
      <c r="N63" s="25" t="str">
        <f>IFERROR(__xludf.DUMMYFUNCTION("IF($F63=""market"","""",IF($E63=""HUMAN"",IFERROR(FILTER(turn_log!$H$2:$H947,turn_log!$C$2:$C947=$B63,turn_log!$D$2:$D947=$C63,turn_log!$F$2:$F947=$E63),""""),IFERROR(FILTER(turn_log!$J$2:$J947,turn_log!$C$2:$C947=$B63,turn_log!$D$2:$D947=$C63,turn_log!$F"&amp;"$2:$F947=$E63),"""")))"),"")</f>
        <v/>
      </c>
      <c r="O63" s="25">
        <f>IFERROR(__xludf.DUMMYFUNCTION("IF($A63="""","""",
 IF($F63=""market"",
  IFERROR(XLOOKUP(REGEXEXTRACT($J63,""^[^｜]+""),tr_mst!$A:$A,tr_mst!$D:$D),0)
  +IFERROR(XLOOKUP(REGEXEXTRACT($K63,""^[^｜]+""),tc_mst!$A:$A,tc_mst!$D:$D),0),
  IF($B63=0,
   IFERROR(XLOOKUP(REGEXEXTRACT($I63,""^[^｜]"&amp;"+""),ms_mst!$A:$A,ms_mst!$D:$D),0),
   IFERROR(XLOOKUP(""T""&amp;($B63-1)&amp;""_""&amp;$D63,$A:$A,$O:$O),0)
  )
  +IFERROR(XLOOKUP(REGEXEXTRACT($J63,""^[^｜]+""),tr_mst!$A:$A,tr_mst!$D:$D),0)
  +IFERROR(XLOOKUP(REGEXEXTRACT($K63,""^[^｜]+""),tc_mst!$A:$A,tc_mst!$D:$D)"&amp;",0)
  +
  (
   IFERROR(XLOOKUP(REGEXEXTRACT($M63,""^[^｜]+""),ac_mst!$A:$A,ac_mst!$G:$G),0)
   +IFERROR(XLOOKUP(REGEXEXTRACT($N63,""^[^｜]+""),ac_mst!$A:$A,ac_mst!$G:$G),0)
   +IFERROR(
    XLOOKUP(
     IF(
      OR(
       IFERROR(REGEXEXTRACT($M63,""^[^｜"&amp;"]+""),"""")="""",
       IFERROR(REGEXEXTRACT($N63,""^[^｜]+""),"""")=""""
      ),
      """",
      IF(
       IFERROR(REGEXEXTRACT($M63,""^[^｜]+""),"""")&lt;IFERROR(REGEXEXTRACT($N63,""^[^｜]+""),""""),
       IFERROR(REGEXEXTRACT($M63,""^[^｜]+""),"""")&amp;""_"&amp;"""&amp;IFERROR(REGEXEXTRACT($N63,""^[^｜]+""),""""),
       IFERROR(REGEXEXTRACT($N63,""^[^｜]+""),"""")&amp;""_""&amp;IFERROR(REGEXEXTRACT($M63,""^[^｜]+""),"""")
      )
     ),
     sy_mst!$A:$A,
     sy_mst!$D:$D
    ),
    0
   )
  )
  *
  IFERROR(XLOOKUP(REGEXEXTR"&amp;"ACT($I63,""^[^｜]+""),ms_mst!$A:$A,ms_mst!$L:$L),1)
  *
  IF(
   $B63&gt;=IFERROR(XLOOKUP(REGEXEXTRACT($L63,""^[^｜]+""),sk_mst!$A:$A,sk_mst!$M:$M),999),
   IFERROR(XLOOKUP(REGEXEXTRACT($L63,""^[^｜]+""),sk_mst!$A:$A,sk_mst!$F:$F),1),
   1
  )
 )
)"),4600.0)</f>
        <v>4600</v>
      </c>
      <c r="P63" s="25">
        <f>IFERROR(__xludf.DUMMYFUNCTION("IF($A63="""","""",
 IF($F63=""market"",
  IFERROR(XLOOKUP(REGEXEXTRACT($J63,""^[^｜]+""),tr_mst!$A:$A,tr_mst!$E:$E),0)
  +IFERROR(XLOOKUP(REGEXEXTRACT($K63,""^[^｜]+""),tc_mst!$A:$A,tc_mst!$E:$E),0),
  IF($B63=0,
   IFERROR(XLOOKUP(REGEXEXTRACT($I63,""^[^｜]"&amp;"+""),ms_mst!$A:$A,ms_mst!$E:$E),0),
   IFERROR(XLOOKUP(""T""&amp;($B63-1)&amp;""_""&amp;$D63,$A:$A,$P:$P),0)
  )
  +IFERROR(XLOOKUP(REGEXEXTRACT($J63,""^[^｜]+""),tr_mst!$A:$A,tr_mst!$E:$E),0)
  +IFERROR(XLOOKUP(REGEXEXTRACT($K63,""^[^｜]+""),tc_mst!$A:$A,tc_mst!$E:$E)"&amp;",0)
  +
  (
   IFERROR(XLOOKUP(REGEXEXTRACT($M63,""^[^｜]+""),ac_mst!$A:$A,ac_mst!$H:$H),0)
   +IFERROR(XLOOKUP(REGEXEXTRACT($N63,""^[^｜]+""),ac_mst!$A:$A,ac_mst!$H:$H),0)
   +IFERROR(
    XLOOKUP(
     IF(
      OR(
       IFERROR(REGEXEXTRACT($M63,""^[^｜"&amp;"]+""),"""")="""",
       IFERROR(REGEXEXTRACT($N63,""^[^｜]+""),"""")=""""
      ),
      """",
      IF(
       IFERROR(REGEXEXTRACT($M63,""^[^｜]+""),"""")&lt;IFERROR(REGEXEXTRACT($N63,""^[^｜]+""),""""),
       IFERROR(REGEXEXTRACT($M63,""^[^｜]+""),"""")&amp;""_"&amp;"""&amp;IFERROR(REGEXEXTRACT($N63,""^[^｜]+""),""""),
       IFERROR(REGEXEXTRACT($N63,""^[^｜]+""),"""")&amp;""_""&amp;IFERROR(REGEXEXTRACT($M63,""^[^｜]+""),"""")
      )
     ),
     sy_mst!$A:$A,
     sy_mst!$E:$E
    ),
    0
   )
  )
  *
  IFERROR(XLOOKUP(REGEXEXTR"&amp;"ACT($I63,""^[^｜]+""),ms_mst!$A:$A,ms_mst!$M:$M),1)
  *
  IF(
   $B63&gt;=IFERROR(XLOOKUP(REGEXEXTRACT($L63,""^[^｜]+""),sk_mst!$A:$A,sk_mst!$M:$M),999),
   IFERROR(XLOOKUP(REGEXEXTRACT($L63,""^[^｜]+""),sk_mst!$A:$A,sk_mst!$G:$G),1),
   1
  )
 )
)"),370.0)</f>
        <v>370</v>
      </c>
      <c r="Q63" s="25">
        <f>IFERROR(__xludf.DUMMYFUNCTION("IF($A63="""","""",
 IF($F63=""market"",
  IFERROR(XLOOKUP(REGEXEXTRACT($J63,""^[^｜]+""),tr_mst!$A:$A,tr_mst!$F:$F),0)
  +IFERROR(XLOOKUP(REGEXEXTRACT($K63,""^[^｜]+""),tc_mst!$A:$A,tc_mst!$F:$F),0),
  IF($B63=0,
   IFERROR(XLOOKUP(REGEXEXTRACT($I63,""^[^｜]"&amp;"+""),ms_mst!$A:$A,ms_mst!$F:$F),0),
   IFERROR(XLOOKUP(""T""&amp;($B63-1)&amp;""_""&amp;$D63,$A:$A,$Q:$Q),0)
  )
  +IFERROR(XLOOKUP(REGEXEXTRACT($J63,""^[^｜]+""),tr_mst!$A:$A,tr_mst!$F:$F),0)
  +IFERROR(XLOOKUP(REGEXEXTRACT($K63,""^[^｜]+""),tc_mst!$A:$A,tc_mst!$F:$F)"&amp;",0)
  +
  (
   IFERROR(XLOOKUP(REGEXEXTRACT($M63,""^[^｜]+""),ac_mst!$A:$A,ac_mst!$I:$I),0)
   +IFERROR(XLOOKUP(REGEXEXTRACT($N63,""^[^｜]+""),ac_mst!$A:$A,ac_mst!$I:$I),0)
   +IFERROR(
    XLOOKUP(
     IF(
      OR(
       IFERROR(REGEXEXTRACT($M63,""^[^｜"&amp;"]+""),"""")="""",
       IFERROR(REGEXEXTRACT($N63,""^[^｜]+""),"""")=""""
      ),
      """",
      IF(
       IFERROR(REGEXEXTRACT($M63,""^[^｜]+""),"""")&lt;IFERROR(REGEXEXTRACT($N63,""^[^｜]+""),""""),
       IFERROR(REGEXEXTRACT($M63,""^[^｜]+""),"""")&amp;""_"&amp;"""&amp;IFERROR(REGEXEXTRACT($N63,""^[^｜]+""),""""),
       IFERROR(REGEXEXTRACT($N63,""^[^｜]+""),"""")&amp;""_""&amp;IFERROR(REGEXEXTRACT($M63,""^[^｜]+""),"""")
      )
     ),
     sy_mst!$A:$A,
     sy_mst!$F:$F
    ),
    0
   )
  )
  *
  IFERROR(XLOOKUP(REGEXEXTR"&amp;"ACT($I63,""^[^｜]+""),ms_mst!$A:$A,ms_mst!$N:$N),1)
  *
  IF(
   $B63&gt;=IFERROR(XLOOKUP(REGEXEXTRACT($L63,""^[^｜]+""),sk_mst!$A:$A,sk_mst!$M:$M),999),
   IFERROR(XLOOKUP(REGEXEXTRACT($L63,""^[^｜]+""),sk_mst!$A:$A,sk_mst!$H:$H),1),
   1
  )
 )
)"),0.02)</f>
        <v>0.02</v>
      </c>
      <c r="R63" s="25">
        <f>IFERROR(__xludf.DUMMYFUNCTION("IF($A63="""","""",
 IF($F63=""market"",
  IFERROR(XLOOKUP(REGEXEXTRACT($J63,""^[^｜]+""),tr_mst!$A:$A,tr_mst!$G:$G),0)
  +IFERROR(XLOOKUP(REGEXEXTRACT($K63,""^[^｜]+""),tc_mst!$A:$A,tc_mst!$G:$G),0),
  IF($B63=0,
   IFERROR(XLOOKUP(REGEXEXTRACT($I63,""^[^｜]"&amp;"+""),ms_mst!$A:$A,ms_mst!$G:$G),0),
   IFERROR(XLOOKUP(""T""&amp;($B63-1)&amp;""_""&amp;$D63,$A:$A,$R:$R),0)
  )
  +IFERROR(XLOOKUP(REGEXEXTRACT($J63,""^[^｜]+""),tr_mst!$A:$A,tr_mst!$G:$G),0)
  +IFERROR(XLOOKUP(REGEXEXTRACT($K63,""^[^｜]+""),tc_mst!$A:$A,tc_mst!$G:$G)"&amp;",0)
  +
  (
   IFERROR(XLOOKUP(REGEXEXTRACT($M63,""^[^｜]+""),ac_mst!$A:$A,ac_mst!$J:$J),0)
   +IFERROR(XLOOKUP(REGEXEXTRACT($N63,""^[^｜]+""),ac_mst!$A:$A,ac_mst!$J:$J),0)
   +IFERROR(
    XLOOKUP(
     IF(
      OR(
       IFERROR(REGEXEXTRACT($M63,""^[^｜"&amp;"]+""),"""")="""",
       IFERROR(REGEXEXTRACT($N63,""^[^｜]+""),"""")=""""
      ),
      """",
      IF(
       IFERROR(REGEXEXTRACT($M63,""^[^｜]+""),"""")&lt;IFERROR(REGEXEXTRACT($N63,""^[^｜]+""),""""),
       IFERROR(REGEXEXTRACT($M63,""^[^｜]+""),"""")&amp;""_"&amp;"""&amp;IFERROR(REGEXEXTRACT($N63,""^[^｜]+""),""""),
       IFERROR(REGEXEXTRACT($N63,""^[^｜]+""),"""")&amp;""_""&amp;IFERROR(REGEXEXTRACT($M63,""^[^｜]+""),"""")
      )
     ),
     sy_mst!$A:$A,
     sy_mst!$G:$G
    ),
    0
   )
  )
  *
  IFERROR(XLOOKUP(REGEXEXTR"&amp;"ACT($I63,""^[^｜]+""),ms_mst!$A:$A,ms_mst!$O:$O),1)
  *
  IF(
   $B63&gt;=IFERROR(XLOOKUP(REGEXEXTRACT($L63,""^[^｜]+""),sk_mst!$A:$A,sk_mst!$M:$M),999),
   IFERROR(XLOOKUP(REGEXEXTRACT($L63,""^[^｜]+""),sk_mst!$A:$A,sk_mst!$I:$I),1),
   1
  )
 )
)"),0.03)</f>
        <v>0.03</v>
      </c>
      <c r="S63" s="25">
        <f>IFERROR(__xludf.DUMMYFUNCTION("IF($A63="""","""",
 IF($F63=""market"",
  IFERROR(XLOOKUP(REGEXEXTRACT($J63,""^[^｜]+""),tr_mst!$A:$A,tr_mst!$H:$H),0)
  +IFERROR(XLOOKUP(REGEXEXTRACT($K63,""^[^｜]+""),tc_mst!$A:$A,tc_mst!$H:$H),0),
  IF($B63=0,
   IFERROR(XLOOKUP(REGEXEXTRACT($I63,""^[^｜]"&amp;"+""),ms_mst!$A:$A,ms_mst!$H:$H),0),
   IFERROR(XLOOKUP(""T""&amp;($B63-1)&amp;""_""&amp;$D63,$A:$A,$S:$S),0)
  )
  +IFERROR(XLOOKUP(REGEXEXTRACT($J63,""^[^｜]+""),tr_mst!$A:$A,tr_mst!$H:$H),0)
  +IFERROR(XLOOKUP(REGEXEXTRACT($K63,""^[^｜]+""),tc_mst!$A:$A,tc_mst!$H:$H)"&amp;",0)
  +
  (
   IFERROR(XLOOKUP(REGEXEXTRACT($M63,""^[^｜]+""),ac_mst!$A:$A,ac_mst!$K:$K),0)
   +IFERROR(XLOOKUP(REGEXEXTRACT($N63,""^[^｜]+""),ac_mst!$A:$A,ac_mst!$K:$K),0)
   +IFERROR(
    XLOOKUP(
     IF(
      OR(
       IFERROR(REGEXEXTRACT($M63,""^[^｜"&amp;"]+""),"""")="""",
       IFERROR(REGEXEXTRACT($N63,""^[^｜]+""),"""")=""""
      ),
      """",
      IF(
       IFERROR(REGEXEXTRACT($M63,""^[^｜]+""),"""")&lt;IFERROR(REGEXEXTRACT($N63,""^[^｜]+""),""""),
       IFERROR(REGEXEXTRACT($M63,""^[^｜]+""),"""")&amp;""_"&amp;"""&amp;IFERROR(REGEXEXTRACT($N63,""^[^｜]+""),""""),
       IFERROR(REGEXEXTRACT($N63,""^[^｜]+""),"""")&amp;""_""&amp;IFERROR(REGEXEXTRACT($M63,""^[^｜]+""),"""")
      )
     ),
     sy_mst!$A:$A,
     sy_mst!$H:$H
    ),
    0
   )
  )
  *
  IFERROR(XLOOKUP(REGEXEXTR"&amp;"ACT($I63,""^[^｜]+""),ms_mst!$A:$A,ms_mst!$P:$P),1)
  *
  IF(
   $B63&gt;=IFERROR(XLOOKUP(REGEXEXTRACT($L63,""^[^｜]+""),sk_mst!$A:$A,sk_mst!$M:$M),999),
   IFERROR(XLOOKUP(REGEXEXTRACT($L63,""^[^｜]+""),sk_mst!$A:$A,sk_mst!$J:$J),1),
   1
  )
 )
)"),0.0010999999999999998)</f>
        <v>0.0011</v>
      </c>
      <c r="T63" s="25">
        <f>IFERROR(__xludf.DUMMYFUNCTION("IF($A63="""","""",
 IF($F63=""market"",
  IFERROR(XLOOKUP(REGEXEXTRACT($J63,""^[^｜]+""),tr_mst!$A:$A,tr_mst!$I:$I),0)
  +IFERROR(XLOOKUP(REGEXEXTRACT($K63,""^[^｜]+""),tc_mst!$A:$A,tc_mst!$I:$I),0),
  IF($B63=0,
   IFERROR(XLOOKUP(REGEXEXTRACT($I63,""^[^｜]"&amp;"+""),ms_mst!$A:$A,ms_mst!$I:$I),0),
   IFERROR(XLOOKUP(""T""&amp;($B63-1)&amp;""_""&amp;$D63,$A:$A,$T:$T),0)
  )
  +IFERROR(XLOOKUP(REGEXEXTRACT($J63,""^[^｜]+""),tr_mst!$A:$A,tr_mst!$I:$I),0)
  +IFERROR(XLOOKUP(REGEXEXTRACT($K63,""^[^｜]+""),tc_mst!$A:$A,tc_mst!$I:$I)"&amp;",0)
  +
  (
   IFERROR(XLOOKUP(REGEXEXTRACT($M63,""^[^｜]+""),ac_mst!$A:$A,ac_mst!$L:$L),0)
   +IFERROR(XLOOKUP(REGEXEXTRACT($N63,""^[^｜]+""),ac_mst!$A:$A,ac_mst!$L:$L),0)
   +IFERROR(
    XLOOKUP(
     IF(
      OR(
       IFERROR(REGEXEXTRACT($M63,""^[^｜"&amp;"]+""),"""")="""",
       IFERROR(REGEXEXTRACT($N63,""^[^｜]+""),"""")=""""
      ),
      """",
      IF(
       IFERROR(REGEXEXTRACT($M63,""^[^｜]+""),"""")&lt;IFERROR(REGEXEXTRACT($N63,""^[^｜]+""),""""),
       IFERROR(REGEXEXTRACT($M63,""^[^｜]+""),"""")&amp;""_"&amp;"""&amp;IFERROR(REGEXEXTRACT($N63,""^[^｜]+""),""""),
       IFERROR(REGEXEXTRACT($N63,""^[^｜]+""),"""")&amp;""_""&amp;IFERROR(REGEXEXTRACT($M63,""^[^｜]+""),"""")
      )
     ),
     sy_mst!$A:$A,
     sy_mst!$I:$I
    ),
    0
   )
  )
  *
  IFERROR(XLOOKUP(REGEXEXTR"&amp;"ACT($I63,""^[^｜]+""),ms_mst!$A:$A,ms_mst!$Q:$Q),1)
  *
  IF(
   $B63&gt;=IFERROR(XLOOKUP(REGEXEXTRACT($L63,""^[^｜]+""),sk_mst!$A:$A,sk_mst!$M:$M),999),
   IFERROR(XLOOKUP(REGEXEXTRACT($L63,""^[^｜]+""),sk_mst!$A:$A,sk_mst!$K:$K),1),
   1
  )
 )
)"),400.0)</f>
        <v>400</v>
      </c>
      <c r="U63" s="25">
        <f>IFERROR(__xludf.DUMMYFUNCTION("IF($A63="""","""",
 IF($F63=""market"",
  IFERROR(XLOOKUP(REGEXEXTRACT($J63,""^[^｜]+""),tr_mst!$A:$A,tr_mst!$J:$J),0)
  +IFERROR(XLOOKUP(REGEXEXTRACT($K63,""^[^｜]+""),tc_mst!$A:$A,tc_mst!$J:$J),0),
  IF($B63=0,
   IFERROR(XLOOKUP(REGEXEXTRACT($I63,""^[^｜]"&amp;"+""),ms_mst!$A:$A,ms_mst!$J:$J),0),
   IFERROR(XLOOKUP(""T""&amp;($B63-1)&amp;""_""&amp;$D63,$A:$A,$U:$U),0)
  )
  +IFERROR(XLOOKUP(REGEXEXTRACT($J63,""^[^｜]+""),tr_mst!$A:$A,tr_mst!$J:$J),0)
  +IFERROR(XLOOKUP(REGEXEXTRACT($K63,""^[^｜]+""),tc_mst!$A:$A,tc_mst!$J:$J)"&amp;",0)
  +
  (
   IFERROR(XLOOKUP(REGEXEXTRACT($M63,""^[^｜]+""),ac_mst!$A:$A,ac_mst!$M:$M),0)
   +IFERROR(XLOOKUP(REGEXEXTRACT($N63,""^[^｜]+""),ac_mst!$A:$A,ac_mst!$M:$M),0)
   +IFERROR(
    XLOOKUP(
     IF(
      OR(
       IFERROR(REGEXEXTRACT($M63,""^[^｜"&amp;"]+""),"""")="""",
       IFERROR(REGEXEXTRACT($N63,""^[^｜]+""),"""")=""""
      ),
      """",
      IF(
       IFERROR(REGEXEXTRACT($M63,""^[^｜]+""),"""")&lt;IFERROR(REGEXEXTRACT($N63,""^[^｜]+""),""""),
       IFERROR(REGEXEXTRACT($M63,""^[^｜]+""),"""")&amp;""_"&amp;"""&amp;IFERROR(REGEXEXTRACT($N63,""^[^｜]+""),""""),
       IFERROR(REGEXEXTRACT($N63,""^[^｜]+""),"""")&amp;""_""&amp;IFERROR(REGEXEXTRACT($M63,""^[^｜]+""),"""")
      )
     ),
     sy_mst!$A:$A,
     sy_mst!$J:$J
    ),
    0
   )
  )
  *
  IFERROR(XLOOKUP(REGEXEXTR"&amp;"ACT($I63,""^[^｜]+""),ms_mst!$A:$A,ms_mst!$R:$R),1)
  *
  IF(
   $B63&gt;=IFERROR(XLOOKUP(REGEXEXTRACT($L63,""^[^｜]+""),sk_mst!$A:$A,sk_mst!$M:$M),999),
   IFERROR(XLOOKUP(REGEXEXTRACT($L63,""^[^｜]+""),sk_mst!$A:$A,sk_mst!$L:$L),1),
   1
  )
 )
)"),5.0)</f>
        <v>5</v>
      </c>
      <c r="V63" s="25">
        <f t="shared" si="1"/>
        <v>64</v>
      </c>
      <c r="W63" s="25">
        <f t="shared" si="2"/>
        <v>1850</v>
      </c>
      <c r="X63" s="25">
        <f t="shared" si="3"/>
        <v>-1786</v>
      </c>
      <c r="Y63" s="25">
        <f t="shared" si="4"/>
        <v>0.03</v>
      </c>
      <c r="Z63" s="25">
        <f>IFERROR(__xludf.DUMMYFUNCTION("IF($A63="""","""",
 IF($F63&lt;&gt;""player"","""",
  IFERROR(
   RANK(
    $X63,
    FILTER($X:$X,$B:$B=$B63,$F:$F=""player"",$X:$X&lt;&gt;""""),
    0
   ),
   """"
  )
 )
)"),8.0)</f>
        <v>8</v>
      </c>
      <c r="AA63" s="25" t="str">
        <f t="shared" si="5"/>
        <v>8位</v>
      </c>
      <c r="AB63" s="26">
        <f t="shared" si="6"/>
        <v>0</v>
      </c>
    </row>
    <row r="64">
      <c r="A64" s="25" t="s">
        <v>237</v>
      </c>
      <c r="B64" s="14">
        <v>4.0</v>
      </c>
      <c r="C64" s="14" t="s">
        <v>180</v>
      </c>
      <c r="D64" s="14" t="s">
        <v>181</v>
      </c>
      <c r="E64" s="25" t="s">
        <v>153</v>
      </c>
      <c r="F64" s="25" t="s">
        <v>154</v>
      </c>
      <c r="I64" s="25" t="str">
        <f>IFERROR(__xludf.DUMMYFUNCTION("IF($F64&lt;&gt;""player"","""",IFERROR(INDEX(FILTER(group_setup!$D$2:$D947,group_setup!$B$2:$B947=$C64,group_setup!$G$2:$G947=TRUE,group_setup!$H$2:$H947=""completed""),1),""""))"),"")</f>
        <v/>
      </c>
      <c r="J64" s="25" t="str">
        <f>IFERROR(__xludf.DUMMYFUNCTION("IFERROR(FILTER(market_event_log!$D$2:$D947,market_event_log!$C$2:$C947=$B64,market_event_log!$N$2:$N947=""active""),"""")"),"T03")</f>
        <v>T03</v>
      </c>
      <c r="K64" s="25" t="str">
        <f>IFERROR(__xludf.DUMMYFUNCTION("IFERROR(FILTER(market_event_log!$G$2:$G947,market_event_log!$C$2:$C947=$B64,market_event_log!$N$2:$N947=""active""),"""")"),"C04")</f>
        <v>C04</v>
      </c>
      <c r="L64" s="25" t="str">
        <f>IFERROR(__xludf.DUMMYFUNCTION("IF($F64&lt;&gt;""player"","""",IFERROR(INDEX(FILTER(group_setup!$E$2:$E947,group_setup!$B$2:$B947=$C64,group_setup!$G$2:$G947=TRUE,group_setup!$H$2:$H947=""completed""),1),""""))"),"")</f>
        <v/>
      </c>
      <c r="M64" s="25" t="str">
        <f>IFERROR(__xludf.DUMMYFUNCTION("IF($F64=""market"","""",IF($E64=""HUMAN"",IFERROR(FILTER(turn_log!$G$2:$G947,turn_log!$C$2:$C947=$B64,turn_log!$D$2:$D947=$C64,turn_log!$F$2:$F947=$E64),""""),IFERROR(FILTER(turn_log!$I$2:$I947,turn_log!$C$2:$C947=$B64,turn_log!$D$2:$D947=$C64,turn_log!$F"&amp;"$2:$F947=$E64),"""")))"),"")</f>
        <v/>
      </c>
      <c r="N64" s="25" t="str">
        <f>IFERROR(__xludf.DUMMYFUNCTION("IF($F64=""market"","""",IF($E64=""HUMAN"",IFERROR(FILTER(turn_log!$H$2:$H947,turn_log!$C$2:$C947=$B64,turn_log!$D$2:$D947=$C64,turn_log!$F$2:$F947=$E64),""""),IFERROR(FILTER(turn_log!$J$2:$J947,turn_log!$C$2:$C947=$B64,turn_log!$D$2:$D947=$C64,turn_log!$F"&amp;"$2:$F947=$E64),"""")))"),"")</f>
        <v/>
      </c>
      <c r="O64" s="25">
        <f>IFERROR(__xludf.DUMMYFUNCTION("IF($A64="""","""",
 IF($F64=""market"",
  IFERROR(XLOOKUP(REGEXEXTRACT($J64,""^[^｜]+""),tr_mst!$A:$A,tr_mst!$D:$D),0)
  +IFERROR(XLOOKUP(REGEXEXTRACT($K64,""^[^｜]+""),tc_mst!$A:$A,tc_mst!$D:$D),0),
  IF($B64=0,
   IFERROR(XLOOKUP(REGEXEXTRACT($I64,""^[^｜]"&amp;"+""),ms_mst!$A:$A,ms_mst!$D:$D),0),
   IFERROR(XLOOKUP(""T""&amp;($B64-1)&amp;""_""&amp;$D64,$A:$A,$O:$O),0)
  )
  +IFERROR(XLOOKUP(REGEXEXTRACT($J64,""^[^｜]+""),tr_mst!$A:$A,tr_mst!$D:$D),0)
  +IFERROR(XLOOKUP(REGEXEXTRACT($K64,""^[^｜]+""),tc_mst!$A:$A,tc_mst!$D:$D)"&amp;",0)
  +
  (
   IFERROR(XLOOKUP(REGEXEXTRACT($M64,""^[^｜]+""),ac_mst!$A:$A,ac_mst!$G:$G),0)
   +IFERROR(XLOOKUP(REGEXEXTRACT($N64,""^[^｜]+""),ac_mst!$A:$A,ac_mst!$G:$G),0)
   +IFERROR(
    XLOOKUP(
     IF(
      OR(
       IFERROR(REGEXEXTRACT($M64,""^[^｜"&amp;"]+""),"""")="""",
       IFERROR(REGEXEXTRACT($N64,""^[^｜]+""),"""")=""""
      ),
      """",
      IF(
       IFERROR(REGEXEXTRACT($M64,""^[^｜]+""),"""")&lt;IFERROR(REGEXEXTRACT($N64,""^[^｜]+""),""""),
       IFERROR(REGEXEXTRACT($M64,""^[^｜]+""),"""")&amp;""_"&amp;"""&amp;IFERROR(REGEXEXTRACT($N64,""^[^｜]+""),""""),
       IFERROR(REGEXEXTRACT($N64,""^[^｜]+""),"""")&amp;""_""&amp;IFERROR(REGEXEXTRACT($M64,""^[^｜]+""),"""")
      )
     ),
     sy_mst!$A:$A,
     sy_mst!$D:$D
    ),
    0
   )
  )
  *
  IFERROR(XLOOKUP(REGEXEXTR"&amp;"ACT($I64,""^[^｜]+""),ms_mst!$A:$A,ms_mst!$L:$L),1)
  *
  IF(
   $B64&gt;=IFERROR(XLOOKUP(REGEXEXTRACT($L64,""^[^｜]+""),sk_mst!$A:$A,sk_mst!$M:$M),999),
   IFERROR(XLOOKUP(REGEXEXTRACT($L64,""^[^｜]+""),sk_mst!$A:$A,sk_mst!$F:$F),1),
   1
  )
 )
)"),4600.0)</f>
        <v>4600</v>
      </c>
      <c r="P64" s="25">
        <f>IFERROR(__xludf.DUMMYFUNCTION("IF($A64="""","""",
 IF($F64=""market"",
  IFERROR(XLOOKUP(REGEXEXTRACT($J64,""^[^｜]+""),tr_mst!$A:$A,tr_mst!$E:$E),0)
  +IFERROR(XLOOKUP(REGEXEXTRACT($K64,""^[^｜]+""),tc_mst!$A:$A,tc_mst!$E:$E),0),
  IF($B64=0,
   IFERROR(XLOOKUP(REGEXEXTRACT($I64,""^[^｜]"&amp;"+""),ms_mst!$A:$A,ms_mst!$E:$E),0),
   IFERROR(XLOOKUP(""T""&amp;($B64-1)&amp;""_""&amp;$D64,$A:$A,$P:$P),0)
  )
  +IFERROR(XLOOKUP(REGEXEXTRACT($J64,""^[^｜]+""),tr_mst!$A:$A,tr_mst!$E:$E),0)
  +IFERROR(XLOOKUP(REGEXEXTRACT($K64,""^[^｜]+""),tc_mst!$A:$A,tc_mst!$E:$E)"&amp;",0)
  +
  (
   IFERROR(XLOOKUP(REGEXEXTRACT($M64,""^[^｜]+""),ac_mst!$A:$A,ac_mst!$H:$H),0)
   +IFERROR(XLOOKUP(REGEXEXTRACT($N64,""^[^｜]+""),ac_mst!$A:$A,ac_mst!$H:$H),0)
   +IFERROR(
    XLOOKUP(
     IF(
      OR(
       IFERROR(REGEXEXTRACT($M64,""^[^｜"&amp;"]+""),"""")="""",
       IFERROR(REGEXEXTRACT($N64,""^[^｜]+""),"""")=""""
      ),
      """",
      IF(
       IFERROR(REGEXEXTRACT($M64,""^[^｜]+""),"""")&lt;IFERROR(REGEXEXTRACT($N64,""^[^｜]+""),""""),
       IFERROR(REGEXEXTRACT($M64,""^[^｜]+""),"""")&amp;""_"&amp;"""&amp;IFERROR(REGEXEXTRACT($N64,""^[^｜]+""),""""),
       IFERROR(REGEXEXTRACT($N64,""^[^｜]+""),"""")&amp;""_""&amp;IFERROR(REGEXEXTRACT($M64,""^[^｜]+""),"""")
      )
     ),
     sy_mst!$A:$A,
     sy_mst!$E:$E
    ),
    0
   )
  )
  *
  IFERROR(XLOOKUP(REGEXEXTR"&amp;"ACT($I64,""^[^｜]+""),ms_mst!$A:$A,ms_mst!$M:$M),1)
  *
  IF(
   $B64&gt;=IFERROR(XLOOKUP(REGEXEXTRACT($L64,""^[^｜]+""),sk_mst!$A:$A,sk_mst!$M:$M),999),
   IFERROR(XLOOKUP(REGEXEXTRACT($L64,""^[^｜]+""),sk_mst!$A:$A,sk_mst!$G:$G),1),
   1
  )
 )
)"),370.0)</f>
        <v>370</v>
      </c>
      <c r="Q64" s="25">
        <f>IFERROR(__xludf.DUMMYFUNCTION("IF($A64="""","""",
 IF($F64=""market"",
  IFERROR(XLOOKUP(REGEXEXTRACT($J64,""^[^｜]+""),tr_mst!$A:$A,tr_mst!$F:$F),0)
  +IFERROR(XLOOKUP(REGEXEXTRACT($K64,""^[^｜]+""),tc_mst!$A:$A,tc_mst!$F:$F),0),
  IF($B64=0,
   IFERROR(XLOOKUP(REGEXEXTRACT($I64,""^[^｜]"&amp;"+""),ms_mst!$A:$A,ms_mst!$F:$F),0),
   IFERROR(XLOOKUP(""T""&amp;($B64-1)&amp;""_""&amp;$D64,$A:$A,$Q:$Q),0)
  )
  +IFERROR(XLOOKUP(REGEXEXTRACT($J64,""^[^｜]+""),tr_mst!$A:$A,tr_mst!$F:$F),0)
  +IFERROR(XLOOKUP(REGEXEXTRACT($K64,""^[^｜]+""),tc_mst!$A:$A,tc_mst!$F:$F)"&amp;",0)
  +
  (
   IFERROR(XLOOKUP(REGEXEXTRACT($M64,""^[^｜]+""),ac_mst!$A:$A,ac_mst!$I:$I),0)
   +IFERROR(XLOOKUP(REGEXEXTRACT($N64,""^[^｜]+""),ac_mst!$A:$A,ac_mst!$I:$I),0)
   +IFERROR(
    XLOOKUP(
     IF(
      OR(
       IFERROR(REGEXEXTRACT($M64,""^[^｜"&amp;"]+""),"""")="""",
       IFERROR(REGEXEXTRACT($N64,""^[^｜]+""),"""")=""""
      ),
      """",
      IF(
       IFERROR(REGEXEXTRACT($M64,""^[^｜]+""),"""")&lt;IFERROR(REGEXEXTRACT($N64,""^[^｜]+""),""""),
       IFERROR(REGEXEXTRACT($M64,""^[^｜]+""),"""")&amp;""_"&amp;"""&amp;IFERROR(REGEXEXTRACT($N64,""^[^｜]+""),""""),
       IFERROR(REGEXEXTRACT($N64,""^[^｜]+""),"""")&amp;""_""&amp;IFERROR(REGEXEXTRACT($M64,""^[^｜]+""),"""")
      )
     ),
     sy_mst!$A:$A,
     sy_mst!$F:$F
    ),
    0
   )
  )
  *
  IFERROR(XLOOKUP(REGEXEXTR"&amp;"ACT($I64,""^[^｜]+""),ms_mst!$A:$A,ms_mst!$N:$N),1)
  *
  IF(
   $B64&gt;=IFERROR(XLOOKUP(REGEXEXTRACT($L64,""^[^｜]+""),sk_mst!$A:$A,sk_mst!$M:$M),999),
   IFERROR(XLOOKUP(REGEXEXTRACT($L64,""^[^｜]+""),sk_mst!$A:$A,sk_mst!$H:$H),1),
   1
  )
 )
)"),0.02)</f>
        <v>0.02</v>
      </c>
      <c r="R64" s="25">
        <f>IFERROR(__xludf.DUMMYFUNCTION("IF($A64="""","""",
 IF($F64=""market"",
  IFERROR(XLOOKUP(REGEXEXTRACT($J64,""^[^｜]+""),tr_mst!$A:$A,tr_mst!$G:$G),0)
  +IFERROR(XLOOKUP(REGEXEXTRACT($K64,""^[^｜]+""),tc_mst!$A:$A,tc_mst!$G:$G),0),
  IF($B64=0,
   IFERROR(XLOOKUP(REGEXEXTRACT($I64,""^[^｜]"&amp;"+""),ms_mst!$A:$A,ms_mst!$G:$G),0),
   IFERROR(XLOOKUP(""T""&amp;($B64-1)&amp;""_""&amp;$D64,$A:$A,$R:$R),0)
  )
  +IFERROR(XLOOKUP(REGEXEXTRACT($J64,""^[^｜]+""),tr_mst!$A:$A,tr_mst!$G:$G),0)
  +IFERROR(XLOOKUP(REGEXEXTRACT($K64,""^[^｜]+""),tc_mst!$A:$A,tc_mst!$G:$G)"&amp;",0)
  +
  (
   IFERROR(XLOOKUP(REGEXEXTRACT($M64,""^[^｜]+""),ac_mst!$A:$A,ac_mst!$J:$J),0)
   +IFERROR(XLOOKUP(REGEXEXTRACT($N64,""^[^｜]+""),ac_mst!$A:$A,ac_mst!$J:$J),0)
   +IFERROR(
    XLOOKUP(
     IF(
      OR(
       IFERROR(REGEXEXTRACT($M64,""^[^｜"&amp;"]+""),"""")="""",
       IFERROR(REGEXEXTRACT($N64,""^[^｜]+""),"""")=""""
      ),
      """",
      IF(
       IFERROR(REGEXEXTRACT($M64,""^[^｜]+""),"""")&lt;IFERROR(REGEXEXTRACT($N64,""^[^｜]+""),""""),
       IFERROR(REGEXEXTRACT($M64,""^[^｜]+""),"""")&amp;""_"&amp;"""&amp;IFERROR(REGEXEXTRACT($N64,""^[^｜]+""),""""),
       IFERROR(REGEXEXTRACT($N64,""^[^｜]+""),"""")&amp;""_""&amp;IFERROR(REGEXEXTRACT($M64,""^[^｜]+""),"""")
      )
     ),
     sy_mst!$A:$A,
     sy_mst!$G:$G
    ),
    0
   )
  )
  *
  IFERROR(XLOOKUP(REGEXEXTR"&amp;"ACT($I64,""^[^｜]+""),ms_mst!$A:$A,ms_mst!$O:$O),1)
  *
  IF(
   $B64&gt;=IFERROR(XLOOKUP(REGEXEXTRACT($L64,""^[^｜]+""),sk_mst!$A:$A,sk_mst!$M:$M),999),
   IFERROR(XLOOKUP(REGEXEXTRACT($L64,""^[^｜]+""),sk_mst!$A:$A,sk_mst!$I:$I),1),
   1
  )
 )
)"),0.03)</f>
        <v>0.03</v>
      </c>
      <c r="S64" s="25">
        <f>IFERROR(__xludf.DUMMYFUNCTION("IF($A64="""","""",
 IF($F64=""market"",
  IFERROR(XLOOKUP(REGEXEXTRACT($J64,""^[^｜]+""),tr_mst!$A:$A,tr_mst!$H:$H),0)
  +IFERROR(XLOOKUP(REGEXEXTRACT($K64,""^[^｜]+""),tc_mst!$A:$A,tc_mst!$H:$H),0),
  IF($B64=0,
   IFERROR(XLOOKUP(REGEXEXTRACT($I64,""^[^｜]"&amp;"+""),ms_mst!$A:$A,ms_mst!$H:$H),0),
   IFERROR(XLOOKUP(""T""&amp;($B64-1)&amp;""_""&amp;$D64,$A:$A,$S:$S),0)
  )
  +IFERROR(XLOOKUP(REGEXEXTRACT($J64,""^[^｜]+""),tr_mst!$A:$A,tr_mst!$H:$H),0)
  +IFERROR(XLOOKUP(REGEXEXTRACT($K64,""^[^｜]+""),tc_mst!$A:$A,tc_mst!$H:$H)"&amp;",0)
  +
  (
   IFERROR(XLOOKUP(REGEXEXTRACT($M64,""^[^｜]+""),ac_mst!$A:$A,ac_mst!$K:$K),0)
   +IFERROR(XLOOKUP(REGEXEXTRACT($N64,""^[^｜]+""),ac_mst!$A:$A,ac_mst!$K:$K),0)
   +IFERROR(
    XLOOKUP(
     IF(
      OR(
       IFERROR(REGEXEXTRACT($M64,""^[^｜"&amp;"]+""),"""")="""",
       IFERROR(REGEXEXTRACT($N64,""^[^｜]+""),"""")=""""
      ),
      """",
      IF(
       IFERROR(REGEXEXTRACT($M64,""^[^｜]+""),"""")&lt;IFERROR(REGEXEXTRACT($N64,""^[^｜]+""),""""),
       IFERROR(REGEXEXTRACT($M64,""^[^｜]+""),"""")&amp;""_"&amp;"""&amp;IFERROR(REGEXEXTRACT($N64,""^[^｜]+""),""""),
       IFERROR(REGEXEXTRACT($N64,""^[^｜]+""),"""")&amp;""_""&amp;IFERROR(REGEXEXTRACT($M64,""^[^｜]+""),"""")
      )
     ),
     sy_mst!$A:$A,
     sy_mst!$H:$H
    ),
    0
   )
  )
  *
  IFERROR(XLOOKUP(REGEXEXTR"&amp;"ACT($I64,""^[^｜]+""),ms_mst!$A:$A,ms_mst!$P:$P),1)
  *
  IF(
   $B64&gt;=IFERROR(XLOOKUP(REGEXEXTRACT($L64,""^[^｜]+""),sk_mst!$A:$A,sk_mst!$M:$M),999),
   IFERROR(XLOOKUP(REGEXEXTRACT($L64,""^[^｜]+""),sk_mst!$A:$A,sk_mst!$J:$J),1),
   1
  )
 )
)"),0.0010999999999999998)</f>
        <v>0.0011</v>
      </c>
      <c r="T64" s="25">
        <f>IFERROR(__xludf.DUMMYFUNCTION("IF($A64="""","""",
 IF($F64=""market"",
  IFERROR(XLOOKUP(REGEXEXTRACT($J64,""^[^｜]+""),tr_mst!$A:$A,tr_mst!$I:$I),0)
  +IFERROR(XLOOKUP(REGEXEXTRACT($K64,""^[^｜]+""),tc_mst!$A:$A,tc_mst!$I:$I),0),
  IF($B64=0,
   IFERROR(XLOOKUP(REGEXEXTRACT($I64,""^[^｜]"&amp;"+""),ms_mst!$A:$A,ms_mst!$I:$I),0),
   IFERROR(XLOOKUP(""T""&amp;($B64-1)&amp;""_""&amp;$D64,$A:$A,$T:$T),0)
  )
  +IFERROR(XLOOKUP(REGEXEXTRACT($J64,""^[^｜]+""),tr_mst!$A:$A,tr_mst!$I:$I),0)
  +IFERROR(XLOOKUP(REGEXEXTRACT($K64,""^[^｜]+""),tc_mst!$A:$A,tc_mst!$I:$I)"&amp;",0)
  +
  (
   IFERROR(XLOOKUP(REGEXEXTRACT($M64,""^[^｜]+""),ac_mst!$A:$A,ac_mst!$L:$L),0)
   +IFERROR(XLOOKUP(REGEXEXTRACT($N64,""^[^｜]+""),ac_mst!$A:$A,ac_mst!$L:$L),0)
   +IFERROR(
    XLOOKUP(
     IF(
      OR(
       IFERROR(REGEXEXTRACT($M64,""^[^｜"&amp;"]+""),"""")="""",
       IFERROR(REGEXEXTRACT($N64,""^[^｜]+""),"""")=""""
      ),
      """",
      IF(
       IFERROR(REGEXEXTRACT($M64,""^[^｜]+""),"""")&lt;IFERROR(REGEXEXTRACT($N64,""^[^｜]+""),""""),
       IFERROR(REGEXEXTRACT($M64,""^[^｜]+""),"""")&amp;""_"&amp;"""&amp;IFERROR(REGEXEXTRACT($N64,""^[^｜]+""),""""),
       IFERROR(REGEXEXTRACT($N64,""^[^｜]+""),"""")&amp;""_""&amp;IFERROR(REGEXEXTRACT($M64,""^[^｜]+""),"""")
      )
     ),
     sy_mst!$A:$A,
     sy_mst!$I:$I
    ),
    0
   )
  )
  *
  IFERROR(XLOOKUP(REGEXEXTR"&amp;"ACT($I64,""^[^｜]+""),ms_mst!$A:$A,ms_mst!$Q:$Q),1)
  *
  IF(
   $B64&gt;=IFERROR(XLOOKUP(REGEXEXTRACT($L64,""^[^｜]+""),sk_mst!$A:$A,sk_mst!$M:$M),999),
   IFERROR(XLOOKUP(REGEXEXTRACT($L64,""^[^｜]+""),sk_mst!$A:$A,sk_mst!$K:$K),1),
   1
  )
 )
)"),400.0)</f>
        <v>400</v>
      </c>
      <c r="U64" s="25">
        <f>IFERROR(__xludf.DUMMYFUNCTION("IF($A64="""","""",
 IF($F64=""market"",
  IFERROR(XLOOKUP(REGEXEXTRACT($J64,""^[^｜]+""),tr_mst!$A:$A,tr_mst!$J:$J),0)
  +IFERROR(XLOOKUP(REGEXEXTRACT($K64,""^[^｜]+""),tc_mst!$A:$A,tc_mst!$J:$J),0),
  IF($B64=0,
   IFERROR(XLOOKUP(REGEXEXTRACT($I64,""^[^｜]"&amp;"+""),ms_mst!$A:$A,ms_mst!$J:$J),0),
   IFERROR(XLOOKUP(""T""&amp;($B64-1)&amp;""_""&amp;$D64,$A:$A,$U:$U),0)
  )
  +IFERROR(XLOOKUP(REGEXEXTRACT($J64,""^[^｜]+""),tr_mst!$A:$A,tr_mst!$J:$J),0)
  +IFERROR(XLOOKUP(REGEXEXTRACT($K64,""^[^｜]+""),tc_mst!$A:$A,tc_mst!$J:$J)"&amp;",0)
  +
  (
   IFERROR(XLOOKUP(REGEXEXTRACT($M64,""^[^｜]+""),ac_mst!$A:$A,ac_mst!$M:$M),0)
   +IFERROR(XLOOKUP(REGEXEXTRACT($N64,""^[^｜]+""),ac_mst!$A:$A,ac_mst!$M:$M),0)
   +IFERROR(
    XLOOKUP(
     IF(
      OR(
       IFERROR(REGEXEXTRACT($M64,""^[^｜"&amp;"]+""),"""")="""",
       IFERROR(REGEXEXTRACT($N64,""^[^｜]+""),"""")=""""
      ),
      """",
      IF(
       IFERROR(REGEXEXTRACT($M64,""^[^｜]+""),"""")&lt;IFERROR(REGEXEXTRACT($N64,""^[^｜]+""),""""),
       IFERROR(REGEXEXTRACT($M64,""^[^｜]+""),"""")&amp;""_"&amp;"""&amp;IFERROR(REGEXEXTRACT($N64,""^[^｜]+""),""""),
       IFERROR(REGEXEXTRACT($N64,""^[^｜]+""),"""")&amp;""_""&amp;IFERROR(REGEXEXTRACT($M64,""^[^｜]+""),"""")
      )
     ),
     sy_mst!$A:$A,
     sy_mst!$J:$J
    ),
    0
   )
  )
  *
  IFERROR(XLOOKUP(REGEXEXTR"&amp;"ACT($I64,""^[^｜]+""),ms_mst!$A:$A,ms_mst!$R:$R),1)
  *
  IF(
   $B64&gt;=IFERROR(XLOOKUP(REGEXEXTRACT($L64,""^[^｜]+""),sk_mst!$A:$A,sk_mst!$M:$M),999),
   IFERROR(XLOOKUP(REGEXEXTRACT($L64,""^[^｜]+""),sk_mst!$A:$A,sk_mst!$L:$L),1),
   1
  )
 )
)"),5.0)</f>
        <v>5</v>
      </c>
      <c r="V64" s="25">
        <f t="shared" si="1"/>
        <v>64</v>
      </c>
      <c r="W64" s="25">
        <f t="shared" si="2"/>
        <v>1850</v>
      </c>
      <c r="X64" s="25">
        <f t="shared" si="3"/>
        <v>-1786</v>
      </c>
      <c r="Y64" s="25">
        <f t="shared" si="4"/>
        <v>0.03</v>
      </c>
      <c r="Z64" s="25">
        <f>IFERROR(__xludf.DUMMYFUNCTION("IF($A64="""","""",
 IF($F64&lt;&gt;""player"","""",
  IFERROR(
   RANK(
    $X64,
    FILTER($X:$X,$B:$B=$B64,$F:$F=""player"",$X:$X&lt;&gt;""""),
    0
   ),
   """"
  )
 )
)"),8.0)</f>
        <v>8</v>
      </c>
      <c r="AA64" s="25" t="str">
        <f t="shared" si="5"/>
        <v>8位</v>
      </c>
      <c r="AB64" s="26">
        <f t="shared" si="6"/>
        <v>0</v>
      </c>
    </row>
    <row r="65">
      <c r="A65" s="25" t="s">
        <v>238</v>
      </c>
      <c r="B65" s="14">
        <v>4.0</v>
      </c>
      <c r="C65" s="14" t="s">
        <v>183</v>
      </c>
      <c r="D65" s="14" t="s">
        <v>184</v>
      </c>
      <c r="E65" s="25" t="s">
        <v>153</v>
      </c>
      <c r="F65" s="25" t="s">
        <v>154</v>
      </c>
      <c r="I65" s="25" t="str">
        <f>IFERROR(__xludf.DUMMYFUNCTION("IF($F65&lt;&gt;""player"","""",IFERROR(INDEX(FILTER(group_setup!$D$2:$D947,group_setup!$B$2:$B947=$C65,group_setup!$G$2:$G947=TRUE,group_setup!$H$2:$H947=""completed""),1),""""))"),"")</f>
        <v/>
      </c>
      <c r="J65" s="25" t="str">
        <f>IFERROR(__xludf.DUMMYFUNCTION("IFERROR(FILTER(market_event_log!$D$2:$D947,market_event_log!$C$2:$C947=$B65,market_event_log!$N$2:$N947=""active""),"""")"),"T03")</f>
        <v>T03</v>
      </c>
      <c r="K65" s="25" t="str">
        <f>IFERROR(__xludf.DUMMYFUNCTION("IFERROR(FILTER(market_event_log!$G$2:$G947,market_event_log!$C$2:$C947=$B65,market_event_log!$N$2:$N947=""active""),"""")"),"C04")</f>
        <v>C04</v>
      </c>
      <c r="L65" s="25" t="str">
        <f>IFERROR(__xludf.DUMMYFUNCTION("IF($F65&lt;&gt;""player"","""",IFERROR(INDEX(FILTER(group_setup!$E$2:$E947,group_setup!$B$2:$B947=$C65,group_setup!$G$2:$G947=TRUE,group_setup!$H$2:$H947=""completed""),1),""""))"),"")</f>
        <v/>
      </c>
      <c r="M65" s="25" t="str">
        <f>IFERROR(__xludf.DUMMYFUNCTION("IF($F65=""market"","""",IF($E65=""HUMAN"",IFERROR(FILTER(turn_log!$G$2:$G947,turn_log!$C$2:$C947=$B65,turn_log!$D$2:$D947=$C65,turn_log!$F$2:$F947=$E65),""""),IFERROR(FILTER(turn_log!$I$2:$I947,turn_log!$C$2:$C947=$B65,turn_log!$D$2:$D947=$C65,turn_log!$F"&amp;"$2:$F947=$E65),"""")))"),"")</f>
        <v/>
      </c>
      <c r="N65" s="25" t="str">
        <f>IFERROR(__xludf.DUMMYFUNCTION("IF($F65=""market"","""",IF($E65=""HUMAN"",IFERROR(FILTER(turn_log!$H$2:$H947,turn_log!$C$2:$C947=$B65,turn_log!$D$2:$D947=$C65,turn_log!$F$2:$F947=$E65),""""),IFERROR(FILTER(turn_log!$J$2:$J947,turn_log!$C$2:$C947=$B65,turn_log!$D$2:$D947=$C65,turn_log!$F"&amp;"$2:$F947=$E65),"""")))"),"")</f>
        <v/>
      </c>
      <c r="O65" s="25">
        <f>IFERROR(__xludf.DUMMYFUNCTION("IF($A65="""","""",
 IF($F65=""market"",
  IFERROR(XLOOKUP(REGEXEXTRACT($J65,""^[^｜]+""),tr_mst!$A:$A,tr_mst!$D:$D),0)
  +IFERROR(XLOOKUP(REGEXEXTRACT($K65,""^[^｜]+""),tc_mst!$A:$A,tc_mst!$D:$D),0),
  IF($B65=0,
   IFERROR(XLOOKUP(REGEXEXTRACT($I65,""^[^｜]"&amp;"+""),ms_mst!$A:$A,ms_mst!$D:$D),0),
   IFERROR(XLOOKUP(""T""&amp;($B65-1)&amp;""_""&amp;$D65,$A:$A,$O:$O),0)
  )
  +IFERROR(XLOOKUP(REGEXEXTRACT($J65,""^[^｜]+""),tr_mst!$A:$A,tr_mst!$D:$D),0)
  +IFERROR(XLOOKUP(REGEXEXTRACT($K65,""^[^｜]+""),tc_mst!$A:$A,tc_mst!$D:$D)"&amp;",0)
  +
  (
   IFERROR(XLOOKUP(REGEXEXTRACT($M65,""^[^｜]+""),ac_mst!$A:$A,ac_mst!$G:$G),0)
   +IFERROR(XLOOKUP(REGEXEXTRACT($N65,""^[^｜]+""),ac_mst!$A:$A,ac_mst!$G:$G),0)
   +IFERROR(
    XLOOKUP(
     IF(
      OR(
       IFERROR(REGEXEXTRACT($M65,""^[^｜"&amp;"]+""),"""")="""",
       IFERROR(REGEXEXTRACT($N65,""^[^｜]+""),"""")=""""
      ),
      """",
      IF(
       IFERROR(REGEXEXTRACT($M65,""^[^｜]+""),"""")&lt;IFERROR(REGEXEXTRACT($N65,""^[^｜]+""),""""),
       IFERROR(REGEXEXTRACT($M65,""^[^｜]+""),"""")&amp;""_"&amp;"""&amp;IFERROR(REGEXEXTRACT($N65,""^[^｜]+""),""""),
       IFERROR(REGEXEXTRACT($N65,""^[^｜]+""),"""")&amp;""_""&amp;IFERROR(REGEXEXTRACT($M65,""^[^｜]+""),"""")
      )
     ),
     sy_mst!$A:$A,
     sy_mst!$D:$D
    ),
    0
   )
  )
  *
  IFERROR(XLOOKUP(REGEXEXTR"&amp;"ACT($I65,""^[^｜]+""),ms_mst!$A:$A,ms_mst!$L:$L),1)
  *
  IF(
   $B65&gt;=IFERROR(XLOOKUP(REGEXEXTRACT($L65,""^[^｜]+""),sk_mst!$A:$A,sk_mst!$M:$M),999),
   IFERROR(XLOOKUP(REGEXEXTRACT($L65,""^[^｜]+""),sk_mst!$A:$A,sk_mst!$F:$F),1),
   1
  )
 )
)"),4600.0)</f>
        <v>4600</v>
      </c>
      <c r="P65" s="25">
        <f>IFERROR(__xludf.DUMMYFUNCTION("IF($A65="""","""",
 IF($F65=""market"",
  IFERROR(XLOOKUP(REGEXEXTRACT($J65,""^[^｜]+""),tr_mst!$A:$A,tr_mst!$E:$E),0)
  +IFERROR(XLOOKUP(REGEXEXTRACT($K65,""^[^｜]+""),tc_mst!$A:$A,tc_mst!$E:$E),0),
  IF($B65=0,
   IFERROR(XLOOKUP(REGEXEXTRACT($I65,""^[^｜]"&amp;"+""),ms_mst!$A:$A,ms_mst!$E:$E),0),
   IFERROR(XLOOKUP(""T""&amp;($B65-1)&amp;""_""&amp;$D65,$A:$A,$P:$P),0)
  )
  +IFERROR(XLOOKUP(REGEXEXTRACT($J65,""^[^｜]+""),tr_mst!$A:$A,tr_mst!$E:$E),0)
  +IFERROR(XLOOKUP(REGEXEXTRACT($K65,""^[^｜]+""),tc_mst!$A:$A,tc_mst!$E:$E)"&amp;",0)
  +
  (
   IFERROR(XLOOKUP(REGEXEXTRACT($M65,""^[^｜]+""),ac_mst!$A:$A,ac_mst!$H:$H),0)
   +IFERROR(XLOOKUP(REGEXEXTRACT($N65,""^[^｜]+""),ac_mst!$A:$A,ac_mst!$H:$H),0)
   +IFERROR(
    XLOOKUP(
     IF(
      OR(
       IFERROR(REGEXEXTRACT($M65,""^[^｜"&amp;"]+""),"""")="""",
       IFERROR(REGEXEXTRACT($N65,""^[^｜]+""),"""")=""""
      ),
      """",
      IF(
       IFERROR(REGEXEXTRACT($M65,""^[^｜]+""),"""")&lt;IFERROR(REGEXEXTRACT($N65,""^[^｜]+""),""""),
       IFERROR(REGEXEXTRACT($M65,""^[^｜]+""),"""")&amp;""_"&amp;"""&amp;IFERROR(REGEXEXTRACT($N65,""^[^｜]+""),""""),
       IFERROR(REGEXEXTRACT($N65,""^[^｜]+""),"""")&amp;""_""&amp;IFERROR(REGEXEXTRACT($M65,""^[^｜]+""),"""")
      )
     ),
     sy_mst!$A:$A,
     sy_mst!$E:$E
    ),
    0
   )
  )
  *
  IFERROR(XLOOKUP(REGEXEXTR"&amp;"ACT($I65,""^[^｜]+""),ms_mst!$A:$A,ms_mst!$M:$M),1)
  *
  IF(
   $B65&gt;=IFERROR(XLOOKUP(REGEXEXTRACT($L65,""^[^｜]+""),sk_mst!$A:$A,sk_mst!$M:$M),999),
   IFERROR(XLOOKUP(REGEXEXTRACT($L65,""^[^｜]+""),sk_mst!$A:$A,sk_mst!$G:$G),1),
   1
  )
 )
)"),370.0)</f>
        <v>370</v>
      </c>
      <c r="Q65" s="25">
        <f>IFERROR(__xludf.DUMMYFUNCTION("IF($A65="""","""",
 IF($F65=""market"",
  IFERROR(XLOOKUP(REGEXEXTRACT($J65,""^[^｜]+""),tr_mst!$A:$A,tr_mst!$F:$F),0)
  +IFERROR(XLOOKUP(REGEXEXTRACT($K65,""^[^｜]+""),tc_mst!$A:$A,tc_mst!$F:$F),0),
  IF($B65=0,
   IFERROR(XLOOKUP(REGEXEXTRACT($I65,""^[^｜]"&amp;"+""),ms_mst!$A:$A,ms_mst!$F:$F),0),
   IFERROR(XLOOKUP(""T""&amp;($B65-1)&amp;""_""&amp;$D65,$A:$A,$Q:$Q),0)
  )
  +IFERROR(XLOOKUP(REGEXEXTRACT($J65,""^[^｜]+""),tr_mst!$A:$A,tr_mst!$F:$F),0)
  +IFERROR(XLOOKUP(REGEXEXTRACT($K65,""^[^｜]+""),tc_mst!$A:$A,tc_mst!$F:$F)"&amp;",0)
  +
  (
   IFERROR(XLOOKUP(REGEXEXTRACT($M65,""^[^｜]+""),ac_mst!$A:$A,ac_mst!$I:$I),0)
   +IFERROR(XLOOKUP(REGEXEXTRACT($N65,""^[^｜]+""),ac_mst!$A:$A,ac_mst!$I:$I),0)
   +IFERROR(
    XLOOKUP(
     IF(
      OR(
       IFERROR(REGEXEXTRACT($M65,""^[^｜"&amp;"]+""),"""")="""",
       IFERROR(REGEXEXTRACT($N65,""^[^｜]+""),"""")=""""
      ),
      """",
      IF(
       IFERROR(REGEXEXTRACT($M65,""^[^｜]+""),"""")&lt;IFERROR(REGEXEXTRACT($N65,""^[^｜]+""),""""),
       IFERROR(REGEXEXTRACT($M65,""^[^｜]+""),"""")&amp;""_"&amp;"""&amp;IFERROR(REGEXEXTRACT($N65,""^[^｜]+""),""""),
       IFERROR(REGEXEXTRACT($N65,""^[^｜]+""),"""")&amp;""_""&amp;IFERROR(REGEXEXTRACT($M65,""^[^｜]+""),"""")
      )
     ),
     sy_mst!$A:$A,
     sy_mst!$F:$F
    ),
    0
   )
  )
  *
  IFERROR(XLOOKUP(REGEXEXTR"&amp;"ACT($I65,""^[^｜]+""),ms_mst!$A:$A,ms_mst!$N:$N),1)
  *
  IF(
   $B65&gt;=IFERROR(XLOOKUP(REGEXEXTRACT($L65,""^[^｜]+""),sk_mst!$A:$A,sk_mst!$M:$M),999),
   IFERROR(XLOOKUP(REGEXEXTRACT($L65,""^[^｜]+""),sk_mst!$A:$A,sk_mst!$H:$H),1),
   1
  )
 )
)"),0.02)</f>
        <v>0.02</v>
      </c>
      <c r="R65" s="25">
        <f>IFERROR(__xludf.DUMMYFUNCTION("IF($A65="""","""",
 IF($F65=""market"",
  IFERROR(XLOOKUP(REGEXEXTRACT($J65,""^[^｜]+""),tr_mst!$A:$A,tr_mst!$G:$G),0)
  +IFERROR(XLOOKUP(REGEXEXTRACT($K65,""^[^｜]+""),tc_mst!$A:$A,tc_mst!$G:$G),0),
  IF($B65=0,
   IFERROR(XLOOKUP(REGEXEXTRACT($I65,""^[^｜]"&amp;"+""),ms_mst!$A:$A,ms_mst!$G:$G),0),
   IFERROR(XLOOKUP(""T""&amp;($B65-1)&amp;""_""&amp;$D65,$A:$A,$R:$R),0)
  )
  +IFERROR(XLOOKUP(REGEXEXTRACT($J65,""^[^｜]+""),tr_mst!$A:$A,tr_mst!$G:$G),0)
  +IFERROR(XLOOKUP(REGEXEXTRACT($K65,""^[^｜]+""),tc_mst!$A:$A,tc_mst!$G:$G)"&amp;",0)
  +
  (
   IFERROR(XLOOKUP(REGEXEXTRACT($M65,""^[^｜]+""),ac_mst!$A:$A,ac_mst!$J:$J),0)
   +IFERROR(XLOOKUP(REGEXEXTRACT($N65,""^[^｜]+""),ac_mst!$A:$A,ac_mst!$J:$J),0)
   +IFERROR(
    XLOOKUP(
     IF(
      OR(
       IFERROR(REGEXEXTRACT($M65,""^[^｜"&amp;"]+""),"""")="""",
       IFERROR(REGEXEXTRACT($N65,""^[^｜]+""),"""")=""""
      ),
      """",
      IF(
       IFERROR(REGEXEXTRACT($M65,""^[^｜]+""),"""")&lt;IFERROR(REGEXEXTRACT($N65,""^[^｜]+""),""""),
       IFERROR(REGEXEXTRACT($M65,""^[^｜]+""),"""")&amp;""_"&amp;"""&amp;IFERROR(REGEXEXTRACT($N65,""^[^｜]+""),""""),
       IFERROR(REGEXEXTRACT($N65,""^[^｜]+""),"""")&amp;""_""&amp;IFERROR(REGEXEXTRACT($M65,""^[^｜]+""),"""")
      )
     ),
     sy_mst!$A:$A,
     sy_mst!$G:$G
    ),
    0
   )
  )
  *
  IFERROR(XLOOKUP(REGEXEXTR"&amp;"ACT($I65,""^[^｜]+""),ms_mst!$A:$A,ms_mst!$O:$O),1)
  *
  IF(
   $B65&gt;=IFERROR(XLOOKUP(REGEXEXTRACT($L65,""^[^｜]+""),sk_mst!$A:$A,sk_mst!$M:$M),999),
   IFERROR(XLOOKUP(REGEXEXTRACT($L65,""^[^｜]+""),sk_mst!$A:$A,sk_mst!$I:$I),1),
   1
  )
 )
)"),0.03)</f>
        <v>0.03</v>
      </c>
      <c r="S65" s="25">
        <f>IFERROR(__xludf.DUMMYFUNCTION("IF($A65="""","""",
 IF($F65=""market"",
  IFERROR(XLOOKUP(REGEXEXTRACT($J65,""^[^｜]+""),tr_mst!$A:$A,tr_mst!$H:$H),0)
  +IFERROR(XLOOKUP(REGEXEXTRACT($K65,""^[^｜]+""),tc_mst!$A:$A,tc_mst!$H:$H),0),
  IF($B65=0,
   IFERROR(XLOOKUP(REGEXEXTRACT($I65,""^[^｜]"&amp;"+""),ms_mst!$A:$A,ms_mst!$H:$H),0),
   IFERROR(XLOOKUP(""T""&amp;($B65-1)&amp;""_""&amp;$D65,$A:$A,$S:$S),0)
  )
  +IFERROR(XLOOKUP(REGEXEXTRACT($J65,""^[^｜]+""),tr_mst!$A:$A,tr_mst!$H:$H),0)
  +IFERROR(XLOOKUP(REGEXEXTRACT($K65,""^[^｜]+""),tc_mst!$A:$A,tc_mst!$H:$H)"&amp;",0)
  +
  (
   IFERROR(XLOOKUP(REGEXEXTRACT($M65,""^[^｜]+""),ac_mst!$A:$A,ac_mst!$K:$K),0)
   +IFERROR(XLOOKUP(REGEXEXTRACT($N65,""^[^｜]+""),ac_mst!$A:$A,ac_mst!$K:$K),0)
   +IFERROR(
    XLOOKUP(
     IF(
      OR(
       IFERROR(REGEXEXTRACT($M65,""^[^｜"&amp;"]+""),"""")="""",
       IFERROR(REGEXEXTRACT($N65,""^[^｜]+""),"""")=""""
      ),
      """",
      IF(
       IFERROR(REGEXEXTRACT($M65,""^[^｜]+""),"""")&lt;IFERROR(REGEXEXTRACT($N65,""^[^｜]+""),""""),
       IFERROR(REGEXEXTRACT($M65,""^[^｜]+""),"""")&amp;""_"&amp;"""&amp;IFERROR(REGEXEXTRACT($N65,""^[^｜]+""),""""),
       IFERROR(REGEXEXTRACT($N65,""^[^｜]+""),"""")&amp;""_""&amp;IFERROR(REGEXEXTRACT($M65,""^[^｜]+""),"""")
      )
     ),
     sy_mst!$A:$A,
     sy_mst!$H:$H
    ),
    0
   )
  )
  *
  IFERROR(XLOOKUP(REGEXEXTR"&amp;"ACT($I65,""^[^｜]+""),ms_mst!$A:$A,ms_mst!$P:$P),1)
  *
  IF(
   $B65&gt;=IFERROR(XLOOKUP(REGEXEXTRACT($L65,""^[^｜]+""),sk_mst!$A:$A,sk_mst!$M:$M),999),
   IFERROR(XLOOKUP(REGEXEXTRACT($L65,""^[^｜]+""),sk_mst!$A:$A,sk_mst!$J:$J),1),
   1
  )
 )
)"),0.0010999999999999998)</f>
        <v>0.0011</v>
      </c>
      <c r="T65" s="25">
        <f>IFERROR(__xludf.DUMMYFUNCTION("IF($A65="""","""",
 IF($F65=""market"",
  IFERROR(XLOOKUP(REGEXEXTRACT($J65,""^[^｜]+""),tr_mst!$A:$A,tr_mst!$I:$I),0)
  +IFERROR(XLOOKUP(REGEXEXTRACT($K65,""^[^｜]+""),tc_mst!$A:$A,tc_mst!$I:$I),0),
  IF($B65=0,
   IFERROR(XLOOKUP(REGEXEXTRACT($I65,""^[^｜]"&amp;"+""),ms_mst!$A:$A,ms_mst!$I:$I),0),
   IFERROR(XLOOKUP(""T""&amp;($B65-1)&amp;""_""&amp;$D65,$A:$A,$T:$T),0)
  )
  +IFERROR(XLOOKUP(REGEXEXTRACT($J65,""^[^｜]+""),tr_mst!$A:$A,tr_mst!$I:$I),0)
  +IFERROR(XLOOKUP(REGEXEXTRACT($K65,""^[^｜]+""),tc_mst!$A:$A,tc_mst!$I:$I)"&amp;",0)
  +
  (
   IFERROR(XLOOKUP(REGEXEXTRACT($M65,""^[^｜]+""),ac_mst!$A:$A,ac_mst!$L:$L),0)
   +IFERROR(XLOOKUP(REGEXEXTRACT($N65,""^[^｜]+""),ac_mst!$A:$A,ac_mst!$L:$L),0)
   +IFERROR(
    XLOOKUP(
     IF(
      OR(
       IFERROR(REGEXEXTRACT($M65,""^[^｜"&amp;"]+""),"""")="""",
       IFERROR(REGEXEXTRACT($N65,""^[^｜]+""),"""")=""""
      ),
      """",
      IF(
       IFERROR(REGEXEXTRACT($M65,""^[^｜]+""),"""")&lt;IFERROR(REGEXEXTRACT($N65,""^[^｜]+""),""""),
       IFERROR(REGEXEXTRACT($M65,""^[^｜]+""),"""")&amp;""_"&amp;"""&amp;IFERROR(REGEXEXTRACT($N65,""^[^｜]+""),""""),
       IFERROR(REGEXEXTRACT($N65,""^[^｜]+""),"""")&amp;""_""&amp;IFERROR(REGEXEXTRACT($M65,""^[^｜]+""),"""")
      )
     ),
     sy_mst!$A:$A,
     sy_mst!$I:$I
    ),
    0
   )
  )
  *
  IFERROR(XLOOKUP(REGEXEXTR"&amp;"ACT($I65,""^[^｜]+""),ms_mst!$A:$A,ms_mst!$Q:$Q),1)
  *
  IF(
   $B65&gt;=IFERROR(XLOOKUP(REGEXEXTRACT($L65,""^[^｜]+""),sk_mst!$A:$A,sk_mst!$M:$M),999),
   IFERROR(XLOOKUP(REGEXEXTRACT($L65,""^[^｜]+""),sk_mst!$A:$A,sk_mst!$K:$K),1),
   1
  )
 )
)"),400.0)</f>
        <v>400</v>
      </c>
      <c r="U65" s="25">
        <f>IFERROR(__xludf.DUMMYFUNCTION("IF($A65="""","""",
 IF($F65=""market"",
  IFERROR(XLOOKUP(REGEXEXTRACT($J65,""^[^｜]+""),tr_mst!$A:$A,tr_mst!$J:$J),0)
  +IFERROR(XLOOKUP(REGEXEXTRACT($K65,""^[^｜]+""),tc_mst!$A:$A,tc_mst!$J:$J),0),
  IF($B65=0,
   IFERROR(XLOOKUP(REGEXEXTRACT($I65,""^[^｜]"&amp;"+""),ms_mst!$A:$A,ms_mst!$J:$J),0),
   IFERROR(XLOOKUP(""T""&amp;($B65-1)&amp;""_""&amp;$D65,$A:$A,$U:$U),0)
  )
  +IFERROR(XLOOKUP(REGEXEXTRACT($J65,""^[^｜]+""),tr_mst!$A:$A,tr_mst!$J:$J),0)
  +IFERROR(XLOOKUP(REGEXEXTRACT($K65,""^[^｜]+""),tc_mst!$A:$A,tc_mst!$J:$J)"&amp;",0)
  +
  (
   IFERROR(XLOOKUP(REGEXEXTRACT($M65,""^[^｜]+""),ac_mst!$A:$A,ac_mst!$M:$M),0)
   +IFERROR(XLOOKUP(REGEXEXTRACT($N65,""^[^｜]+""),ac_mst!$A:$A,ac_mst!$M:$M),0)
   +IFERROR(
    XLOOKUP(
     IF(
      OR(
       IFERROR(REGEXEXTRACT($M65,""^[^｜"&amp;"]+""),"""")="""",
       IFERROR(REGEXEXTRACT($N65,""^[^｜]+""),"""")=""""
      ),
      """",
      IF(
       IFERROR(REGEXEXTRACT($M65,""^[^｜]+""),"""")&lt;IFERROR(REGEXEXTRACT($N65,""^[^｜]+""),""""),
       IFERROR(REGEXEXTRACT($M65,""^[^｜]+""),"""")&amp;""_"&amp;"""&amp;IFERROR(REGEXEXTRACT($N65,""^[^｜]+""),""""),
       IFERROR(REGEXEXTRACT($N65,""^[^｜]+""),"""")&amp;""_""&amp;IFERROR(REGEXEXTRACT($M65,""^[^｜]+""),"""")
      )
     ),
     sy_mst!$A:$A,
     sy_mst!$J:$J
    ),
    0
   )
  )
  *
  IFERROR(XLOOKUP(REGEXEXTR"&amp;"ACT($I65,""^[^｜]+""),ms_mst!$A:$A,ms_mst!$R:$R),1)
  *
  IF(
   $B65&gt;=IFERROR(XLOOKUP(REGEXEXTRACT($L65,""^[^｜]+""),sk_mst!$A:$A,sk_mst!$M:$M),999),
   IFERROR(XLOOKUP(REGEXEXTRACT($L65,""^[^｜]+""),sk_mst!$A:$A,sk_mst!$L:$L),1),
   1
  )
 )
)"),5.0)</f>
        <v>5</v>
      </c>
      <c r="V65" s="25">
        <f t="shared" si="1"/>
        <v>64</v>
      </c>
      <c r="W65" s="25">
        <f t="shared" si="2"/>
        <v>1850</v>
      </c>
      <c r="X65" s="25">
        <f t="shared" si="3"/>
        <v>-1786</v>
      </c>
      <c r="Y65" s="25">
        <f t="shared" si="4"/>
        <v>0.03</v>
      </c>
      <c r="Z65" s="25">
        <f>IFERROR(__xludf.DUMMYFUNCTION("IF($A65="""","""",
 IF($F65&lt;&gt;""player"","""",
  IFERROR(
   RANK(
    $X65,
    FILTER($X:$X,$B:$B=$B65,$F:$F=""player"",$X:$X&lt;&gt;""""),
    0
   ),
   """"
  )
 )
)"),8.0)</f>
        <v>8</v>
      </c>
      <c r="AA65" s="25" t="str">
        <f t="shared" si="5"/>
        <v>8位</v>
      </c>
      <c r="AB65" s="26">
        <f t="shared" si="6"/>
        <v>0</v>
      </c>
    </row>
    <row r="66">
      <c r="A66" s="25" t="s">
        <v>239</v>
      </c>
      <c r="B66" s="14">
        <v>4.0</v>
      </c>
      <c r="C66" s="14" t="s">
        <v>186</v>
      </c>
      <c r="D66" s="14" t="s">
        <v>187</v>
      </c>
      <c r="E66" s="25" t="s">
        <v>153</v>
      </c>
      <c r="F66" s="25" t="s">
        <v>154</v>
      </c>
      <c r="I66" s="25" t="str">
        <f>IFERROR(__xludf.DUMMYFUNCTION("IF($F66&lt;&gt;""player"","""",IFERROR(INDEX(FILTER(group_setup!$D$2:$D947,group_setup!$B$2:$B947=$C66,group_setup!$G$2:$G947=TRUE,group_setup!$H$2:$H947=""completed""),1),""""))"),"")</f>
        <v/>
      </c>
      <c r="J66" s="25" t="str">
        <f>IFERROR(__xludf.DUMMYFUNCTION("IFERROR(FILTER(market_event_log!$D$2:$D947,market_event_log!$C$2:$C947=$B66,market_event_log!$N$2:$N947=""active""),"""")"),"T03")</f>
        <v>T03</v>
      </c>
      <c r="K66" s="25" t="str">
        <f>IFERROR(__xludf.DUMMYFUNCTION("IFERROR(FILTER(market_event_log!$G$2:$G947,market_event_log!$C$2:$C947=$B66,market_event_log!$N$2:$N947=""active""),"""")"),"C04")</f>
        <v>C04</v>
      </c>
      <c r="L66" s="25" t="str">
        <f>IFERROR(__xludf.DUMMYFUNCTION("IF($F66&lt;&gt;""player"","""",IFERROR(INDEX(FILTER(group_setup!$E$2:$E947,group_setup!$B$2:$B947=$C66,group_setup!$G$2:$G947=TRUE,group_setup!$H$2:$H947=""completed""),1),""""))"),"")</f>
        <v/>
      </c>
      <c r="M66" s="25" t="str">
        <f>IFERROR(__xludf.DUMMYFUNCTION("IF($F66=""market"","""",IF($E66=""HUMAN"",IFERROR(FILTER(turn_log!$G$2:$G947,turn_log!$C$2:$C947=$B66,turn_log!$D$2:$D947=$C66,turn_log!$F$2:$F947=$E66),""""),IFERROR(FILTER(turn_log!$I$2:$I947,turn_log!$C$2:$C947=$B66,turn_log!$D$2:$D947=$C66,turn_log!$F"&amp;"$2:$F947=$E66),"""")))"),"")</f>
        <v/>
      </c>
      <c r="N66" s="25" t="str">
        <f>IFERROR(__xludf.DUMMYFUNCTION("IF($F66=""market"","""",IF($E66=""HUMAN"",IFERROR(FILTER(turn_log!$H$2:$H947,turn_log!$C$2:$C947=$B66,turn_log!$D$2:$D947=$C66,turn_log!$F$2:$F947=$E66),""""),IFERROR(FILTER(turn_log!$J$2:$J947,turn_log!$C$2:$C947=$B66,turn_log!$D$2:$D947=$C66,turn_log!$F"&amp;"$2:$F947=$E66),"""")))"),"")</f>
        <v/>
      </c>
      <c r="O66" s="25">
        <f>IFERROR(__xludf.DUMMYFUNCTION("IF($A66="""","""",
 IF($F66=""market"",
  IFERROR(XLOOKUP(REGEXEXTRACT($J66,""^[^｜]+""),tr_mst!$A:$A,tr_mst!$D:$D),0)
  +IFERROR(XLOOKUP(REGEXEXTRACT($K66,""^[^｜]+""),tc_mst!$A:$A,tc_mst!$D:$D),0),
  IF($B66=0,
   IFERROR(XLOOKUP(REGEXEXTRACT($I66,""^[^｜]"&amp;"+""),ms_mst!$A:$A,ms_mst!$D:$D),0),
   IFERROR(XLOOKUP(""T""&amp;($B66-1)&amp;""_""&amp;$D66,$A:$A,$O:$O),0)
  )
  +IFERROR(XLOOKUP(REGEXEXTRACT($J66,""^[^｜]+""),tr_mst!$A:$A,tr_mst!$D:$D),0)
  +IFERROR(XLOOKUP(REGEXEXTRACT($K66,""^[^｜]+""),tc_mst!$A:$A,tc_mst!$D:$D)"&amp;",0)
  +
  (
   IFERROR(XLOOKUP(REGEXEXTRACT($M66,""^[^｜]+""),ac_mst!$A:$A,ac_mst!$G:$G),0)
   +IFERROR(XLOOKUP(REGEXEXTRACT($N66,""^[^｜]+""),ac_mst!$A:$A,ac_mst!$G:$G),0)
   +IFERROR(
    XLOOKUP(
     IF(
      OR(
       IFERROR(REGEXEXTRACT($M66,""^[^｜"&amp;"]+""),"""")="""",
       IFERROR(REGEXEXTRACT($N66,""^[^｜]+""),"""")=""""
      ),
      """",
      IF(
       IFERROR(REGEXEXTRACT($M66,""^[^｜]+""),"""")&lt;IFERROR(REGEXEXTRACT($N66,""^[^｜]+""),""""),
       IFERROR(REGEXEXTRACT($M66,""^[^｜]+""),"""")&amp;""_"&amp;"""&amp;IFERROR(REGEXEXTRACT($N66,""^[^｜]+""),""""),
       IFERROR(REGEXEXTRACT($N66,""^[^｜]+""),"""")&amp;""_""&amp;IFERROR(REGEXEXTRACT($M66,""^[^｜]+""),"""")
      )
     ),
     sy_mst!$A:$A,
     sy_mst!$D:$D
    ),
    0
   )
  )
  *
  IFERROR(XLOOKUP(REGEXEXTR"&amp;"ACT($I66,""^[^｜]+""),ms_mst!$A:$A,ms_mst!$L:$L),1)
  *
  IF(
   $B66&gt;=IFERROR(XLOOKUP(REGEXEXTRACT($L66,""^[^｜]+""),sk_mst!$A:$A,sk_mst!$M:$M),999),
   IFERROR(XLOOKUP(REGEXEXTRACT($L66,""^[^｜]+""),sk_mst!$A:$A,sk_mst!$F:$F),1),
   1
  )
 )
)"),4600.0)</f>
        <v>4600</v>
      </c>
      <c r="P66" s="25">
        <f>IFERROR(__xludf.DUMMYFUNCTION("IF($A66="""","""",
 IF($F66=""market"",
  IFERROR(XLOOKUP(REGEXEXTRACT($J66,""^[^｜]+""),tr_mst!$A:$A,tr_mst!$E:$E),0)
  +IFERROR(XLOOKUP(REGEXEXTRACT($K66,""^[^｜]+""),tc_mst!$A:$A,tc_mst!$E:$E),0),
  IF($B66=0,
   IFERROR(XLOOKUP(REGEXEXTRACT($I66,""^[^｜]"&amp;"+""),ms_mst!$A:$A,ms_mst!$E:$E),0),
   IFERROR(XLOOKUP(""T""&amp;($B66-1)&amp;""_""&amp;$D66,$A:$A,$P:$P),0)
  )
  +IFERROR(XLOOKUP(REGEXEXTRACT($J66,""^[^｜]+""),tr_mst!$A:$A,tr_mst!$E:$E),0)
  +IFERROR(XLOOKUP(REGEXEXTRACT($K66,""^[^｜]+""),tc_mst!$A:$A,tc_mst!$E:$E)"&amp;",0)
  +
  (
   IFERROR(XLOOKUP(REGEXEXTRACT($M66,""^[^｜]+""),ac_mst!$A:$A,ac_mst!$H:$H),0)
   +IFERROR(XLOOKUP(REGEXEXTRACT($N66,""^[^｜]+""),ac_mst!$A:$A,ac_mst!$H:$H),0)
   +IFERROR(
    XLOOKUP(
     IF(
      OR(
       IFERROR(REGEXEXTRACT($M66,""^[^｜"&amp;"]+""),"""")="""",
       IFERROR(REGEXEXTRACT($N66,""^[^｜]+""),"""")=""""
      ),
      """",
      IF(
       IFERROR(REGEXEXTRACT($M66,""^[^｜]+""),"""")&lt;IFERROR(REGEXEXTRACT($N66,""^[^｜]+""),""""),
       IFERROR(REGEXEXTRACT($M66,""^[^｜]+""),"""")&amp;""_"&amp;"""&amp;IFERROR(REGEXEXTRACT($N66,""^[^｜]+""),""""),
       IFERROR(REGEXEXTRACT($N66,""^[^｜]+""),"""")&amp;""_""&amp;IFERROR(REGEXEXTRACT($M66,""^[^｜]+""),"""")
      )
     ),
     sy_mst!$A:$A,
     sy_mst!$E:$E
    ),
    0
   )
  )
  *
  IFERROR(XLOOKUP(REGEXEXTR"&amp;"ACT($I66,""^[^｜]+""),ms_mst!$A:$A,ms_mst!$M:$M),1)
  *
  IF(
   $B66&gt;=IFERROR(XLOOKUP(REGEXEXTRACT($L66,""^[^｜]+""),sk_mst!$A:$A,sk_mst!$M:$M),999),
   IFERROR(XLOOKUP(REGEXEXTRACT($L66,""^[^｜]+""),sk_mst!$A:$A,sk_mst!$G:$G),1),
   1
  )
 )
)"),370.0)</f>
        <v>370</v>
      </c>
      <c r="Q66" s="25">
        <f>IFERROR(__xludf.DUMMYFUNCTION("IF($A66="""","""",
 IF($F66=""market"",
  IFERROR(XLOOKUP(REGEXEXTRACT($J66,""^[^｜]+""),tr_mst!$A:$A,tr_mst!$F:$F),0)
  +IFERROR(XLOOKUP(REGEXEXTRACT($K66,""^[^｜]+""),tc_mst!$A:$A,tc_mst!$F:$F),0),
  IF($B66=0,
   IFERROR(XLOOKUP(REGEXEXTRACT($I66,""^[^｜]"&amp;"+""),ms_mst!$A:$A,ms_mst!$F:$F),0),
   IFERROR(XLOOKUP(""T""&amp;($B66-1)&amp;""_""&amp;$D66,$A:$A,$Q:$Q),0)
  )
  +IFERROR(XLOOKUP(REGEXEXTRACT($J66,""^[^｜]+""),tr_mst!$A:$A,tr_mst!$F:$F),0)
  +IFERROR(XLOOKUP(REGEXEXTRACT($K66,""^[^｜]+""),tc_mst!$A:$A,tc_mst!$F:$F)"&amp;",0)
  +
  (
   IFERROR(XLOOKUP(REGEXEXTRACT($M66,""^[^｜]+""),ac_mst!$A:$A,ac_mst!$I:$I),0)
   +IFERROR(XLOOKUP(REGEXEXTRACT($N66,""^[^｜]+""),ac_mst!$A:$A,ac_mst!$I:$I),0)
   +IFERROR(
    XLOOKUP(
     IF(
      OR(
       IFERROR(REGEXEXTRACT($M66,""^[^｜"&amp;"]+""),"""")="""",
       IFERROR(REGEXEXTRACT($N66,""^[^｜]+""),"""")=""""
      ),
      """",
      IF(
       IFERROR(REGEXEXTRACT($M66,""^[^｜]+""),"""")&lt;IFERROR(REGEXEXTRACT($N66,""^[^｜]+""),""""),
       IFERROR(REGEXEXTRACT($M66,""^[^｜]+""),"""")&amp;""_"&amp;"""&amp;IFERROR(REGEXEXTRACT($N66,""^[^｜]+""),""""),
       IFERROR(REGEXEXTRACT($N66,""^[^｜]+""),"""")&amp;""_""&amp;IFERROR(REGEXEXTRACT($M66,""^[^｜]+""),"""")
      )
     ),
     sy_mst!$A:$A,
     sy_mst!$F:$F
    ),
    0
   )
  )
  *
  IFERROR(XLOOKUP(REGEXEXTR"&amp;"ACT($I66,""^[^｜]+""),ms_mst!$A:$A,ms_mst!$N:$N),1)
  *
  IF(
   $B66&gt;=IFERROR(XLOOKUP(REGEXEXTRACT($L66,""^[^｜]+""),sk_mst!$A:$A,sk_mst!$M:$M),999),
   IFERROR(XLOOKUP(REGEXEXTRACT($L66,""^[^｜]+""),sk_mst!$A:$A,sk_mst!$H:$H),1),
   1
  )
 )
)"),0.02)</f>
        <v>0.02</v>
      </c>
      <c r="R66" s="25">
        <f>IFERROR(__xludf.DUMMYFUNCTION("IF($A66="""","""",
 IF($F66=""market"",
  IFERROR(XLOOKUP(REGEXEXTRACT($J66,""^[^｜]+""),tr_mst!$A:$A,tr_mst!$G:$G),0)
  +IFERROR(XLOOKUP(REGEXEXTRACT($K66,""^[^｜]+""),tc_mst!$A:$A,tc_mst!$G:$G),0),
  IF($B66=0,
   IFERROR(XLOOKUP(REGEXEXTRACT($I66,""^[^｜]"&amp;"+""),ms_mst!$A:$A,ms_mst!$G:$G),0),
   IFERROR(XLOOKUP(""T""&amp;($B66-1)&amp;""_""&amp;$D66,$A:$A,$R:$R),0)
  )
  +IFERROR(XLOOKUP(REGEXEXTRACT($J66,""^[^｜]+""),tr_mst!$A:$A,tr_mst!$G:$G),0)
  +IFERROR(XLOOKUP(REGEXEXTRACT($K66,""^[^｜]+""),tc_mst!$A:$A,tc_mst!$G:$G)"&amp;",0)
  +
  (
   IFERROR(XLOOKUP(REGEXEXTRACT($M66,""^[^｜]+""),ac_mst!$A:$A,ac_mst!$J:$J),0)
   +IFERROR(XLOOKUP(REGEXEXTRACT($N66,""^[^｜]+""),ac_mst!$A:$A,ac_mst!$J:$J),0)
   +IFERROR(
    XLOOKUP(
     IF(
      OR(
       IFERROR(REGEXEXTRACT($M66,""^[^｜"&amp;"]+""),"""")="""",
       IFERROR(REGEXEXTRACT($N66,""^[^｜]+""),"""")=""""
      ),
      """",
      IF(
       IFERROR(REGEXEXTRACT($M66,""^[^｜]+""),"""")&lt;IFERROR(REGEXEXTRACT($N66,""^[^｜]+""),""""),
       IFERROR(REGEXEXTRACT($M66,""^[^｜]+""),"""")&amp;""_"&amp;"""&amp;IFERROR(REGEXEXTRACT($N66,""^[^｜]+""),""""),
       IFERROR(REGEXEXTRACT($N66,""^[^｜]+""),"""")&amp;""_""&amp;IFERROR(REGEXEXTRACT($M66,""^[^｜]+""),"""")
      )
     ),
     sy_mst!$A:$A,
     sy_mst!$G:$G
    ),
    0
   )
  )
  *
  IFERROR(XLOOKUP(REGEXEXTR"&amp;"ACT($I66,""^[^｜]+""),ms_mst!$A:$A,ms_mst!$O:$O),1)
  *
  IF(
   $B66&gt;=IFERROR(XLOOKUP(REGEXEXTRACT($L66,""^[^｜]+""),sk_mst!$A:$A,sk_mst!$M:$M),999),
   IFERROR(XLOOKUP(REGEXEXTRACT($L66,""^[^｜]+""),sk_mst!$A:$A,sk_mst!$I:$I),1),
   1
  )
 )
)"),0.03)</f>
        <v>0.03</v>
      </c>
      <c r="S66" s="25">
        <f>IFERROR(__xludf.DUMMYFUNCTION("IF($A66="""","""",
 IF($F66=""market"",
  IFERROR(XLOOKUP(REGEXEXTRACT($J66,""^[^｜]+""),tr_mst!$A:$A,tr_mst!$H:$H),0)
  +IFERROR(XLOOKUP(REGEXEXTRACT($K66,""^[^｜]+""),tc_mst!$A:$A,tc_mst!$H:$H),0),
  IF($B66=0,
   IFERROR(XLOOKUP(REGEXEXTRACT($I66,""^[^｜]"&amp;"+""),ms_mst!$A:$A,ms_mst!$H:$H),0),
   IFERROR(XLOOKUP(""T""&amp;($B66-1)&amp;""_""&amp;$D66,$A:$A,$S:$S),0)
  )
  +IFERROR(XLOOKUP(REGEXEXTRACT($J66,""^[^｜]+""),tr_mst!$A:$A,tr_mst!$H:$H),0)
  +IFERROR(XLOOKUP(REGEXEXTRACT($K66,""^[^｜]+""),tc_mst!$A:$A,tc_mst!$H:$H)"&amp;",0)
  +
  (
   IFERROR(XLOOKUP(REGEXEXTRACT($M66,""^[^｜]+""),ac_mst!$A:$A,ac_mst!$K:$K),0)
   +IFERROR(XLOOKUP(REGEXEXTRACT($N66,""^[^｜]+""),ac_mst!$A:$A,ac_mst!$K:$K),0)
   +IFERROR(
    XLOOKUP(
     IF(
      OR(
       IFERROR(REGEXEXTRACT($M66,""^[^｜"&amp;"]+""),"""")="""",
       IFERROR(REGEXEXTRACT($N66,""^[^｜]+""),"""")=""""
      ),
      """",
      IF(
       IFERROR(REGEXEXTRACT($M66,""^[^｜]+""),"""")&lt;IFERROR(REGEXEXTRACT($N66,""^[^｜]+""),""""),
       IFERROR(REGEXEXTRACT($M66,""^[^｜]+""),"""")&amp;""_"&amp;"""&amp;IFERROR(REGEXEXTRACT($N66,""^[^｜]+""),""""),
       IFERROR(REGEXEXTRACT($N66,""^[^｜]+""),"""")&amp;""_""&amp;IFERROR(REGEXEXTRACT($M66,""^[^｜]+""),"""")
      )
     ),
     sy_mst!$A:$A,
     sy_mst!$H:$H
    ),
    0
   )
  )
  *
  IFERROR(XLOOKUP(REGEXEXTR"&amp;"ACT($I66,""^[^｜]+""),ms_mst!$A:$A,ms_mst!$P:$P),1)
  *
  IF(
   $B66&gt;=IFERROR(XLOOKUP(REGEXEXTRACT($L66,""^[^｜]+""),sk_mst!$A:$A,sk_mst!$M:$M),999),
   IFERROR(XLOOKUP(REGEXEXTRACT($L66,""^[^｜]+""),sk_mst!$A:$A,sk_mst!$J:$J),1),
   1
  )
 )
)"),0.0010999999999999998)</f>
        <v>0.0011</v>
      </c>
      <c r="T66" s="25">
        <f>IFERROR(__xludf.DUMMYFUNCTION("IF($A66="""","""",
 IF($F66=""market"",
  IFERROR(XLOOKUP(REGEXEXTRACT($J66,""^[^｜]+""),tr_mst!$A:$A,tr_mst!$I:$I),0)
  +IFERROR(XLOOKUP(REGEXEXTRACT($K66,""^[^｜]+""),tc_mst!$A:$A,tc_mst!$I:$I),0),
  IF($B66=0,
   IFERROR(XLOOKUP(REGEXEXTRACT($I66,""^[^｜]"&amp;"+""),ms_mst!$A:$A,ms_mst!$I:$I),0),
   IFERROR(XLOOKUP(""T""&amp;($B66-1)&amp;""_""&amp;$D66,$A:$A,$T:$T),0)
  )
  +IFERROR(XLOOKUP(REGEXEXTRACT($J66,""^[^｜]+""),tr_mst!$A:$A,tr_mst!$I:$I),0)
  +IFERROR(XLOOKUP(REGEXEXTRACT($K66,""^[^｜]+""),tc_mst!$A:$A,tc_mst!$I:$I)"&amp;",0)
  +
  (
   IFERROR(XLOOKUP(REGEXEXTRACT($M66,""^[^｜]+""),ac_mst!$A:$A,ac_mst!$L:$L),0)
   +IFERROR(XLOOKUP(REGEXEXTRACT($N66,""^[^｜]+""),ac_mst!$A:$A,ac_mst!$L:$L),0)
   +IFERROR(
    XLOOKUP(
     IF(
      OR(
       IFERROR(REGEXEXTRACT($M66,""^[^｜"&amp;"]+""),"""")="""",
       IFERROR(REGEXEXTRACT($N66,""^[^｜]+""),"""")=""""
      ),
      """",
      IF(
       IFERROR(REGEXEXTRACT($M66,""^[^｜]+""),"""")&lt;IFERROR(REGEXEXTRACT($N66,""^[^｜]+""),""""),
       IFERROR(REGEXEXTRACT($M66,""^[^｜]+""),"""")&amp;""_"&amp;"""&amp;IFERROR(REGEXEXTRACT($N66,""^[^｜]+""),""""),
       IFERROR(REGEXEXTRACT($N66,""^[^｜]+""),"""")&amp;""_""&amp;IFERROR(REGEXEXTRACT($M66,""^[^｜]+""),"""")
      )
     ),
     sy_mst!$A:$A,
     sy_mst!$I:$I
    ),
    0
   )
  )
  *
  IFERROR(XLOOKUP(REGEXEXTR"&amp;"ACT($I66,""^[^｜]+""),ms_mst!$A:$A,ms_mst!$Q:$Q),1)
  *
  IF(
   $B66&gt;=IFERROR(XLOOKUP(REGEXEXTRACT($L66,""^[^｜]+""),sk_mst!$A:$A,sk_mst!$M:$M),999),
   IFERROR(XLOOKUP(REGEXEXTRACT($L66,""^[^｜]+""),sk_mst!$A:$A,sk_mst!$K:$K),1),
   1
  )
 )
)"),400.0)</f>
        <v>400</v>
      </c>
      <c r="U66" s="25">
        <f>IFERROR(__xludf.DUMMYFUNCTION("IF($A66="""","""",
 IF($F66=""market"",
  IFERROR(XLOOKUP(REGEXEXTRACT($J66,""^[^｜]+""),tr_mst!$A:$A,tr_mst!$J:$J),0)
  +IFERROR(XLOOKUP(REGEXEXTRACT($K66,""^[^｜]+""),tc_mst!$A:$A,tc_mst!$J:$J),0),
  IF($B66=0,
   IFERROR(XLOOKUP(REGEXEXTRACT($I66,""^[^｜]"&amp;"+""),ms_mst!$A:$A,ms_mst!$J:$J),0),
   IFERROR(XLOOKUP(""T""&amp;($B66-1)&amp;""_""&amp;$D66,$A:$A,$U:$U),0)
  )
  +IFERROR(XLOOKUP(REGEXEXTRACT($J66,""^[^｜]+""),tr_mst!$A:$A,tr_mst!$J:$J),0)
  +IFERROR(XLOOKUP(REGEXEXTRACT($K66,""^[^｜]+""),tc_mst!$A:$A,tc_mst!$J:$J)"&amp;",0)
  +
  (
   IFERROR(XLOOKUP(REGEXEXTRACT($M66,""^[^｜]+""),ac_mst!$A:$A,ac_mst!$M:$M),0)
   +IFERROR(XLOOKUP(REGEXEXTRACT($N66,""^[^｜]+""),ac_mst!$A:$A,ac_mst!$M:$M),0)
   +IFERROR(
    XLOOKUP(
     IF(
      OR(
       IFERROR(REGEXEXTRACT($M66,""^[^｜"&amp;"]+""),"""")="""",
       IFERROR(REGEXEXTRACT($N66,""^[^｜]+""),"""")=""""
      ),
      """",
      IF(
       IFERROR(REGEXEXTRACT($M66,""^[^｜]+""),"""")&lt;IFERROR(REGEXEXTRACT($N66,""^[^｜]+""),""""),
       IFERROR(REGEXEXTRACT($M66,""^[^｜]+""),"""")&amp;""_"&amp;"""&amp;IFERROR(REGEXEXTRACT($N66,""^[^｜]+""),""""),
       IFERROR(REGEXEXTRACT($N66,""^[^｜]+""),"""")&amp;""_""&amp;IFERROR(REGEXEXTRACT($M66,""^[^｜]+""),"""")
      )
     ),
     sy_mst!$A:$A,
     sy_mst!$J:$J
    ),
    0
   )
  )
  *
  IFERROR(XLOOKUP(REGEXEXTR"&amp;"ACT($I66,""^[^｜]+""),ms_mst!$A:$A,ms_mst!$R:$R),1)
  *
  IF(
   $B66&gt;=IFERROR(XLOOKUP(REGEXEXTRACT($L66,""^[^｜]+""),sk_mst!$A:$A,sk_mst!$M:$M),999),
   IFERROR(XLOOKUP(REGEXEXTRACT($L66,""^[^｜]+""),sk_mst!$A:$A,sk_mst!$L:$L),1),
   1
  )
 )
)"),5.0)</f>
        <v>5</v>
      </c>
      <c r="V66" s="25">
        <f t="shared" si="1"/>
        <v>64</v>
      </c>
      <c r="W66" s="25">
        <f t="shared" si="2"/>
        <v>1850</v>
      </c>
      <c r="X66" s="25">
        <f t="shared" si="3"/>
        <v>-1786</v>
      </c>
      <c r="Y66" s="25">
        <f t="shared" si="4"/>
        <v>0.03</v>
      </c>
      <c r="Z66" s="25">
        <f>IFERROR(__xludf.DUMMYFUNCTION("IF($A66="""","""",
 IF($F66&lt;&gt;""player"","""",
  IFERROR(
   RANK(
    $X66,
    FILTER($X:$X,$B:$B=$B66,$F:$F=""player"",$X:$X&lt;&gt;""""),
    0
   ),
   """"
  )
 )
)"),8.0)</f>
        <v>8</v>
      </c>
      <c r="AA66" s="25" t="str">
        <f t="shared" si="5"/>
        <v>8位</v>
      </c>
      <c r="AB66" s="26">
        <f t="shared" si="6"/>
        <v>0</v>
      </c>
    </row>
    <row r="67">
      <c r="A67" s="14" t="s">
        <v>240</v>
      </c>
      <c r="B67" s="14">
        <v>5.0</v>
      </c>
      <c r="C67" s="14" t="s">
        <v>147</v>
      </c>
      <c r="D67" s="14" t="s">
        <v>148</v>
      </c>
      <c r="F67" s="14" t="s">
        <v>149</v>
      </c>
      <c r="I67" s="25" t="str">
        <f>IFERROR(__xludf.DUMMYFUNCTION("IF($F67&lt;&gt;""player"","""",IFERROR(INDEX(FILTER(group_setup!$D$2:$D947,group_setup!$B$2:$B947=$C67,group_setup!$G$2:$G947=TRUE,group_setup!$H$2:$H947=""completed""),1),""""))"),"")</f>
        <v/>
      </c>
      <c r="J67" s="25" t="str">
        <f>IFERROR(__xludf.DUMMYFUNCTION("IFERROR(FILTER(market_event_log!$D$2:$D947,market_event_log!$C$2:$C947=$B67,market_event_log!$N$2:$N947=""active""),"""")"),"T04")</f>
        <v>T04</v>
      </c>
      <c r="K67" s="25" t="str">
        <f>IFERROR(__xludf.DUMMYFUNCTION("IFERROR(FILTER(market_event_log!$G$2:$G947,market_event_log!$C$2:$C947=$B67,market_event_log!$N$2:$N947=""active""),"""")"),"C04")</f>
        <v>C04</v>
      </c>
      <c r="L67" s="25" t="str">
        <f>IFERROR(__xludf.DUMMYFUNCTION("IF($F67&lt;&gt;""player"","""",IFERROR(INDEX(FILTER(group_setup!$E$2:$E947,group_setup!$B$2:$B947=$C67,group_setup!$G$2:$G947=TRUE,group_setup!$H$2:$H947=""completed""),1),""""))"),"")</f>
        <v/>
      </c>
      <c r="M67" s="25" t="str">
        <f>IFERROR(__xludf.DUMMYFUNCTION("IF($F67=""market"","""",IF($E67=""HUMAN"",IFERROR(FILTER(turn_log!$G$2:$G947,turn_log!$C$2:$C947=$B67,turn_log!$D$2:$D947=$C67,turn_log!$F$2:$F947=$E67),""""),IFERROR(FILTER(turn_log!$I$2:$I947,turn_log!$C$2:$C947=$B67,turn_log!$D$2:$D947=$C67,turn_log!$F"&amp;"$2:$F947=$E67),"""")))"),"")</f>
        <v/>
      </c>
      <c r="N67" s="25" t="str">
        <f>IFERROR(__xludf.DUMMYFUNCTION("IF($F67=""market"","""",IF($E67=""HUMAN"",IFERROR(FILTER(turn_log!$H$2:$H947,turn_log!$C$2:$C947=$B67,turn_log!$D$2:$D947=$C67,turn_log!$F$2:$F947=$E67),""""),IFERROR(FILTER(turn_log!$J$2:$J947,turn_log!$C$2:$C947=$B67,turn_log!$D$2:$D947=$C67,turn_log!$F"&amp;"$2:$F947=$E67),"""")))"),"")</f>
        <v/>
      </c>
      <c r="O67" s="25">
        <f>IFERROR(__xludf.DUMMYFUNCTION("IF($A67="""","""",
 IF($F67=""market"",
  IFERROR(XLOOKUP(REGEXEXTRACT($J67,""^[^｜]+""),tr_mst!$A:$A,tr_mst!$D:$D),0)
  +IFERROR(XLOOKUP(REGEXEXTRACT($K67,""^[^｜]+""),tc_mst!$A:$A,tc_mst!$D:$D),0),
  IF($B67=0,
   IFERROR(XLOOKUP(REGEXEXTRACT($I67,""^[^｜]"&amp;"+""),ms_mst!$A:$A,ms_mst!$D:$D),0),
   IFERROR(XLOOKUP(""T""&amp;($B67-1)&amp;""_""&amp;$D67,$A:$A,$O:$O),0)
  )
  +IFERROR(XLOOKUP(REGEXEXTRACT($J67,""^[^｜]+""),tr_mst!$A:$A,tr_mst!$D:$D),0)
  +IFERROR(XLOOKUP(REGEXEXTRACT($K67,""^[^｜]+""),tc_mst!$A:$A,tc_mst!$D:$D)"&amp;",0)
  +
  (
   IFERROR(XLOOKUP(REGEXEXTRACT($M67,""^[^｜]+""),ac_mst!$A:$A,ac_mst!$G:$G),0)
   +IFERROR(XLOOKUP(REGEXEXTRACT($N67,""^[^｜]+""),ac_mst!$A:$A,ac_mst!$G:$G),0)
   +IFERROR(
    XLOOKUP(
     IF(
      OR(
       IFERROR(REGEXEXTRACT($M67,""^[^｜"&amp;"]+""),"""")="""",
       IFERROR(REGEXEXTRACT($N67,""^[^｜]+""),"""")=""""
      ),
      """",
      IF(
       IFERROR(REGEXEXTRACT($M67,""^[^｜]+""),"""")&lt;IFERROR(REGEXEXTRACT($N67,""^[^｜]+""),""""),
       IFERROR(REGEXEXTRACT($M67,""^[^｜]+""),"""")&amp;""_"&amp;"""&amp;IFERROR(REGEXEXTRACT($N67,""^[^｜]+""),""""),
       IFERROR(REGEXEXTRACT($N67,""^[^｜]+""),"""")&amp;""_""&amp;IFERROR(REGEXEXTRACT($M67,""^[^｜]+""),"""")
      )
     ),
     sy_mst!$A:$A,
     sy_mst!$D:$D
    ),
    0
   )
  )
  *
  IFERROR(XLOOKUP(REGEXEXTR"&amp;"ACT($I67,""^[^｜]+""),ms_mst!$A:$A,ms_mst!$L:$L),1)
  *
  IF(
   $B67&gt;=IFERROR(XLOOKUP(REGEXEXTRACT($L67,""^[^｜]+""),sk_mst!$A:$A,sk_mst!$M:$M),999),
   IFERROR(XLOOKUP(REGEXEXTRACT($L67,""^[^｜]+""),sk_mst!$A:$A,sk_mst!$F:$F),1),
   1
  )
 )
)"),-1400.0)</f>
        <v>-1400</v>
      </c>
      <c r="P67" s="25">
        <f>IFERROR(__xludf.DUMMYFUNCTION("IF($A67="""","""",
 IF($F67=""market"",
  IFERROR(XLOOKUP(REGEXEXTRACT($J67,""^[^｜]+""),tr_mst!$A:$A,tr_mst!$E:$E),0)
  +IFERROR(XLOOKUP(REGEXEXTRACT($K67,""^[^｜]+""),tc_mst!$A:$A,tc_mst!$E:$E),0),
  IF($B67=0,
   IFERROR(XLOOKUP(REGEXEXTRACT($I67,""^[^｜]"&amp;"+""),ms_mst!$A:$A,ms_mst!$E:$E),0),
   IFERROR(XLOOKUP(""T""&amp;($B67-1)&amp;""_""&amp;$D67,$A:$A,$P:$P),0)
  )
  +IFERROR(XLOOKUP(REGEXEXTRACT($J67,""^[^｜]+""),tr_mst!$A:$A,tr_mst!$E:$E),0)
  +IFERROR(XLOOKUP(REGEXEXTRACT($K67,""^[^｜]+""),tc_mst!$A:$A,tc_mst!$E:$E)"&amp;",0)
  +
  (
   IFERROR(XLOOKUP(REGEXEXTRACT($M67,""^[^｜]+""),ac_mst!$A:$A,ac_mst!$H:$H),0)
   +IFERROR(XLOOKUP(REGEXEXTRACT($N67,""^[^｜]+""),ac_mst!$A:$A,ac_mst!$H:$H),0)
   +IFERROR(
    XLOOKUP(
     IF(
      OR(
       IFERROR(REGEXEXTRACT($M67,""^[^｜"&amp;"]+""),"""")="""",
       IFERROR(REGEXEXTRACT($N67,""^[^｜]+""),"""")=""""
      ),
      """",
      IF(
       IFERROR(REGEXEXTRACT($M67,""^[^｜]+""),"""")&lt;IFERROR(REGEXEXTRACT($N67,""^[^｜]+""),""""),
       IFERROR(REGEXEXTRACT($M67,""^[^｜]+""),"""")&amp;""_"&amp;"""&amp;IFERROR(REGEXEXTRACT($N67,""^[^｜]+""),""""),
       IFERROR(REGEXEXTRACT($N67,""^[^｜]+""),"""")&amp;""_""&amp;IFERROR(REGEXEXTRACT($M67,""^[^｜]+""),"""")
      )
     ),
     sy_mst!$A:$A,
     sy_mst!$E:$E
    ),
    0
   )
  )
  *
  IFERROR(XLOOKUP(REGEXEXTR"&amp;"ACT($I67,""^[^｜]+""),ms_mst!$A:$A,ms_mst!$M:$M),1)
  *
  IF(
   $B67&gt;=IFERROR(XLOOKUP(REGEXEXTRACT($L67,""^[^｜]+""),sk_mst!$A:$A,sk_mst!$M:$M),999),
   IFERROR(XLOOKUP(REGEXEXTRACT($L67,""^[^｜]+""),sk_mst!$A:$A,sk_mst!$G:$G),1),
   1
  )
 )
)"),-430.0)</f>
        <v>-430</v>
      </c>
      <c r="Q67" s="25">
        <f>IFERROR(__xludf.DUMMYFUNCTION("IF($A67="""","""",
 IF($F67=""market"",
  IFERROR(XLOOKUP(REGEXEXTRACT($J67,""^[^｜]+""),tr_mst!$A:$A,tr_mst!$F:$F),0)
  +IFERROR(XLOOKUP(REGEXEXTRACT($K67,""^[^｜]+""),tc_mst!$A:$A,tc_mst!$F:$F),0),
  IF($B67=0,
   IFERROR(XLOOKUP(REGEXEXTRACT($I67,""^[^｜]"&amp;"+""),ms_mst!$A:$A,ms_mst!$F:$F),0),
   IFERROR(XLOOKUP(""T""&amp;($B67-1)&amp;""_""&amp;$D67,$A:$A,$Q:$Q),0)
  )
  +IFERROR(XLOOKUP(REGEXEXTRACT($J67,""^[^｜]+""),tr_mst!$A:$A,tr_mst!$F:$F),0)
  +IFERROR(XLOOKUP(REGEXEXTRACT($K67,""^[^｜]+""),tc_mst!$A:$A,tc_mst!$F:$F)"&amp;",0)
  +
  (
   IFERROR(XLOOKUP(REGEXEXTRACT($M67,""^[^｜]+""),ac_mst!$A:$A,ac_mst!$I:$I),0)
   +IFERROR(XLOOKUP(REGEXEXTRACT($N67,""^[^｜]+""),ac_mst!$A:$A,ac_mst!$I:$I),0)
   +IFERROR(
    XLOOKUP(
     IF(
      OR(
       IFERROR(REGEXEXTRACT($M67,""^[^｜"&amp;"]+""),"""")="""",
       IFERROR(REGEXEXTRACT($N67,""^[^｜]+""),"""")=""""
      ),
      """",
      IF(
       IFERROR(REGEXEXTRACT($M67,""^[^｜]+""),"""")&lt;IFERROR(REGEXEXTRACT($N67,""^[^｜]+""),""""),
       IFERROR(REGEXEXTRACT($M67,""^[^｜]+""),"""")&amp;""_"&amp;"""&amp;IFERROR(REGEXEXTRACT($N67,""^[^｜]+""),""""),
       IFERROR(REGEXEXTRACT($N67,""^[^｜]+""),"""")&amp;""_""&amp;IFERROR(REGEXEXTRACT($M67,""^[^｜]+""),"""")
      )
     ),
     sy_mst!$A:$A,
     sy_mst!$F:$F
    ),
    0
   )
  )
  *
  IFERROR(XLOOKUP(REGEXEXTR"&amp;"ACT($I67,""^[^｜]+""),ms_mst!$A:$A,ms_mst!$N:$N),1)
  *
  IF(
   $B67&gt;=IFERROR(XLOOKUP(REGEXEXTRACT($L67,""^[^｜]+""),sk_mst!$A:$A,sk_mst!$M:$M),999),
   IFERROR(XLOOKUP(REGEXEXTRACT($L67,""^[^｜]+""),sk_mst!$A:$A,sk_mst!$H:$H),1),
   1
  )
 )
)"),0.02)</f>
        <v>0.02</v>
      </c>
      <c r="R67" s="25">
        <f>IFERROR(__xludf.DUMMYFUNCTION("IF($A67="""","""",
 IF($F67=""market"",
  IFERROR(XLOOKUP(REGEXEXTRACT($J67,""^[^｜]+""),tr_mst!$A:$A,tr_mst!$G:$G),0)
  +IFERROR(XLOOKUP(REGEXEXTRACT($K67,""^[^｜]+""),tc_mst!$A:$A,tc_mst!$G:$G),0),
  IF($B67=0,
   IFERROR(XLOOKUP(REGEXEXTRACT($I67,""^[^｜]"&amp;"+""),ms_mst!$A:$A,ms_mst!$G:$G),0),
   IFERROR(XLOOKUP(""T""&amp;($B67-1)&amp;""_""&amp;$D67,$A:$A,$R:$R),0)
  )
  +IFERROR(XLOOKUP(REGEXEXTRACT($J67,""^[^｜]+""),tr_mst!$A:$A,tr_mst!$G:$G),0)
  +IFERROR(XLOOKUP(REGEXEXTRACT($K67,""^[^｜]+""),tc_mst!$A:$A,tc_mst!$G:$G)"&amp;",0)
  +
  (
   IFERROR(XLOOKUP(REGEXEXTRACT($M67,""^[^｜]+""),ac_mst!$A:$A,ac_mst!$J:$J),0)
   +IFERROR(XLOOKUP(REGEXEXTRACT($N67,""^[^｜]+""),ac_mst!$A:$A,ac_mst!$J:$J),0)
   +IFERROR(
    XLOOKUP(
     IF(
      OR(
       IFERROR(REGEXEXTRACT($M67,""^[^｜"&amp;"]+""),"""")="""",
       IFERROR(REGEXEXTRACT($N67,""^[^｜]+""),"""")=""""
      ),
      """",
      IF(
       IFERROR(REGEXEXTRACT($M67,""^[^｜]+""),"""")&lt;IFERROR(REGEXEXTRACT($N67,""^[^｜]+""),""""),
       IFERROR(REGEXEXTRACT($M67,""^[^｜]+""),"""")&amp;""_"&amp;"""&amp;IFERROR(REGEXEXTRACT($N67,""^[^｜]+""),""""),
       IFERROR(REGEXEXTRACT($N67,""^[^｜]+""),"""")&amp;""_""&amp;IFERROR(REGEXEXTRACT($M67,""^[^｜]+""),"""")
      )
     ),
     sy_mst!$A:$A,
     sy_mst!$G:$G
    ),
    0
   )
  )
  *
  IFERROR(XLOOKUP(REGEXEXTR"&amp;"ACT($I67,""^[^｜]+""),ms_mst!$A:$A,ms_mst!$O:$O),1)
  *
  IF(
   $B67&gt;=IFERROR(XLOOKUP(REGEXEXTRACT($L67,""^[^｜]+""),sk_mst!$A:$A,sk_mst!$M:$M),999),
   IFERROR(XLOOKUP(REGEXEXTRACT($L67,""^[^｜]+""),sk_mst!$A:$A,sk_mst!$I:$I),1),
   1
  )
 )
)"),-0.01)</f>
        <v>-0.01</v>
      </c>
      <c r="S67" s="25">
        <f>IFERROR(__xludf.DUMMYFUNCTION("IF($A67="""","""",
 IF($F67=""market"",
  IFERROR(XLOOKUP(REGEXEXTRACT($J67,""^[^｜]+""),tr_mst!$A:$A,tr_mst!$H:$H),0)
  +IFERROR(XLOOKUP(REGEXEXTRACT($K67,""^[^｜]+""),tc_mst!$A:$A,tc_mst!$H:$H),0),
  IF($B67=0,
   IFERROR(XLOOKUP(REGEXEXTRACT($I67,""^[^｜]"&amp;"+""),ms_mst!$A:$A,ms_mst!$H:$H),0),
   IFERROR(XLOOKUP(""T""&amp;($B67-1)&amp;""_""&amp;$D67,$A:$A,$S:$S),0)
  )
  +IFERROR(XLOOKUP(REGEXEXTRACT($J67,""^[^｜]+""),tr_mst!$A:$A,tr_mst!$H:$H),0)
  +IFERROR(XLOOKUP(REGEXEXTRACT($K67,""^[^｜]+""),tc_mst!$A:$A,tc_mst!$H:$H)"&amp;",0)
  +
  (
   IFERROR(XLOOKUP(REGEXEXTRACT($M67,""^[^｜]+""),ac_mst!$A:$A,ac_mst!$K:$K),0)
   +IFERROR(XLOOKUP(REGEXEXTRACT($N67,""^[^｜]+""),ac_mst!$A:$A,ac_mst!$K:$K),0)
   +IFERROR(
    XLOOKUP(
     IF(
      OR(
       IFERROR(REGEXEXTRACT($M67,""^[^｜"&amp;"]+""),"""")="""",
       IFERROR(REGEXEXTRACT($N67,""^[^｜]+""),"""")=""""
      ),
      """",
      IF(
       IFERROR(REGEXEXTRACT($M67,""^[^｜]+""),"""")&lt;IFERROR(REGEXEXTRACT($N67,""^[^｜]+""),""""),
       IFERROR(REGEXEXTRACT($M67,""^[^｜]+""),"""")&amp;""_"&amp;"""&amp;IFERROR(REGEXEXTRACT($N67,""^[^｜]+""),""""),
       IFERROR(REGEXEXTRACT($N67,""^[^｜]+""),"""")&amp;""_""&amp;IFERROR(REGEXEXTRACT($M67,""^[^｜]+""),"""")
      )
     ),
     sy_mst!$A:$A,
     sy_mst!$H:$H
    ),
    0
   )
  )
  *
  IFERROR(XLOOKUP(REGEXEXTR"&amp;"ACT($I67,""^[^｜]+""),ms_mst!$A:$A,ms_mst!$P:$P),1)
  *
  IF(
   $B67&gt;=IFERROR(XLOOKUP(REGEXEXTRACT($L67,""^[^｜]+""),sk_mst!$A:$A,sk_mst!$M:$M),999),
   IFERROR(XLOOKUP(REGEXEXTRACT($L67,""^[^｜]+""),sk_mst!$A:$A,sk_mst!$J:$J),1),
   1
  )
 )
)"),-5.0E-4)</f>
        <v>-0.0005</v>
      </c>
      <c r="T67" s="25">
        <f>IFERROR(__xludf.DUMMYFUNCTION("IF($A67="""","""",
 IF($F67=""market"",
  IFERROR(XLOOKUP(REGEXEXTRACT($J67,""^[^｜]+""),tr_mst!$A:$A,tr_mst!$I:$I),0)
  +IFERROR(XLOOKUP(REGEXEXTRACT($K67,""^[^｜]+""),tc_mst!$A:$A,tc_mst!$I:$I),0),
  IF($B67=0,
   IFERROR(XLOOKUP(REGEXEXTRACT($I67,""^[^｜]"&amp;"+""),ms_mst!$A:$A,ms_mst!$I:$I),0),
   IFERROR(XLOOKUP(""T""&amp;($B67-1)&amp;""_""&amp;$D67,$A:$A,$T:$T),0)
  )
  +IFERROR(XLOOKUP(REGEXEXTRACT($J67,""^[^｜]+""),tr_mst!$A:$A,tr_mst!$I:$I),0)
  +IFERROR(XLOOKUP(REGEXEXTRACT($K67,""^[^｜]+""),tc_mst!$A:$A,tc_mst!$I:$I)"&amp;",0)
  +
  (
   IFERROR(XLOOKUP(REGEXEXTRACT($M67,""^[^｜]+""),ac_mst!$A:$A,ac_mst!$L:$L),0)
   +IFERROR(XLOOKUP(REGEXEXTRACT($N67,""^[^｜]+""),ac_mst!$A:$A,ac_mst!$L:$L),0)
   +IFERROR(
    XLOOKUP(
     IF(
      OR(
       IFERROR(REGEXEXTRACT($M67,""^[^｜"&amp;"]+""),"""")="""",
       IFERROR(REGEXEXTRACT($N67,""^[^｜]+""),"""")=""""
      ),
      """",
      IF(
       IFERROR(REGEXEXTRACT($M67,""^[^｜]+""),"""")&lt;IFERROR(REGEXEXTRACT($N67,""^[^｜]+""),""""),
       IFERROR(REGEXEXTRACT($M67,""^[^｜]+""),"""")&amp;""_"&amp;"""&amp;IFERROR(REGEXEXTRACT($N67,""^[^｜]+""),""""),
       IFERROR(REGEXEXTRACT($N67,""^[^｜]+""),"""")&amp;""_""&amp;IFERROR(REGEXEXTRACT($M67,""^[^｜]+""),"""")
      )
     ),
     sy_mst!$A:$A,
     sy_mst!$I:$I
    ),
    0
   )
  )
  *
  IFERROR(XLOOKUP(REGEXEXTR"&amp;"ACT($I67,""^[^｜]+""),ms_mst!$A:$A,ms_mst!$Q:$Q),1)
  *
  IF(
   $B67&gt;=IFERROR(XLOOKUP(REGEXEXTRACT($L67,""^[^｜]+""),sk_mst!$A:$A,sk_mst!$M:$M),999),
   IFERROR(XLOOKUP(REGEXEXTRACT($L67,""^[^｜]+""),sk_mst!$A:$A,sk_mst!$K:$K),1),
   1
  )
 )
)"),0.0)</f>
        <v>0</v>
      </c>
      <c r="U67" s="25">
        <f>IFERROR(__xludf.DUMMYFUNCTION("IF($A67="""","""",
 IF($F67=""market"",
  IFERROR(XLOOKUP(REGEXEXTRACT($J67,""^[^｜]+""),tr_mst!$A:$A,tr_mst!$J:$J),0)
  +IFERROR(XLOOKUP(REGEXEXTRACT($K67,""^[^｜]+""),tc_mst!$A:$A,tc_mst!$J:$J),0),
  IF($B67=0,
   IFERROR(XLOOKUP(REGEXEXTRACT($I67,""^[^｜]"&amp;"+""),ms_mst!$A:$A,ms_mst!$J:$J),0),
   IFERROR(XLOOKUP(""T""&amp;($B67-1)&amp;""_""&amp;$D67,$A:$A,$U:$U),0)
  )
  +IFERROR(XLOOKUP(REGEXEXTRACT($J67,""^[^｜]+""),tr_mst!$A:$A,tr_mst!$J:$J),0)
  +IFERROR(XLOOKUP(REGEXEXTRACT($K67,""^[^｜]+""),tc_mst!$A:$A,tc_mst!$J:$J)"&amp;",0)
  +
  (
   IFERROR(XLOOKUP(REGEXEXTRACT($M67,""^[^｜]+""),ac_mst!$A:$A,ac_mst!$M:$M),0)
   +IFERROR(XLOOKUP(REGEXEXTRACT($N67,""^[^｜]+""),ac_mst!$A:$A,ac_mst!$M:$M),0)
   +IFERROR(
    XLOOKUP(
     IF(
      OR(
       IFERROR(REGEXEXTRACT($M67,""^[^｜"&amp;"]+""),"""")="""",
       IFERROR(REGEXEXTRACT($N67,""^[^｜]+""),"""")=""""
      ),
      """",
      IF(
       IFERROR(REGEXEXTRACT($M67,""^[^｜]+""),"""")&lt;IFERROR(REGEXEXTRACT($N67,""^[^｜]+""),""""),
       IFERROR(REGEXEXTRACT($M67,""^[^｜]+""),"""")&amp;""_"&amp;"""&amp;IFERROR(REGEXEXTRACT($N67,""^[^｜]+""),""""),
       IFERROR(REGEXEXTRACT($N67,""^[^｜]+""),"""")&amp;""_""&amp;IFERROR(REGEXEXTRACT($M67,""^[^｜]+""),"""")
      )
     ),
     sy_mst!$A:$A,
     sy_mst!$J:$J
    ),
    0
   )
  )
  *
  IFERROR(XLOOKUP(REGEXEXTR"&amp;"ACT($I67,""^[^｜]+""),ms_mst!$A:$A,ms_mst!$R:$R),1)
  *
  IF(
   $B67&gt;=IFERROR(XLOOKUP(REGEXEXTRACT($L67,""^[^｜]+""),sk_mst!$A:$A,sk_mst!$M:$M),999),
   IFERROR(XLOOKUP(REGEXEXTRACT($L67,""^[^｜]+""),sk_mst!$A:$A,sk_mst!$L:$L),1),
   1
  )
 )
)"),0.0)</f>
        <v>0</v>
      </c>
      <c r="V67" s="25" t="str">
        <f t="shared" si="1"/>
        <v/>
      </c>
      <c r="W67" s="25" t="str">
        <f t="shared" si="2"/>
        <v/>
      </c>
      <c r="X67" s="25" t="str">
        <f t="shared" si="3"/>
        <v/>
      </c>
      <c r="Y67" s="25" t="str">
        <f t="shared" si="4"/>
        <v/>
      </c>
      <c r="Z67" s="25" t="str">
        <f>IFERROR(__xludf.DUMMYFUNCTION("IF($A67="""","""",
 IF($F67&lt;&gt;""player"","""",
  IFERROR(
   RANK(
    $X67,
    FILTER($X:$X,$B:$B=$B67,$F:$F=""player"",$X:$X&lt;&gt;""""),
    0
   ),
   """"
  )
 )
)"),"")</f>
        <v/>
      </c>
      <c r="AA67" s="25" t="str">
        <f t="shared" si="5"/>
        <v/>
      </c>
      <c r="AB67" s="26" t="str">
        <f t="shared" si="6"/>
        <v/>
      </c>
    </row>
    <row r="68">
      <c r="A68" s="25" t="s">
        <v>241</v>
      </c>
      <c r="B68" s="14">
        <v>5.0</v>
      </c>
      <c r="C68" s="14" t="s">
        <v>151</v>
      </c>
      <c r="D68" s="14" t="s">
        <v>152</v>
      </c>
      <c r="E68" s="25" t="s">
        <v>153</v>
      </c>
      <c r="F68" s="25" t="s">
        <v>154</v>
      </c>
      <c r="I68" s="25" t="str">
        <f>IFERROR(__xludf.DUMMYFUNCTION("IF($F68&lt;&gt;""player"","""",IFERROR(INDEX(FILTER(group_setup!$D$2:$D947,group_setup!$B$2:$B947=$C68,group_setup!$G$2:$G947=TRUE,group_setup!$H$2:$H947=""completed""),1),""""))"),"M03")</f>
        <v>M03</v>
      </c>
      <c r="J68" s="25" t="str">
        <f>IFERROR(__xludf.DUMMYFUNCTION("IFERROR(FILTER(market_event_log!$D$2:$D947,market_event_log!$C$2:$C947=$B68,market_event_log!$N$2:$N947=""active""),"""")"),"T04")</f>
        <v>T04</v>
      </c>
      <c r="K68" s="25" t="str">
        <f>IFERROR(__xludf.DUMMYFUNCTION("IFERROR(FILTER(market_event_log!$G$2:$G947,market_event_log!$C$2:$C947=$B68,market_event_log!$N$2:$N947=""active""),"""")"),"C04")</f>
        <v>C04</v>
      </c>
      <c r="L68" s="25" t="str">
        <f>IFERROR(__xludf.DUMMYFUNCTION("IF($F68&lt;&gt;""player"","""",IFERROR(INDEX(FILTER(group_setup!$E$2:$E947,group_setup!$B$2:$B947=$C68,group_setup!$G$2:$G947=TRUE,group_setup!$H$2:$H947=""completed""),1),""""))"),"S02")</f>
        <v>S02</v>
      </c>
      <c r="M68" s="25" t="str">
        <f>IFERROR(__xludf.DUMMYFUNCTION("IF($F68=""market"","""",IF($E68=""HUMAN"",IFERROR(FILTER(turn_log!$G$2:$G947,turn_log!$C$2:$C947=$B68,turn_log!$D$2:$D947=$C68,turn_log!$F$2:$F947=$E68),""""),IFERROR(FILTER(turn_log!$I$2:$I947,turn_log!$C$2:$C947=$B68,turn_log!$D$2:$D947=$C68,turn_log!$F"&amp;"$2:$F947=$E68),"""")))"),"A17")</f>
        <v>A17</v>
      </c>
      <c r="N68" s="25" t="str">
        <f>IFERROR(__xludf.DUMMYFUNCTION("IF($F68=""market"","""",IF($E68=""HUMAN"",IFERROR(FILTER(turn_log!$H$2:$H947,turn_log!$C$2:$C947=$B68,turn_log!$D$2:$D947=$C68,turn_log!$F$2:$F947=$E68),""""),IFERROR(FILTER(turn_log!$J$2:$J947,turn_log!$C$2:$C947=$B68,turn_log!$D$2:$D947=$C68,turn_log!$F"&amp;"$2:$F947=$E68),"""")))"),"A18")</f>
        <v>A18</v>
      </c>
      <c r="O68" s="25">
        <f>IFERROR(__xludf.DUMMYFUNCTION("IF($A68="""","""",
 IF($F68=""market"",
  IFERROR(XLOOKUP(REGEXEXTRACT($J68,""^[^｜]+""),tr_mst!$A:$A,tr_mst!$D:$D),0)
  +IFERROR(XLOOKUP(REGEXEXTRACT($K68,""^[^｜]+""),tc_mst!$A:$A,tc_mst!$D:$D),0),
  IF($B68=0,
   IFERROR(XLOOKUP(REGEXEXTRACT($I68,""^[^｜]"&amp;"+""),ms_mst!$A:$A,ms_mst!$D:$D),0),
   IFERROR(XLOOKUP(""T""&amp;($B68-1)&amp;""_""&amp;$D68,$A:$A,$O:$O),0)
  )
  +IFERROR(XLOOKUP(REGEXEXTRACT($J68,""^[^｜]+""),tr_mst!$A:$A,tr_mst!$D:$D),0)
  +IFERROR(XLOOKUP(REGEXEXTRACT($K68,""^[^｜]+""),tc_mst!$A:$A,tc_mst!$D:$D)"&amp;",0)
  +
  (
   IFERROR(XLOOKUP(REGEXEXTRACT($M68,""^[^｜]+""),ac_mst!$A:$A,ac_mst!$G:$G),0)
   +IFERROR(XLOOKUP(REGEXEXTRACT($N68,""^[^｜]+""),ac_mst!$A:$A,ac_mst!$G:$G),0)
   +IFERROR(
    XLOOKUP(
     IF(
      OR(
       IFERROR(REGEXEXTRACT($M68,""^[^｜"&amp;"]+""),"""")="""",
       IFERROR(REGEXEXTRACT($N68,""^[^｜]+""),"""")=""""
      ),
      """",
      IF(
       IFERROR(REGEXEXTRACT($M68,""^[^｜]+""),"""")&lt;IFERROR(REGEXEXTRACT($N68,""^[^｜]+""),""""),
       IFERROR(REGEXEXTRACT($M68,""^[^｜]+""),"""")&amp;""_"&amp;"""&amp;IFERROR(REGEXEXTRACT($N68,""^[^｜]+""),""""),
       IFERROR(REGEXEXTRACT($N68,""^[^｜]+""),"""")&amp;""_""&amp;IFERROR(REGEXEXTRACT($M68,""^[^｜]+""),"""")
      )
     ),
     sy_mst!$A:$A,
     sy_mst!$D:$D
    ),
    0
   )
  )
  *
  IFERROR(XLOOKUP(REGEXEXTR"&amp;"ACT($I68,""^[^｜]+""),ms_mst!$A:$A,ms_mst!$L:$L),1)
  *
  IF(
   $B68&gt;=IFERROR(XLOOKUP(REGEXEXTRACT($L68,""^[^｜]+""),sk_mst!$A:$A,sk_mst!$M:$M),999),
   IFERROR(XLOOKUP(REGEXEXTRACT($L68,""^[^｜]+""),sk_mst!$A:$A,sk_mst!$F:$F),1),
   1
  )
 )
)"),13195.0)</f>
        <v>13195</v>
      </c>
      <c r="P68" s="25">
        <f>IFERROR(__xludf.DUMMYFUNCTION("IF($A68="""","""",
 IF($F68=""market"",
  IFERROR(XLOOKUP(REGEXEXTRACT($J68,""^[^｜]+""),tr_mst!$A:$A,tr_mst!$E:$E),0)
  +IFERROR(XLOOKUP(REGEXEXTRACT($K68,""^[^｜]+""),tc_mst!$A:$A,tc_mst!$E:$E),0),
  IF($B68=0,
   IFERROR(XLOOKUP(REGEXEXTRACT($I68,""^[^｜]"&amp;"+""),ms_mst!$A:$A,ms_mst!$E:$E),0),
   IFERROR(XLOOKUP(""T""&amp;($B68-1)&amp;""_""&amp;$D68,$A:$A,$P:$P),0)
  )
  +IFERROR(XLOOKUP(REGEXEXTRACT($J68,""^[^｜]+""),tr_mst!$A:$A,tr_mst!$E:$E),0)
  +IFERROR(XLOOKUP(REGEXEXTRACT($K68,""^[^｜]+""),tc_mst!$A:$A,tc_mst!$E:$E)"&amp;",0)
  +
  (
   IFERROR(XLOOKUP(REGEXEXTRACT($M68,""^[^｜]+""),ac_mst!$A:$A,ac_mst!$H:$H),0)
   +IFERROR(XLOOKUP(REGEXEXTRACT($N68,""^[^｜]+""),ac_mst!$A:$A,ac_mst!$H:$H),0)
   +IFERROR(
    XLOOKUP(
     IF(
      OR(
       IFERROR(REGEXEXTRACT($M68,""^[^｜"&amp;"]+""),"""")="""",
       IFERROR(REGEXEXTRACT($N68,""^[^｜]+""),"""")=""""
      ),
      """",
      IF(
       IFERROR(REGEXEXTRACT($M68,""^[^｜]+""),"""")&lt;IFERROR(REGEXEXTRACT($N68,""^[^｜]+""),""""),
       IFERROR(REGEXEXTRACT($M68,""^[^｜]+""),"""")&amp;""_"&amp;"""&amp;IFERROR(REGEXEXTRACT($N68,""^[^｜]+""),""""),
       IFERROR(REGEXEXTRACT($N68,""^[^｜]+""),"""")&amp;""_""&amp;IFERROR(REGEXEXTRACT($M68,""^[^｜]+""),"""")
      )
     ),
     sy_mst!$A:$A,
     sy_mst!$E:$E
    ),
    0
   )
  )
  *
  IFERROR(XLOOKUP(REGEXEXTR"&amp;"ACT($I68,""^[^｜]+""),ms_mst!$A:$A,ms_mst!$M:$M),1)
  *
  IF(
   $B68&gt;=IFERROR(XLOOKUP(REGEXEXTRACT($L68,""^[^｜]+""),sk_mst!$A:$A,sk_mst!$M:$M),999),
   IFERROR(XLOOKUP(REGEXEXTRACT($L68,""^[^｜]+""),sk_mst!$A:$A,sk_mst!$G:$G),1),
   1
  )
 )
)"),1950.0)</f>
        <v>1950</v>
      </c>
      <c r="Q68" s="25">
        <f>IFERROR(__xludf.DUMMYFUNCTION("IF($A68="""","""",
 IF($F68=""market"",
  IFERROR(XLOOKUP(REGEXEXTRACT($J68,""^[^｜]+""),tr_mst!$A:$A,tr_mst!$F:$F),0)
  +IFERROR(XLOOKUP(REGEXEXTRACT($K68,""^[^｜]+""),tc_mst!$A:$A,tc_mst!$F:$F),0),
  IF($B68=0,
   IFERROR(XLOOKUP(REGEXEXTRACT($I68,""^[^｜]"&amp;"+""),ms_mst!$A:$A,ms_mst!$F:$F),0),
   IFERROR(XLOOKUP(""T""&amp;($B68-1)&amp;""_""&amp;$D68,$A:$A,$Q:$Q),0)
  )
  +IFERROR(XLOOKUP(REGEXEXTRACT($J68,""^[^｜]+""),tr_mst!$A:$A,tr_mst!$F:$F),0)
  +IFERROR(XLOOKUP(REGEXEXTRACT($K68,""^[^｜]+""),tc_mst!$A:$A,tc_mst!$F:$F)"&amp;",0)
  +
  (
   IFERROR(XLOOKUP(REGEXEXTRACT($M68,""^[^｜]+""),ac_mst!$A:$A,ac_mst!$I:$I),0)
   +IFERROR(XLOOKUP(REGEXEXTRACT($N68,""^[^｜]+""),ac_mst!$A:$A,ac_mst!$I:$I),0)
   +IFERROR(
    XLOOKUP(
     IF(
      OR(
       IFERROR(REGEXEXTRACT($M68,""^[^｜"&amp;"]+""),"""")="""",
       IFERROR(REGEXEXTRACT($N68,""^[^｜]+""),"""")=""""
      ),
      """",
      IF(
       IFERROR(REGEXEXTRACT($M68,""^[^｜]+""),"""")&lt;IFERROR(REGEXEXTRACT($N68,""^[^｜]+""),""""),
       IFERROR(REGEXEXTRACT($M68,""^[^｜]+""),"""")&amp;""_"&amp;"""&amp;IFERROR(REGEXEXTRACT($N68,""^[^｜]+""),""""),
       IFERROR(REGEXEXTRACT($N68,""^[^｜]+""),"""")&amp;""_""&amp;IFERROR(REGEXEXTRACT($M68,""^[^｜]+""),"""")
      )
     ),
     sy_mst!$A:$A,
     sy_mst!$F:$F
    ),
    0
   )
  )
  *
  IFERROR(XLOOKUP(REGEXEXTR"&amp;"ACT($I68,""^[^｜]+""),ms_mst!$A:$A,ms_mst!$N:$N),1)
  *
  IF(
   $B68&gt;=IFERROR(XLOOKUP(REGEXEXTRACT($L68,""^[^｜]+""),sk_mst!$A:$A,sk_mst!$M:$M),999),
   IFERROR(XLOOKUP(REGEXEXTRACT($L68,""^[^｜]+""),sk_mst!$A:$A,sk_mst!$H:$H),1),
   1
  )
 )
)"),0.49000000000000005)</f>
        <v>0.49</v>
      </c>
      <c r="R68" s="25">
        <f>IFERROR(__xludf.DUMMYFUNCTION("IF($A68="""","""",
 IF($F68=""market"",
  IFERROR(XLOOKUP(REGEXEXTRACT($J68,""^[^｜]+""),tr_mst!$A:$A,tr_mst!$G:$G),0)
  +IFERROR(XLOOKUP(REGEXEXTRACT($K68,""^[^｜]+""),tc_mst!$A:$A,tc_mst!$G:$G),0),
  IF($B68=0,
   IFERROR(XLOOKUP(REGEXEXTRACT($I68,""^[^｜]"&amp;"+""),ms_mst!$A:$A,ms_mst!$G:$G),0),
   IFERROR(XLOOKUP(""T""&amp;($B68-1)&amp;""_""&amp;$D68,$A:$A,$R:$R),0)
  )
  +IFERROR(XLOOKUP(REGEXEXTRACT($J68,""^[^｜]+""),tr_mst!$A:$A,tr_mst!$G:$G),0)
  +IFERROR(XLOOKUP(REGEXEXTRACT($K68,""^[^｜]+""),tc_mst!$A:$A,tc_mst!$G:$G)"&amp;",0)
  +
  (
   IFERROR(XLOOKUP(REGEXEXTRACT($M68,""^[^｜]+""),ac_mst!$A:$A,ac_mst!$J:$J),0)
   +IFERROR(XLOOKUP(REGEXEXTRACT($N68,""^[^｜]+""),ac_mst!$A:$A,ac_mst!$J:$J),0)
   +IFERROR(
    XLOOKUP(
     IF(
      OR(
       IFERROR(REGEXEXTRACT($M68,""^[^｜"&amp;"]+""),"""")="""",
       IFERROR(REGEXEXTRACT($N68,""^[^｜]+""),"""")=""""
      ),
      """",
      IF(
       IFERROR(REGEXEXTRACT($M68,""^[^｜]+""),"""")&lt;IFERROR(REGEXEXTRACT($N68,""^[^｜]+""),""""),
       IFERROR(REGEXEXTRACT($M68,""^[^｜]+""),"""")&amp;""_"&amp;"""&amp;IFERROR(REGEXEXTRACT($N68,""^[^｜]+""),""""),
       IFERROR(REGEXEXTRACT($N68,""^[^｜]+""),"""")&amp;""_""&amp;IFERROR(REGEXEXTRACT($M68,""^[^｜]+""),"""")
      )
     ),
     sy_mst!$A:$A,
     sy_mst!$G:$G
    ),
    0
   )
  )
  *
  IFERROR(XLOOKUP(REGEXEXTR"&amp;"ACT($I68,""^[^｜]+""),ms_mst!$A:$A,ms_mst!$O:$O),1)
  *
  IF(
   $B68&gt;=IFERROR(XLOOKUP(REGEXEXTRACT($L68,""^[^｜]+""),sk_mst!$A:$A,sk_mst!$M:$M),999),
   IFERROR(XLOOKUP(REGEXEXTRACT($L68,""^[^｜]+""),sk_mst!$A:$A,sk_mst!$I:$I),1),
   1
  )
 )
)"),1.8964999999999999)</f>
        <v>1.8965</v>
      </c>
      <c r="S68" s="25">
        <f>IFERROR(__xludf.DUMMYFUNCTION("IF($A68="""","""",
 IF($F68=""market"",
  IFERROR(XLOOKUP(REGEXEXTRACT($J68,""^[^｜]+""),tr_mst!$A:$A,tr_mst!$H:$H),0)
  +IFERROR(XLOOKUP(REGEXEXTRACT($K68,""^[^｜]+""),tc_mst!$A:$A,tc_mst!$H:$H),0),
  IF($B68=0,
   IFERROR(XLOOKUP(REGEXEXTRACT($I68,""^[^｜]"&amp;"+""),ms_mst!$A:$A,ms_mst!$H:$H),0),
   IFERROR(XLOOKUP(""T""&amp;($B68-1)&amp;""_""&amp;$D68,$A:$A,$S:$S),0)
  )
  +IFERROR(XLOOKUP(REGEXEXTRACT($J68,""^[^｜]+""),tr_mst!$A:$A,tr_mst!$H:$H),0)
  +IFERROR(XLOOKUP(REGEXEXTRACT($K68,""^[^｜]+""),tc_mst!$A:$A,tc_mst!$H:$H)"&amp;",0)
  +
  (
   IFERROR(XLOOKUP(REGEXEXTRACT($M68,""^[^｜]+""),ac_mst!$A:$A,ac_mst!$K:$K),0)
   +IFERROR(XLOOKUP(REGEXEXTRACT($N68,""^[^｜]+""),ac_mst!$A:$A,ac_mst!$K:$K),0)
   +IFERROR(
    XLOOKUP(
     IF(
      OR(
       IFERROR(REGEXEXTRACT($M68,""^[^｜"&amp;"]+""),"""")="""",
       IFERROR(REGEXEXTRACT($N68,""^[^｜]+""),"""")=""""
      ),
      """",
      IF(
       IFERROR(REGEXEXTRACT($M68,""^[^｜]+""),"""")&lt;IFERROR(REGEXEXTRACT($N68,""^[^｜]+""),""""),
       IFERROR(REGEXEXTRACT($M68,""^[^｜]+""),"""")&amp;""_"&amp;"""&amp;IFERROR(REGEXEXTRACT($N68,""^[^｜]+""),""""),
       IFERROR(REGEXEXTRACT($N68,""^[^｜]+""),"""")&amp;""_""&amp;IFERROR(REGEXEXTRACT($M68,""^[^｜]+""),"""")
      )
     ),
     sy_mst!$A:$A,
     sy_mst!$H:$H
    ),
    0
   )
  )
  *
  IFERROR(XLOOKUP(REGEXEXTR"&amp;"ACT($I68,""^[^｜]+""),ms_mst!$A:$A,ms_mst!$P:$P),1)
  *
  IF(
   $B68&gt;=IFERROR(XLOOKUP(REGEXEXTRACT($L68,""^[^｜]+""),sk_mst!$A:$A,sk_mst!$M:$M),999),
   IFERROR(XLOOKUP(REGEXEXTRACT($L68,""^[^｜]+""),sk_mst!$A:$A,sk_mst!$J:$J),1),
   1
  )
 )
)"),0.018)</f>
        <v>0.018</v>
      </c>
      <c r="T68" s="25">
        <f>IFERROR(__xludf.DUMMYFUNCTION("IF($A68="""","""",
 IF($F68=""market"",
  IFERROR(XLOOKUP(REGEXEXTRACT($J68,""^[^｜]+""),tr_mst!$A:$A,tr_mst!$I:$I),0)
  +IFERROR(XLOOKUP(REGEXEXTRACT($K68,""^[^｜]+""),tc_mst!$A:$A,tc_mst!$I:$I),0),
  IF($B68=0,
   IFERROR(XLOOKUP(REGEXEXTRACT($I68,""^[^｜]"&amp;"+""),ms_mst!$A:$A,ms_mst!$I:$I),0),
   IFERROR(XLOOKUP(""T""&amp;($B68-1)&amp;""_""&amp;$D68,$A:$A,$T:$T),0)
  )
  +IFERROR(XLOOKUP(REGEXEXTRACT($J68,""^[^｜]+""),tr_mst!$A:$A,tr_mst!$I:$I),0)
  +IFERROR(XLOOKUP(REGEXEXTRACT($K68,""^[^｜]+""),tc_mst!$A:$A,tc_mst!$I:$I)"&amp;",0)
  +
  (
   IFERROR(XLOOKUP(REGEXEXTRACT($M68,""^[^｜]+""),ac_mst!$A:$A,ac_mst!$L:$L),0)
   +IFERROR(XLOOKUP(REGEXEXTRACT($N68,""^[^｜]+""),ac_mst!$A:$A,ac_mst!$L:$L),0)
   +IFERROR(
    XLOOKUP(
     IF(
      OR(
       IFERROR(REGEXEXTRACT($M68,""^[^｜"&amp;"]+""),"""")="""",
       IFERROR(REGEXEXTRACT($N68,""^[^｜]+""),"""")=""""
      ),
      """",
      IF(
       IFERROR(REGEXEXTRACT($M68,""^[^｜]+""),"""")&lt;IFERROR(REGEXEXTRACT($N68,""^[^｜]+""),""""),
       IFERROR(REGEXEXTRACT($M68,""^[^｜]+""),"""")&amp;""_"&amp;"""&amp;IFERROR(REGEXEXTRACT($N68,""^[^｜]+""),""""),
       IFERROR(REGEXEXTRACT($N68,""^[^｜]+""),"""")&amp;""_""&amp;IFERROR(REGEXEXTRACT($M68,""^[^｜]+""),"""")
      )
     ),
     sy_mst!$A:$A,
     sy_mst!$I:$I
    ),
    0
   )
  )
  *
  IFERROR(XLOOKUP(REGEXEXTR"&amp;"ACT($I68,""^[^｜]+""),ms_mst!$A:$A,ms_mst!$Q:$Q),1)
  *
  IF(
   $B68&gt;=IFERROR(XLOOKUP(REGEXEXTRACT($L68,""^[^｜]+""),sk_mst!$A:$A,sk_mst!$M:$M),999),
   IFERROR(XLOOKUP(REGEXEXTRACT($L68,""^[^｜]+""),sk_mst!$A:$A,sk_mst!$K:$K),1),
   1
  )
 )
)"),4950.0)</f>
        <v>4950</v>
      </c>
      <c r="U68" s="25">
        <f>IFERROR(__xludf.DUMMYFUNCTION("IF($A68="""","""",
 IF($F68=""market"",
  IFERROR(XLOOKUP(REGEXEXTRACT($J68,""^[^｜]+""),tr_mst!$A:$A,tr_mst!$J:$J),0)
  +IFERROR(XLOOKUP(REGEXEXTRACT($K68,""^[^｜]+""),tc_mst!$A:$A,tc_mst!$J:$J),0),
  IF($B68=0,
   IFERROR(XLOOKUP(REGEXEXTRACT($I68,""^[^｜]"&amp;"+""),ms_mst!$A:$A,ms_mst!$J:$J),0),
   IFERROR(XLOOKUP(""T""&amp;($B68-1)&amp;""_""&amp;$D68,$A:$A,$U:$U),0)
  )
  +IFERROR(XLOOKUP(REGEXEXTRACT($J68,""^[^｜]+""),tr_mst!$A:$A,tr_mst!$J:$J),0)
  +IFERROR(XLOOKUP(REGEXEXTRACT($K68,""^[^｜]+""),tc_mst!$A:$A,tc_mst!$J:$J)"&amp;",0)
  +
  (
   IFERROR(XLOOKUP(REGEXEXTRACT($M68,""^[^｜]+""),ac_mst!$A:$A,ac_mst!$M:$M),0)
   +IFERROR(XLOOKUP(REGEXEXTRACT($N68,""^[^｜]+""),ac_mst!$A:$A,ac_mst!$M:$M),0)
   +IFERROR(
    XLOOKUP(
     IF(
      OR(
       IFERROR(REGEXEXTRACT($M68,""^[^｜"&amp;"]+""),"""")="""",
       IFERROR(REGEXEXTRACT($N68,""^[^｜]+""),"""")=""""
      ),
      """",
      IF(
       IFERROR(REGEXEXTRACT($M68,""^[^｜]+""),"""")&lt;IFERROR(REGEXEXTRACT($N68,""^[^｜]+""),""""),
       IFERROR(REGEXEXTRACT($M68,""^[^｜]+""),"""")&amp;""_"&amp;"""&amp;IFERROR(REGEXEXTRACT($N68,""^[^｜]+""),""""),
       IFERROR(REGEXEXTRACT($N68,""^[^｜]+""),"""")&amp;""_""&amp;IFERROR(REGEXEXTRACT($M68,""^[^｜]+""),"""")
      )
     ),
     sy_mst!$A:$A,
     sy_mst!$J:$J
    ),
    0
   )
  )
  *
  IFERROR(XLOOKUP(REGEXEXTR"&amp;"ACT($I68,""^[^｜]+""),ms_mst!$A:$A,ms_mst!$R:$R),1)
  *
  IF(
   $B68&gt;=IFERROR(XLOOKUP(REGEXEXTRACT($L68,""^[^｜]+""),sk_mst!$A:$A,sk_mst!$M:$M),999),
   IFERROR(XLOOKUP(REGEXEXTRACT($L68,""^[^｜]+""),sk_mst!$A:$A,sk_mst!$L:$L),1),
   1
  )
 )
)"),45.0)</f>
        <v>45</v>
      </c>
      <c r="V68" s="25">
        <f t="shared" si="1"/>
        <v>1305179</v>
      </c>
      <c r="W68" s="25">
        <f t="shared" si="2"/>
        <v>87750</v>
      </c>
      <c r="X68" s="25">
        <f t="shared" si="3"/>
        <v>1217429</v>
      </c>
      <c r="Y68" s="25">
        <f t="shared" si="4"/>
        <v>14.87</v>
      </c>
      <c r="Z68" s="25">
        <f>IFERROR(__xludf.DUMMYFUNCTION("IF($A68="""","""",
 IF($F68&lt;&gt;""player"","""",
  IFERROR(
   RANK(
    $X68,
    FILTER($X:$X,$B:$B=$B68,$F:$F=""player"",$X:$X&lt;&gt;""""),
    0
   ),
   """"
  )
 )
)"),1.0)</f>
        <v>1</v>
      </c>
      <c r="AA68" s="25" t="str">
        <f t="shared" si="5"/>
        <v>1位</v>
      </c>
      <c r="AB68" s="26">
        <f t="shared" si="6"/>
        <v>2.72986826</v>
      </c>
    </row>
    <row r="69">
      <c r="A69" s="25" t="s">
        <v>242</v>
      </c>
      <c r="B69" s="14">
        <v>5.0</v>
      </c>
      <c r="C69" s="14" t="s">
        <v>156</v>
      </c>
      <c r="D69" s="14" t="s">
        <v>157</v>
      </c>
      <c r="E69" s="25" t="s">
        <v>153</v>
      </c>
      <c r="F69" s="25" t="s">
        <v>154</v>
      </c>
      <c r="I69" s="25" t="str">
        <f>IFERROR(__xludf.DUMMYFUNCTION("IF($F69&lt;&gt;""player"","""",IFERROR(INDEX(FILTER(group_setup!$D$2:$D947,group_setup!$B$2:$B947=$C69,group_setup!$G$2:$G947=TRUE,group_setup!$H$2:$H947=""completed""),1),""""))"),"M12")</f>
        <v>M12</v>
      </c>
      <c r="J69" s="25" t="str">
        <f>IFERROR(__xludf.DUMMYFUNCTION("IFERROR(FILTER(market_event_log!$D$2:$D947,market_event_log!$C$2:$C947=$B69,market_event_log!$N$2:$N947=""active""),"""")"),"T04")</f>
        <v>T04</v>
      </c>
      <c r="K69" s="25" t="str">
        <f>IFERROR(__xludf.DUMMYFUNCTION("IFERROR(FILTER(market_event_log!$G$2:$G947,market_event_log!$C$2:$C947=$B69,market_event_log!$N$2:$N947=""active""),"""")"),"C04")</f>
        <v>C04</v>
      </c>
      <c r="L69" s="25" t="str">
        <f>IFERROR(__xludf.DUMMYFUNCTION("IF($F69&lt;&gt;""player"","""",IFERROR(INDEX(FILTER(group_setup!$E$2:$E947,group_setup!$B$2:$B947=$C69,group_setup!$G$2:$G947=TRUE,group_setup!$H$2:$H947=""completed""),1),""""))"),"S02")</f>
        <v>S02</v>
      </c>
      <c r="M69" s="25" t="str">
        <f>IFERROR(__xludf.DUMMYFUNCTION("IF($F69=""market"","""",IF($E69=""HUMAN"",IFERROR(FILTER(turn_log!$G$2:$G947,turn_log!$C$2:$C947=$B69,turn_log!$D$2:$D947=$C69,turn_log!$F$2:$F947=$E69),""""),IFERROR(FILTER(turn_log!$I$2:$I947,turn_log!$C$2:$C947=$B69,turn_log!$D$2:$D947=$C69,turn_log!$F"&amp;"$2:$F947=$E69),"""")))"),"A02")</f>
        <v>A02</v>
      </c>
      <c r="N69" s="25" t="str">
        <f>IFERROR(__xludf.DUMMYFUNCTION("IF($F69=""market"","""",IF($E69=""HUMAN"",IFERROR(FILTER(turn_log!$H$2:$H947,turn_log!$C$2:$C947=$B69,turn_log!$D$2:$D947=$C69,turn_log!$F$2:$F947=$E69),""""),IFERROR(FILTER(turn_log!$J$2:$J947,turn_log!$C$2:$C947=$B69,turn_log!$D$2:$D947=$C69,turn_log!$F"&amp;"$2:$F947=$E69),"""")))"),"A22")</f>
        <v>A22</v>
      </c>
      <c r="O69" s="25">
        <f>IFERROR(__xludf.DUMMYFUNCTION("IF($A69="""","""",
 IF($F69=""market"",
  IFERROR(XLOOKUP(REGEXEXTRACT($J69,""^[^｜]+""),tr_mst!$A:$A,tr_mst!$D:$D),0)
  +IFERROR(XLOOKUP(REGEXEXTRACT($K69,""^[^｜]+""),tc_mst!$A:$A,tc_mst!$D:$D),0),
  IF($B69=0,
   IFERROR(XLOOKUP(REGEXEXTRACT($I69,""^[^｜]"&amp;"+""),ms_mst!$A:$A,ms_mst!$D:$D),0),
   IFERROR(XLOOKUP(""T""&amp;($B69-1)&amp;""_""&amp;$D69,$A:$A,$O:$O),0)
  )
  +IFERROR(XLOOKUP(REGEXEXTRACT($J69,""^[^｜]+""),tr_mst!$A:$A,tr_mst!$D:$D),0)
  +IFERROR(XLOOKUP(REGEXEXTRACT($K69,""^[^｜]+""),tc_mst!$A:$A,tc_mst!$D:$D)"&amp;",0)
  +
  (
   IFERROR(XLOOKUP(REGEXEXTRACT($M69,""^[^｜]+""),ac_mst!$A:$A,ac_mst!$G:$G),0)
   +IFERROR(XLOOKUP(REGEXEXTRACT($N69,""^[^｜]+""),ac_mst!$A:$A,ac_mst!$G:$G),0)
   +IFERROR(
    XLOOKUP(
     IF(
      OR(
       IFERROR(REGEXEXTRACT($M69,""^[^｜"&amp;"]+""),"""")="""",
       IFERROR(REGEXEXTRACT($N69,""^[^｜]+""),"""")=""""
      ),
      """",
      IF(
       IFERROR(REGEXEXTRACT($M69,""^[^｜]+""),"""")&lt;IFERROR(REGEXEXTRACT($N69,""^[^｜]+""),""""),
       IFERROR(REGEXEXTRACT($M69,""^[^｜]+""),"""")&amp;""_"&amp;"""&amp;IFERROR(REGEXEXTRACT($N69,""^[^｜]+""),""""),
       IFERROR(REGEXEXTRACT($N69,""^[^｜]+""),"""")&amp;""_""&amp;IFERROR(REGEXEXTRACT($M69,""^[^｜]+""),"""")
      )
     ),
     sy_mst!$A:$A,
     sy_mst!$D:$D
    ),
    0
   )
  )
  *
  IFERROR(XLOOKUP(REGEXEXTR"&amp;"ACT($I69,""^[^｜]+""),ms_mst!$A:$A,ms_mst!$L:$L),1)
  *
  IF(
   $B69&gt;=IFERROR(XLOOKUP(REGEXEXTRACT($L69,""^[^｜]+""),sk_mst!$A:$A,sk_mst!$M:$M),999),
   IFERROR(XLOOKUP(REGEXEXTRACT($L69,""^[^｜]+""),sk_mst!$A:$A,sk_mst!$F:$F),1),
   1
  )
 )
)"),12250.0)</f>
        <v>12250</v>
      </c>
      <c r="P69" s="25">
        <f>IFERROR(__xludf.DUMMYFUNCTION("IF($A69="""","""",
 IF($F69=""market"",
  IFERROR(XLOOKUP(REGEXEXTRACT($J69,""^[^｜]+""),tr_mst!$A:$A,tr_mst!$E:$E),0)
  +IFERROR(XLOOKUP(REGEXEXTRACT($K69,""^[^｜]+""),tc_mst!$A:$A,tc_mst!$E:$E),0),
  IF($B69=0,
   IFERROR(XLOOKUP(REGEXEXTRACT($I69,""^[^｜]"&amp;"+""),ms_mst!$A:$A,ms_mst!$E:$E),0),
   IFERROR(XLOOKUP(""T""&amp;($B69-1)&amp;""_""&amp;$D69,$A:$A,$P:$P),0)
  )
  +IFERROR(XLOOKUP(REGEXEXTRACT($J69,""^[^｜]+""),tr_mst!$A:$A,tr_mst!$E:$E),0)
  +IFERROR(XLOOKUP(REGEXEXTRACT($K69,""^[^｜]+""),tc_mst!$A:$A,tc_mst!$E:$E)"&amp;",0)
  +
  (
   IFERROR(XLOOKUP(REGEXEXTRACT($M69,""^[^｜]+""),ac_mst!$A:$A,ac_mst!$H:$H),0)
   +IFERROR(XLOOKUP(REGEXEXTRACT($N69,""^[^｜]+""),ac_mst!$A:$A,ac_mst!$H:$H),0)
   +IFERROR(
    XLOOKUP(
     IF(
      OR(
       IFERROR(REGEXEXTRACT($M69,""^[^｜"&amp;"]+""),"""")="""",
       IFERROR(REGEXEXTRACT($N69,""^[^｜]+""),"""")=""""
      ),
      """",
      IF(
       IFERROR(REGEXEXTRACT($M69,""^[^｜]+""),"""")&lt;IFERROR(REGEXEXTRACT($N69,""^[^｜]+""),""""),
       IFERROR(REGEXEXTRACT($M69,""^[^｜]+""),"""")&amp;""_"&amp;"""&amp;IFERROR(REGEXEXTRACT($N69,""^[^｜]+""),""""),
       IFERROR(REGEXEXTRACT($N69,""^[^｜]+""),"""")&amp;""_""&amp;IFERROR(REGEXEXTRACT($M69,""^[^｜]+""),"""")
      )
     ),
     sy_mst!$A:$A,
     sy_mst!$E:$E
    ),
    0
   )
  )
  *
  IFERROR(XLOOKUP(REGEXEXTR"&amp;"ACT($I69,""^[^｜]+""),ms_mst!$A:$A,ms_mst!$M:$M),1)
  *
  IF(
   $B69&gt;=IFERROR(XLOOKUP(REGEXEXTRACT($L69,""^[^｜]+""),sk_mst!$A:$A,sk_mst!$M:$M),999),
   IFERROR(XLOOKUP(REGEXEXTRACT($L69,""^[^｜]+""),sk_mst!$A:$A,sk_mst!$G:$G),1),
   1
  )
 )
)"),2660.0)</f>
        <v>2660</v>
      </c>
      <c r="Q69" s="25">
        <f>IFERROR(__xludf.DUMMYFUNCTION("IF($A69="""","""",
 IF($F69=""market"",
  IFERROR(XLOOKUP(REGEXEXTRACT($J69,""^[^｜]+""),tr_mst!$A:$A,tr_mst!$F:$F),0)
  +IFERROR(XLOOKUP(REGEXEXTRACT($K69,""^[^｜]+""),tc_mst!$A:$A,tc_mst!$F:$F),0),
  IF($B69=0,
   IFERROR(XLOOKUP(REGEXEXTRACT($I69,""^[^｜]"&amp;"+""),ms_mst!$A:$A,ms_mst!$F:$F),0),
   IFERROR(XLOOKUP(""T""&amp;($B69-1)&amp;""_""&amp;$D69,$A:$A,$Q:$Q),0)
  )
  +IFERROR(XLOOKUP(REGEXEXTRACT($J69,""^[^｜]+""),tr_mst!$A:$A,tr_mst!$F:$F),0)
  +IFERROR(XLOOKUP(REGEXEXTRACT($K69,""^[^｜]+""),tc_mst!$A:$A,tc_mst!$F:$F)"&amp;",0)
  +
  (
   IFERROR(XLOOKUP(REGEXEXTRACT($M69,""^[^｜]+""),ac_mst!$A:$A,ac_mst!$I:$I),0)
   +IFERROR(XLOOKUP(REGEXEXTRACT($N69,""^[^｜]+""),ac_mst!$A:$A,ac_mst!$I:$I),0)
   +IFERROR(
    XLOOKUP(
     IF(
      OR(
       IFERROR(REGEXEXTRACT($M69,""^[^｜"&amp;"]+""),"""")="""",
       IFERROR(REGEXEXTRACT($N69,""^[^｜]+""),"""")=""""
      ),
      """",
      IF(
       IFERROR(REGEXEXTRACT($M69,""^[^｜]+""),"""")&lt;IFERROR(REGEXEXTRACT($N69,""^[^｜]+""),""""),
       IFERROR(REGEXEXTRACT($M69,""^[^｜]+""),"""")&amp;""_"&amp;"""&amp;IFERROR(REGEXEXTRACT($N69,""^[^｜]+""),""""),
       IFERROR(REGEXEXTRACT($N69,""^[^｜]+""),"""")&amp;""_""&amp;IFERROR(REGEXEXTRACT($M69,""^[^｜]+""),"""")
      )
     ),
     sy_mst!$A:$A,
     sy_mst!$F:$F
    ),
    0
   )
  )
  *
  IFERROR(XLOOKUP(REGEXEXTR"&amp;"ACT($I69,""^[^｜]+""),ms_mst!$A:$A,ms_mst!$N:$N),1)
  *
  IF(
   $B69&gt;=IFERROR(XLOOKUP(REGEXEXTRACT($L69,""^[^｜]+""),sk_mst!$A:$A,sk_mst!$M:$M),999),
   IFERROR(XLOOKUP(REGEXEXTRACT($L69,""^[^｜]+""),sk_mst!$A:$A,sk_mst!$H:$H),1),
   1
  )
 )
)"),0.5259999999999999)</f>
        <v>0.526</v>
      </c>
      <c r="R69" s="25">
        <f>IFERROR(__xludf.DUMMYFUNCTION("IF($A69="""","""",
 IF($F69=""market"",
  IFERROR(XLOOKUP(REGEXEXTRACT($J69,""^[^｜]+""),tr_mst!$A:$A,tr_mst!$G:$G),0)
  +IFERROR(XLOOKUP(REGEXEXTRACT($K69,""^[^｜]+""),tc_mst!$A:$A,tc_mst!$G:$G),0),
  IF($B69=0,
   IFERROR(XLOOKUP(REGEXEXTRACT($I69,""^[^｜]"&amp;"+""),ms_mst!$A:$A,ms_mst!$G:$G),0),
   IFERROR(XLOOKUP(""T""&amp;($B69-1)&amp;""_""&amp;$D69,$A:$A,$R:$R),0)
  )
  +IFERROR(XLOOKUP(REGEXEXTRACT($J69,""^[^｜]+""),tr_mst!$A:$A,tr_mst!$G:$G),0)
  +IFERROR(XLOOKUP(REGEXEXTRACT($K69,""^[^｜]+""),tc_mst!$A:$A,tc_mst!$G:$G)"&amp;",0)
  +
  (
   IFERROR(XLOOKUP(REGEXEXTRACT($M69,""^[^｜]+""),ac_mst!$A:$A,ac_mst!$J:$J),0)
   +IFERROR(XLOOKUP(REGEXEXTRACT($N69,""^[^｜]+""),ac_mst!$A:$A,ac_mst!$J:$J),0)
   +IFERROR(
    XLOOKUP(
     IF(
      OR(
       IFERROR(REGEXEXTRACT($M69,""^[^｜"&amp;"]+""),"""")="""",
       IFERROR(REGEXEXTRACT($N69,""^[^｜]+""),"""")=""""
      ),
      """",
      IF(
       IFERROR(REGEXEXTRACT($M69,""^[^｜]+""),"""")&lt;IFERROR(REGEXEXTRACT($N69,""^[^｜]+""),""""),
       IFERROR(REGEXEXTRACT($M69,""^[^｜]+""),"""")&amp;""_"&amp;"""&amp;IFERROR(REGEXEXTRACT($N69,""^[^｜]+""),""""),
       IFERROR(REGEXEXTRACT($N69,""^[^｜]+""),"""")&amp;""_""&amp;IFERROR(REGEXEXTRACT($M69,""^[^｜]+""),"""")
      )
     ),
     sy_mst!$A:$A,
     sy_mst!$G:$G
    ),
    0
   )
  )
  *
  IFERROR(XLOOKUP(REGEXEXTR"&amp;"ACT($I69,""^[^｜]+""),ms_mst!$A:$A,ms_mst!$O:$O),1)
  *
  IF(
   $B69&gt;=IFERROR(XLOOKUP(REGEXEXTRACT($L69,""^[^｜]+""),sk_mst!$A:$A,sk_mst!$M:$M),999),
   IFERROR(XLOOKUP(REGEXEXTRACT($L69,""^[^｜]+""),sk_mst!$A:$A,sk_mst!$I:$I),1),
   1
  )
 )
)"),1.6645)</f>
        <v>1.6645</v>
      </c>
      <c r="S69" s="25">
        <f>IFERROR(__xludf.DUMMYFUNCTION("IF($A69="""","""",
 IF($F69=""market"",
  IFERROR(XLOOKUP(REGEXEXTRACT($J69,""^[^｜]+""),tr_mst!$A:$A,tr_mst!$H:$H),0)
  +IFERROR(XLOOKUP(REGEXEXTRACT($K69,""^[^｜]+""),tc_mst!$A:$A,tc_mst!$H:$H),0),
  IF($B69=0,
   IFERROR(XLOOKUP(REGEXEXTRACT($I69,""^[^｜]"&amp;"+""),ms_mst!$A:$A,ms_mst!$H:$H),0),
   IFERROR(XLOOKUP(""T""&amp;($B69-1)&amp;""_""&amp;$D69,$A:$A,$S:$S),0)
  )
  +IFERROR(XLOOKUP(REGEXEXTRACT($J69,""^[^｜]+""),tr_mst!$A:$A,tr_mst!$H:$H),0)
  +IFERROR(XLOOKUP(REGEXEXTRACT($K69,""^[^｜]+""),tc_mst!$A:$A,tc_mst!$H:$H)"&amp;",0)
  +
  (
   IFERROR(XLOOKUP(REGEXEXTRACT($M69,""^[^｜]+""),ac_mst!$A:$A,ac_mst!$K:$K),0)
   +IFERROR(XLOOKUP(REGEXEXTRACT($N69,""^[^｜]+""),ac_mst!$A:$A,ac_mst!$K:$K),0)
   +IFERROR(
    XLOOKUP(
     IF(
      OR(
       IFERROR(REGEXEXTRACT($M69,""^[^｜"&amp;"]+""),"""")="""",
       IFERROR(REGEXEXTRACT($N69,""^[^｜]+""),"""")=""""
      ),
      """",
      IF(
       IFERROR(REGEXEXTRACT($M69,""^[^｜]+""),"""")&lt;IFERROR(REGEXEXTRACT($N69,""^[^｜]+""),""""),
       IFERROR(REGEXEXTRACT($M69,""^[^｜]+""),"""")&amp;""_"&amp;"""&amp;IFERROR(REGEXEXTRACT($N69,""^[^｜]+""),""""),
       IFERROR(REGEXEXTRACT($N69,""^[^｜]+""),"""")&amp;""_""&amp;IFERROR(REGEXEXTRACT($M69,""^[^｜]+""),"""")
      )
     ),
     sy_mst!$A:$A,
     sy_mst!$H:$H
    ),
    0
   )
  )
  *
  IFERROR(XLOOKUP(REGEXEXTR"&amp;"ACT($I69,""^[^｜]+""),ms_mst!$A:$A,ms_mst!$P:$P),1)
  *
  IF(
   $B69&gt;=IFERROR(XLOOKUP(REGEXEXTRACT($L69,""^[^｜]+""),sk_mst!$A:$A,sk_mst!$M:$M),999),
   IFERROR(XLOOKUP(REGEXEXTRACT($L69,""^[^｜]+""),sk_mst!$A:$A,sk_mst!$J:$J),1),
   1
  )
 )
)"),0.015884)</f>
        <v>0.015884</v>
      </c>
      <c r="T69" s="25">
        <f>IFERROR(__xludf.DUMMYFUNCTION("IF($A69="""","""",
 IF($F69=""market"",
  IFERROR(XLOOKUP(REGEXEXTRACT($J69,""^[^｜]+""),tr_mst!$A:$A,tr_mst!$I:$I),0)
  +IFERROR(XLOOKUP(REGEXEXTRACT($K69,""^[^｜]+""),tc_mst!$A:$A,tc_mst!$I:$I),0),
  IF($B69=0,
   IFERROR(XLOOKUP(REGEXEXTRACT($I69,""^[^｜]"&amp;"+""),ms_mst!$A:$A,ms_mst!$I:$I),0),
   IFERROR(XLOOKUP(""T""&amp;($B69-1)&amp;""_""&amp;$D69,$A:$A,$T:$T),0)
  )
  +IFERROR(XLOOKUP(REGEXEXTRACT($J69,""^[^｜]+""),tr_mst!$A:$A,tr_mst!$I:$I),0)
  +IFERROR(XLOOKUP(REGEXEXTRACT($K69,""^[^｜]+""),tc_mst!$A:$A,tc_mst!$I:$I)"&amp;",0)
  +
  (
   IFERROR(XLOOKUP(REGEXEXTRACT($M69,""^[^｜]+""),ac_mst!$A:$A,ac_mst!$L:$L),0)
   +IFERROR(XLOOKUP(REGEXEXTRACT($N69,""^[^｜]+""),ac_mst!$A:$A,ac_mst!$L:$L),0)
   +IFERROR(
    XLOOKUP(
     IF(
      OR(
       IFERROR(REGEXEXTRACT($M69,""^[^｜"&amp;"]+""),"""")="""",
       IFERROR(REGEXEXTRACT($N69,""^[^｜]+""),"""")=""""
      ),
      """",
      IF(
       IFERROR(REGEXEXTRACT($M69,""^[^｜]+""),"""")&lt;IFERROR(REGEXEXTRACT($N69,""^[^｜]+""),""""),
       IFERROR(REGEXEXTRACT($M69,""^[^｜]+""),"""")&amp;""_"&amp;"""&amp;IFERROR(REGEXEXTRACT($N69,""^[^｜]+""),""""),
       IFERROR(REGEXEXTRACT($N69,""^[^｜]+""),"""")&amp;""_""&amp;IFERROR(REGEXEXTRACT($M69,""^[^｜]+""),"""")
      )
     ),
     sy_mst!$A:$A,
     sy_mst!$I:$I
    ),
    0
   )
  )
  *
  IFERROR(XLOOKUP(REGEXEXTR"&amp;"ACT($I69,""^[^｜]+""),ms_mst!$A:$A,ms_mst!$Q:$Q),1)
  *
  IF(
   $B69&gt;=IFERROR(XLOOKUP(REGEXEXTRACT($L69,""^[^｜]+""),sk_mst!$A:$A,sk_mst!$M:$M),999),
   IFERROR(XLOOKUP(REGEXEXTRACT($L69,""^[^｜]+""),sk_mst!$A:$A,sk_mst!$K:$K),1),
   1
  )
 )
)"),5010.0)</f>
        <v>5010</v>
      </c>
      <c r="U69" s="25">
        <f>IFERROR(__xludf.DUMMYFUNCTION("IF($A69="""","""",
 IF($F69=""market"",
  IFERROR(XLOOKUP(REGEXEXTRACT($J69,""^[^｜]+""),tr_mst!$A:$A,tr_mst!$J:$J),0)
  +IFERROR(XLOOKUP(REGEXEXTRACT($K69,""^[^｜]+""),tc_mst!$A:$A,tc_mst!$J:$J),0),
  IF($B69=0,
   IFERROR(XLOOKUP(REGEXEXTRACT($I69,""^[^｜]"&amp;"+""),ms_mst!$A:$A,ms_mst!$J:$J),0),
   IFERROR(XLOOKUP(""T""&amp;($B69-1)&amp;""_""&amp;$D69,$A:$A,$U:$U),0)
  )
  +IFERROR(XLOOKUP(REGEXEXTRACT($J69,""^[^｜]+""),tr_mst!$A:$A,tr_mst!$J:$J),0)
  +IFERROR(XLOOKUP(REGEXEXTRACT($K69,""^[^｜]+""),tc_mst!$A:$A,tc_mst!$J:$J)"&amp;",0)
  +
  (
   IFERROR(XLOOKUP(REGEXEXTRACT($M69,""^[^｜]+""),ac_mst!$A:$A,ac_mst!$M:$M),0)
   +IFERROR(XLOOKUP(REGEXEXTRACT($N69,""^[^｜]+""),ac_mst!$A:$A,ac_mst!$M:$M),0)
   +IFERROR(
    XLOOKUP(
     IF(
      OR(
       IFERROR(REGEXEXTRACT($M69,""^[^｜"&amp;"]+""),"""")="""",
       IFERROR(REGEXEXTRACT($N69,""^[^｜]+""),"""")=""""
      ),
      """",
      IF(
       IFERROR(REGEXEXTRACT($M69,""^[^｜]+""),"""")&lt;IFERROR(REGEXEXTRACT($N69,""^[^｜]+""),""""),
       IFERROR(REGEXEXTRACT($M69,""^[^｜]+""),"""")&amp;""_"&amp;"""&amp;IFERROR(REGEXEXTRACT($N69,""^[^｜]+""),""""),
       IFERROR(REGEXEXTRACT($N69,""^[^｜]+""),"""")&amp;""_""&amp;IFERROR(REGEXEXTRACT($M69,""^[^｜]+""),"""")
      )
     ),
     sy_mst!$A:$A,
     sy_mst!$J:$J
    ),
    0
   )
  )
  *
  IFERROR(XLOOKUP(REGEXEXTR"&amp;"ACT($I69,""^[^｜]+""),ms_mst!$A:$A,ms_mst!$R:$R),1)
  *
  IF(
   $B69&gt;=IFERROR(XLOOKUP(REGEXEXTRACT($L69,""^[^｜]+""),sk_mst!$A:$A,sk_mst!$M:$M),999),
   IFERROR(XLOOKUP(REGEXEXTRACT($L69,""^[^｜]+""),sk_mst!$A:$A,sk_mst!$L:$L),1),
   1
  )
 )
)"),49.75)</f>
        <v>49.75</v>
      </c>
      <c r="V69" s="25">
        <f t="shared" si="1"/>
        <v>936133</v>
      </c>
      <c r="W69" s="25">
        <f t="shared" si="2"/>
        <v>132335</v>
      </c>
      <c r="X69" s="25">
        <f t="shared" si="3"/>
        <v>803798</v>
      </c>
      <c r="Y69" s="25">
        <f t="shared" si="4"/>
        <v>7.07</v>
      </c>
      <c r="Z69" s="25">
        <f>IFERROR(__xludf.DUMMYFUNCTION("IF($A69="""","""",
 IF($F69&lt;&gt;""player"","""",
  IFERROR(
   RANK(
    $X69,
    FILTER($X:$X,$B:$B=$B69,$F:$F=""player"",$X:$X&lt;&gt;""""),
    0
   ),
   """"
  )
 )
)"),4.0)</f>
        <v>4</v>
      </c>
      <c r="AA69" s="25" t="str">
        <f t="shared" si="5"/>
        <v>4位</v>
      </c>
      <c r="AB69" s="26">
        <f t="shared" si="6"/>
        <v>3.053055935</v>
      </c>
    </row>
    <row r="70">
      <c r="A70" s="25" t="s">
        <v>243</v>
      </c>
      <c r="B70" s="14">
        <v>5.0</v>
      </c>
      <c r="C70" s="14" t="s">
        <v>159</v>
      </c>
      <c r="D70" s="14" t="s">
        <v>160</v>
      </c>
      <c r="E70" s="25" t="s">
        <v>153</v>
      </c>
      <c r="F70" s="25" t="s">
        <v>154</v>
      </c>
      <c r="I70" s="25" t="str">
        <f>IFERROR(__xludf.DUMMYFUNCTION("IF($F70&lt;&gt;""player"","""",IFERROR(INDEX(FILTER(group_setup!$D$2:$D947,group_setup!$B$2:$B947=$C70,group_setup!$G$2:$G947=TRUE,group_setup!$H$2:$H947=""completed""),1),""""))"),"M03")</f>
        <v>M03</v>
      </c>
      <c r="J70" s="25" t="str">
        <f>IFERROR(__xludf.DUMMYFUNCTION("IFERROR(FILTER(market_event_log!$D$2:$D947,market_event_log!$C$2:$C947=$B70,market_event_log!$N$2:$N947=""active""),"""")"),"T04")</f>
        <v>T04</v>
      </c>
      <c r="K70" s="25" t="str">
        <f>IFERROR(__xludf.DUMMYFUNCTION("IFERROR(FILTER(market_event_log!$G$2:$G947,market_event_log!$C$2:$C947=$B70,market_event_log!$N$2:$N947=""active""),"""")"),"C04")</f>
        <v>C04</v>
      </c>
      <c r="L70" s="25" t="str">
        <f>IFERROR(__xludf.DUMMYFUNCTION("IF($F70&lt;&gt;""player"","""",IFERROR(INDEX(FILTER(group_setup!$E$2:$E947,group_setup!$B$2:$B947=$C70,group_setup!$G$2:$G947=TRUE,group_setup!$H$2:$H947=""completed""),1),""""))"),"S02")</f>
        <v>S02</v>
      </c>
      <c r="M70" s="25" t="str">
        <f>IFERROR(__xludf.DUMMYFUNCTION("IF($F70=""market"","""",IF($E70=""HUMAN"",IFERROR(FILTER(turn_log!$G$2:$G947,turn_log!$C$2:$C947=$B70,turn_log!$D$2:$D947=$C70,turn_log!$F$2:$F947=$E70),""""),IFERROR(FILTER(turn_log!$I$2:$I947,turn_log!$C$2:$C947=$B70,turn_log!$D$2:$D947=$C70,turn_log!$F"&amp;"$2:$F947=$E70),"""")))"),"A15")</f>
        <v>A15</v>
      </c>
      <c r="N70" s="25" t="str">
        <f>IFERROR(__xludf.DUMMYFUNCTION("IF($F70=""market"","""",IF($E70=""HUMAN"",IFERROR(FILTER(turn_log!$H$2:$H947,turn_log!$C$2:$C947=$B70,turn_log!$D$2:$D947=$C70,turn_log!$F$2:$F947=$E70),""""),IFERROR(FILTER(turn_log!$J$2:$J947,turn_log!$C$2:$C947=$B70,turn_log!$D$2:$D947=$C70,turn_log!$F"&amp;"$2:$F947=$E70),"""")))"),"A23")</f>
        <v>A23</v>
      </c>
      <c r="O70" s="25">
        <f>IFERROR(__xludf.DUMMYFUNCTION("IF($A70="""","""",
 IF($F70=""market"",
  IFERROR(XLOOKUP(REGEXEXTRACT($J70,""^[^｜]+""),tr_mst!$A:$A,tr_mst!$D:$D),0)
  +IFERROR(XLOOKUP(REGEXEXTRACT($K70,""^[^｜]+""),tc_mst!$A:$A,tc_mst!$D:$D),0),
  IF($B70=0,
   IFERROR(XLOOKUP(REGEXEXTRACT($I70,""^[^｜]"&amp;"+""),ms_mst!$A:$A,ms_mst!$D:$D),0),
   IFERROR(XLOOKUP(""T""&amp;($B70-1)&amp;""_""&amp;$D70,$A:$A,$O:$O),0)
  )
  +IFERROR(XLOOKUP(REGEXEXTRACT($J70,""^[^｜]+""),tr_mst!$A:$A,tr_mst!$D:$D),0)
  +IFERROR(XLOOKUP(REGEXEXTRACT($K70,""^[^｜]+""),tc_mst!$A:$A,tc_mst!$D:$D)"&amp;",0)
  +
  (
   IFERROR(XLOOKUP(REGEXEXTRACT($M70,""^[^｜]+""),ac_mst!$A:$A,ac_mst!$G:$G),0)
   +IFERROR(XLOOKUP(REGEXEXTRACT($N70,""^[^｜]+""),ac_mst!$A:$A,ac_mst!$G:$G),0)
   +IFERROR(
    XLOOKUP(
     IF(
      OR(
       IFERROR(REGEXEXTRACT($M70,""^[^｜"&amp;"]+""),"""")="""",
       IFERROR(REGEXEXTRACT($N70,""^[^｜]+""),"""")=""""
      ),
      """",
      IF(
       IFERROR(REGEXEXTRACT($M70,""^[^｜]+""),"""")&lt;IFERROR(REGEXEXTRACT($N70,""^[^｜]+""),""""),
       IFERROR(REGEXEXTRACT($M70,""^[^｜]+""),"""")&amp;""_"&amp;"""&amp;IFERROR(REGEXEXTRACT($N70,""^[^｜]+""),""""),
       IFERROR(REGEXEXTRACT($N70,""^[^｜]+""),"""")&amp;""_""&amp;IFERROR(REGEXEXTRACT($M70,""^[^｜]+""),"""")
      )
     ),
     sy_mst!$A:$A,
     sy_mst!$D:$D
    ),
    0
   )
  )
  *
  IFERROR(XLOOKUP(REGEXEXTR"&amp;"ACT($I70,""^[^｜]+""),ms_mst!$A:$A,ms_mst!$L:$L),1)
  *
  IF(
   $B70&gt;=IFERROR(XLOOKUP(REGEXEXTRACT($L70,""^[^｜]+""),sk_mst!$A:$A,sk_mst!$M:$M),999),
   IFERROR(XLOOKUP(REGEXEXTRACT($L70,""^[^｜]+""),sk_mst!$A:$A,sk_mst!$F:$F),1),
   1
  )
 )
)"),14000.0)</f>
        <v>14000</v>
      </c>
      <c r="P70" s="25">
        <f>IFERROR(__xludf.DUMMYFUNCTION("IF($A70="""","""",
 IF($F70=""market"",
  IFERROR(XLOOKUP(REGEXEXTRACT($J70,""^[^｜]+""),tr_mst!$A:$A,tr_mst!$E:$E),0)
  +IFERROR(XLOOKUP(REGEXEXTRACT($K70,""^[^｜]+""),tc_mst!$A:$A,tc_mst!$E:$E),0),
  IF($B70=0,
   IFERROR(XLOOKUP(REGEXEXTRACT($I70,""^[^｜]"&amp;"+""),ms_mst!$A:$A,ms_mst!$E:$E),0),
   IFERROR(XLOOKUP(""T""&amp;($B70-1)&amp;""_""&amp;$D70,$A:$A,$P:$P),0)
  )
  +IFERROR(XLOOKUP(REGEXEXTRACT($J70,""^[^｜]+""),tr_mst!$A:$A,tr_mst!$E:$E),0)
  +IFERROR(XLOOKUP(REGEXEXTRACT($K70,""^[^｜]+""),tc_mst!$A:$A,tc_mst!$E:$E)"&amp;",0)
  +
  (
   IFERROR(XLOOKUP(REGEXEXTRACT($M70,""^[^｜]+""),ac_mst!$A:$A,ac_mst!$H:$H),0)
   +IFERROR(XLOOKUP(REGEXEXTRACT($N70,""^[^｜]+""),ac_mst!$A:$A,ac_mst!$H:$H),0)
   +IFERROR(
    XLOOKUP(
     IF(
      OR(
       IFERROR(REGEXEXTRACT($M70,""^[^｜"&amp;"]+""),"""")="""",
       IFERROR(REGEXEXTRACT($N70,""^[^｜]+""),"""")=""""
      ),
      """",
      IF(
       IFERROR(REGEXEXTRACT($M70,""^[^｜]+""),"""")&lt;IFERROR(REGEXEXTRACT($N70,""^[^｜]+""),""""),
       IFERROR(REGEXEXTRACT($M70,""^[^｜]+""),"""")&amp;""_"&amp;"""&amp;IFERROR(REGEXEXTRACT($N70,""^[^｜]+""),""""),
       IFERROR(REGEXEXTRACT($N70,""^[^｜]+""),"""")&amp;""_""&amp;IFERROR(REGEXEXTRACT($M70,""^[^｜]+""),"""")
      )
     ),
     sy_mst!$A:$A,
     sy_mst!$E:$E
    ),
    0
   )
  )
  *
  IFERROR(XLOOKUP(REGEXEXTR"&amp;"ACT($I70,""^[^｜]+""),ms_mst!$A:$A,ms_mst!$M:$M),1)
  *
  IF(
   $B70&gt;=IFERROR(XLOOKUP(REGEXEXTRACT($L70,""^[^｜]+""),sk_mst!$A:$A,sk_mst!$M:$M),999),
   IFERROR(XLOOKUP(REGEXEXTRACT($L70,""^[^｜]+""),sk_mst!$A:$A,sk_mst!$G:$G),1),
   1
  )
 )
)"),1440.0)</f>
        <v>1440</v>
      </c>
      <c r="Q70" s="25">
        <f>IFERROR(__xludf.DUMMYFUNCTION("IF($A70="""","""",
 IF($F70=""market"",
  IFERROR(XLOOKUP(REGEXEXTRACT($J70,""^[^｜]+""),tr_mst!$A:$A,tr_mst!$F:$F),0)
  +IFERROR(XLOOKUP(REGEXEXTRACT($K70,""^[^｜]+""),tc_mst!$A:$A,tc_mst!$F:$F),0),
  IF($B70=0,
   IFERROR(XLOOKUP(REGEXEXTRACT($I70,""^[^｜]"&amp;"+""),ms_mst!$A:$A,ms_mst!$F:$F),0),
   IFERROR(XLOOKUP(""T""&amp;($B70-1)&amp;""_""&amp;$D70,$A:$A,$Q:$Q),0)
  )
  +IFERROR(XLOOKUP(REGEXEXTRACT($J70,""^[^｜]+""),tr_mst!$A:$A,tr_mst!$F:$F),0)
  +IFERROR(XLOOKUP(REGEXEXTRACT($K70,""^[^｜]+""),tc_mst!$A:$A,tc_mst!$F:$F)"&amp;",0)
  +
  (
   IFERROR(XLOOKUP(REGEXEXTRACT($M70,""^[^｜]+""),ac_mst!$A:$A,ac_mst!$I:$I),0)
   +IFERROR(XLOOKUP(REGEXEXTRACT($N70,""^[^｜]+""),ac_mst!$A:$A,ac_mst!$I:$I),0)
   +IFERROR(
    XLOOKUP(
     IF(
      OR(
       IFERROR(REGEXEXTRACT($M70,""^[^｜"&amp;"]+""),"""")="""",
       IFERROR(REGEXEXTRACT($N70,""^[^｜]+""),"""")=""""
      ),
      """",
      IF(
       IFERROR(REGEXEXTRACT($M70,""^[^｜]+""),"""")&lt;IFERROR(REGEXEXTRACT($N70,""^[^｜]+""),""""),
       IFERROR(REGEXEXTRACT($M70,""^[^｜]+""),"""")&amp;""_"&amp;"""&amp;IFERROR(REGEXEXTRACT($N70,""^[^｜]+""),""""),
       IFERROR(REGEXEXTRACT($N70,""^[^｜]+""),"""")&amp;""_""&amp;IFERROR(REGEXEXTRACT($M70,""^[^｜]+""),"""")
      )
     ),
     sy_mst!$A:$A,
     sy_mst!$F:$F
    ),
    0
   )
  )
  *
  IFERROR(XLOOKUP(REGEXEXTR"&amp;"ACT($I70,""^[^｜]+""),ms_mst!$A:$A,ms_mst!$N:$N),1)
  *
  IF(
   $B70&gt;=IFERROR(XLOOKUP(REGEXEXTRACT($L70,""^[^｜]+""),sk_mst!$A:$A,sk_mst!$M:$M),999),
   IFERROR(XLOOKUP(REGEXEXTRACT($L70,""^[^｜]+""),sk_mst!$A:$A,sk_mst!$H:$H),1),
   1
  )
 )
)"),0.4800000000000001)</f>
        <v>0.48</v>
      </c>
      <c r="R70" s="25">
        <f>IFERROR(__xludf.DUMMYFUNCTION("IF($A70="""","""",
 IF($F70=""market"",
  IFERROR(XLOOKUP(REGEXEXTRACT($J70,""^[^｜]+""),tr_mst!$A:$A,tr_mst!$G:$G),0)
  +IFERROR(XLOOKUP(REGEXEXTRACT($K70,""^[^｜]+""),tc_mst!$A:$A,tc_mst!$G:$G),0),
  IF($B70=0,
   IFERROR(XLOOKUP(REGEXEXTRACT($I70,""^[^｜]"&amp;"+""),ms_mst!$A:$A,ms_mst!$G:$G),0),
   IFERROR(XLOOKUP(""T""&amp;($B70-1)&amp;""_""&amp;$D70,$A:$A,$R:$R),0)
  )
  +IFERROR(XLOOKUP(REGEXEXTRACT($J70,""^[^｜]+""),tr_mst!$A:$A,tr_mst!$G:$G),0)
  +IFERROR(XLOOKUP(REGEXEXTRACT($K70,""^[^｜]+""),tc_mst!$A:$A,tc_mst!$G:$G)"&amp;",0)
  +
  (
   IFERROR(XLOOKUP(REGEXEXTRACT($M70,""^[^｜]+""),ac_mst!$A:$A,ac_mst!$J:$J),0)
   +IFERROR(XLOOKUP(REGEXEXTRACT($N70,""^[^｜]+""),ac_mst!$A:$A,ac_mst!$J:$J),0)
   +IFERROR(
    XLOOKUP(
     IF(
      OR(
       IFERROR(REGEXEXTRACT($M70,""^[^｜"&amp;"]+""),"""")="""",
       IFERROR(REGEXEXTRACT($N70,""^[^｜]+""),"""")=""""
      ),
      """",
      IF(
       IFERROR(REGEXEXTRACT($M70,""^[^｜]+""),"""")&lt;IFERROR(REGEXEXTRACT($N70,""^[^｜]+""),""""),
       IFERROR(REGEXEXTRACT($M70,""^[^｜]+""),"""")&amp;""_"&amp;"""&amp;IFERROR(REGEXEXTRACT($N70,""^[^｜]+""),""""),
       IFERROR(REGEXEXTRACT($N70,""^[^｜]+""),"""")&amp;""_""&amp;IFERROR(REGEXEXTRACT($M70,""^[^｜]+""),"""")
      )
     ),
     sy_mst!$A:$A,
     sy_mst!$G:$G
    ),
    0
   )
  )
  *
  IFERROR(XLOOKUP(REGEXEXTR"&amp;"ACT($I70,""^[^｜]+""),ms_mst!$A:$A,ms_mst!$O:$O),1)
  *
  IF(
   $B70&gt;=IFERROR(XLOOKUP(REGEXEXTRACT($L70,""^[^｜]+""),sk_mst!$A:$A,sk_mst!$M:$M),999),
   IFERROR(XLOOKUP(REGEXEXTRACT($L70,""^[^｜]+""),sk_mst!$A:$A,sk_mst!$I:$I),1),
   1
  )
 )
)"),1.8965)</f>
        <v>1.8965</v>
      </c>
      <c r="S70" s="25">
        <f>IFERROR(__xludf.DUMMYFUNCTION("IF($A70="""","""",
 IF($F70=""market"",
  IFERROR(XLOOKUP(REGEXEXTRACT($J70,""^[^｜]+""),tr_mst!$A:$A,tr_mst!$H:$H),0)
  +IFERROR(XLOOKUP(REGEXEXTRACT($K70,""^[^｜]+""),tc_mst!$A:$A,tc_mst!$H:$H),0),
  IF($B70=0,
   IFERROR(XLOOKUP(REGEXEXTRACT($I70,""^[^｜]"&amp;"+""),ms_mst!$A:$A,ms_mst!$H:$H),0),
   IFERROR(XLOOKUP(""T""&amp;($B70-1)&amp;""_""&amp;$D70,$A:$A,$S:$S),0)
  )
  +IFERROR(XLOOKUP(REGEXEXTRACT($J70,""^[^｜]+""),tr_mst!$A:$A,tr_mst!$H:$H),0)
  +IFERROR(XLOOKUP(REGEXEXTRACT($K70,""^[^｜]+""),tc_mst!$A:$A,tc_mst!$H:$H)"&amp;",0)
  +
  (
   IFERROR(XLOOKUP(REGEXEXTRACT($M70,""^[^｜]+""),ac_mst!$A:$A,ac_mst!$K:$K),0)
   +IFERROR(XLOOKUP(REGEXEXTRACT($N70,""^[^｜]+""),ac_mst!$A:$A,ac_mst!$K:$K),0)
   +IFERROR(
    XLOOKUP(
     IF(
      OR(
       IFERROR(REGEXEXTRACT($M70,""^[^｜"&amp;"]+""),"""")="""",
       IFERROR(REGEXEXTRACT($N70,""^[^｜]+""),"""")=""""
      ),
      """",
      IF(
       IFERROR(REGEXEXTRACT($M70,""^[^｜]+""),"""")&lt;IFERROR(REGEXEXTRACT($N70,""^[^｜]+""),""""),
       IFERROR(REGEXEXTRACT($M70,""^[^｜]+""),"""")&amp;""_"&amp;"""&amp;IFERROR(REGEXEXTRACT($N70,""^[^｜]+""),""""),
       IFERROR(REGEXEXTRACT($N70,""^[^｜]+""),"""")&amp;""_""&amp;IFERROR(REGEXEXTRACT($M70,""^[^｜]+""),"""")
      )
     ),
     sy_mst!$A:$A,
     sy_mst!$H:$H
    ),
    0
   )
  )
  *
  IFERROR(XLOOKUP(REGEXEXTR"&amp;"ACT($I70,""^[^｜]+""),ms_mst!$A:$A,ms_mst!$P:$P),1)
  *
  IF(
   $B70&gt;=IFERROR(XLOOKUP(REGEXEXTRACT($L70,""^[^｜]+""),sk_mst!$A:$A,sk_mst!$M:$M),999),
   IFERROR(XLOOKUP(REGEXEXTRACT($L70,""^[^｜]+""),sk_mst!$A:$A,sk_mst!$J:$J),1),
   1
  )
 )
)"),0.017360000000000004)</f>
        <v>0.01736</v>
      </c>
      <c r="T70" s="25">
        <f>IFERROR(__xludf.DUMMYFUNCTION("IF($A70="""","""",
 IF($F70=""market"",
  IFERROR(XLOOKUP(REGEXEXTRACT($J70,""^[^｜]+""),tr_mst!$A:$A,tr_mst!$I:$I),0)
  +IFERROR(XLOOKUP(REGEXEXTRACT($K70,""^[^｜]+""),tc_mst!$A:$A,tc_mst!$I:$I),0),
  IF($B70=0,
   IFERROR(XLOOKUP(REGEXEXTRACT($I70,""^[^｜]"&amp;"+""),ms_mst!$A:$A,ms_mst!$I:$I),0),
   IFERROR(XLOOKUP(""T""&amp;($B70-1)&amp;""_""&amp;$D70,$A:$A,$T:$T),0)
  )
  +IFERROR(XLOOKUP(REGEXEXTRACT($J70,""^[^｜]+""),tr_mst!$A:$A,tr_mst!$I:$I),0)
  +IFERROR(XLOOKUP(REGEXEXTRACT($K70,""^[^｜]+""),tc_mst!$A:$A,tc_mst!$I:$I)"&amp;",0)
  +
  (
   IFERROR(XLOOKUP(REGEXEXTRACT($M70,""^[^｜]+""),ac_mst!$A:$A,ac_mst!$L:$L),0)
   +IFERROR(XLOOKUP(REGEXEXTRACT($N70,""^[^｜]+""),ac_mst!$A:$A,ac_mst!$L:$L),0)
   +IFERROR(
    XLOOKUP(
     IF(
      OR(
       IFERROR(REGEXEXTRACT($M70,""^[^｜"&amp;"]+""),"""")="""",
       IFERROR(REGEXEXTRACT($N70,""^[^｜]+""),"""")=""""
      ),
      """",
      IF(
       IFERROR(REGEXEXTRACT($M70,""^[^｜]+""),"""")&lt;IFERROR(REGEXEXTRACT($N70,""^[^｜]+""),""""),
       IFERROR(REGEXEXTRACT($M70,""^[^｜]+""),"""")&amp;""_"&amp;"""&amp;IFERROR(REGEXEXTRACT($N70,""^[^｜]+""),""""),
       IFERROR(REGEXEXTRACT($N70,""^[^｜]+""),"""")&amp;""_""&amp;IFERROR(REGEXEXTRACT($M70,""^[^｜]+""),"""")
      )
     ),
     sy_mst!$A:$A,
     sy_mst!$I:$I
    ),
    0
   )
  )
  *
  IFERROR(XLOOKUP(REGEXEXTR"&amp;"ACT($I70,""^[^｜]+""),ms_mst!$A:$A,ms_mst!$Q:$Q),1)
  *
  IF(
   $B70&gt;=IFERROR(XLOOKUP(REGEXEXTRACT($L70,""^[^｜]+""),sk_mst!$A:$A,sk_mst!$M:$M),999),
   IFERROR(XLOOKUP(REGEXEXTRACT($L70,""^[^｜]+""),sk_mst!$A:$A,sk_mst!$K:$K),1),
   1
  )
 )
)"),4800.0)</f>
        <v>4800</v>
      </c>
      <c r="U70" s="25">
        <f>IFERROR(__xludf.DUMMYFUNCTION("IF($A70="""","""",
 IF($F70=""market"",
  IFERROR(XLOOKUP(REGEXEXTRACT($J70,""^[^｜]+""),tr_mst!$A:$A,tr_mst!$J:$J),0)
  +IFERROR(XLOOKUP(REGEXEXTRACT($K70,""^[^｜]+""),tc_mst!$A:$A,tc_mst!$J:$J),0),
  IF($B70=0,
   IFERROR(XLOOKUP(REGEXEXTRACT($I70,""^[^｜]"&amp;"+""),ms_mst!$A:$A,ms_mst!$J:$J),0),
   IFERROR(XLOOKUP(""T""&amp;($B70-1)&amp;""_""&amp;$D70,$A:$A,$U:$U),0)
  )
  +IFERROR(XLOOKUP(REGEXEXTRACT($J70,""^[^｜]+""),tr_mst!$A:$A,tr_mst!$J:$J),0)
  +IFERROR(XLOOKUP(REGEXEXTRACT($K70,""^[^｜]+""),tc_mst!$A:$A,tc_mst!$J:$J)"&amp;",0)
  +
  (
   IFERROR(XLOOKUP(REGEXEXTRACT($M70,""^[^｜]+""),ac_mst!$A:$A,ac_mst!$M:$M),0)
   +IFERROR(XLOOKUP(REGEXEXTRACT($N70,""^[^｜]+""),ac_mst!$A:$A,ac_mst!$M:$M),0)
   +IFERROR(
    XLOOKUP(
     IF(
      OR(
       IFERROR(REGEXEXTRACT($M70,""^[^｜"&amp;"]+""),"""")="""",
       IFERROR(REGEXEXTRACT($N70,""^[^｜]+""),"""")=""""
      ),
      """",
      IF(
       IFERROR(REGEXEXTRACT($M70,""^[^｜]+""),"""")&lt;IFERROR(REGEXEXTRACT($N70,""^[^｜]+""),""""),
       IFERROR(REGEXEXTRACT($M70,""^[^｜]+""),"""")&amp;""_"&amp;"""&amp;IFERROR(REGEXEXTRACT($N70,""^[^｜]+""),""""),
       IFERROR(REGEXEXTRACT($N70,""^[^｜]+""),"""")&amp;""_""&amp;IFERROR(REGEXEXTRACT($M70,""^[^｜]+""),"""")
      )
     ),
     sy_mst!$A:$A,
     sy_mst!$J:$J
    ),
    0
   )
  )
  *
  IFERROR(XLOOKUP(REGEXEXTR"&amp;"ACT($I70,""^[^｜]+""),ms_mst!$A:$A,ms_mst!$R:$R),1)
  *
  IF(
   $B70&gt;=IFERROR(XLOOKUP(REGEXEXTRACT($L70,""^[^｜]+""),sk_mst!$A:$A,sk_mst!$M:$M),999),
   IFERROR(XLOOKUP(REGEXEXTRACT($L70,""^[^｜]+""),sk_mst!$A:$A,sk_mst!$L:$L),1),
   1
  )
 )
)"),43.3)</f>
        <v>43.3</v>
      </c>
      <c r="V70" s="25">
        <f t="shared" si="1"/>
        <v>1268804</v>
      </c>
      <c r="W70" s="25">
        <f t="shared" si="2"/>
        <v>62352</v>
      </c>
      <c r="X70" s="25">
        <f t="shared" si="3"/>
        <v>1206452</v>
      </c>
      <c r="Y70" s="25">
        <f t="shared" si="4"/>
        <v>20.35</v>
      </c>
      <c r="Z70" s="25">
        <f>IFERROR(__xludf.DUMMYFUNCTION("IF($A70="""","""",
 IF($F70&lt;&gt;""player"","""",
  IFERROR(
   RANK(
    $X70,
    FILTER($X:$X,$B:$B=$B70,$F:$F=""player"",$X:$X&lt;&gt;""""),
    0
   ),
   """"
  )
 )
)"),2.0)</f>
        <v>2</v>
      </c>
      <c r="AA70" s="25" t="str">
        <f t="shared" si="5"/>
        <v>2位</v>
      </c>
      <c r="AB70" s="26">
        <f t="shared" si="6"/>
        <v>2.696237745</v>
      </c>
    </row>
    <row r="71">
      <c r="A71" s="25" t="s">
        <v>244</v>
      </c>
      <c r="B71" s="14">
        <v>5.0</v>
      </c>
      <c r="C71" s="14" t="s">
        <v>162</v>
      </c>
      <c r="D71" s="14" t="s">
        <v>163</v>
      </c>
      <c r="E71" s="25" t="s">
        <v>153</v>
      </c>
      <c r="F71" s="25" t="s">
        <v>154</v>
      </c>
      <c r="I71" s="25" t="str">
        <f>IFERROR(__xludf.DUMMYFUNCTION("IF($F71&lt;&gt;""player"","""",IFERROR(INDEX(FILTER(group_setup!$D$2:$D947,group_setup!$B$2:$B947=$C71,group_setup!$G$2:$G947=TRUE,group_setup!$H$2:$H947=""completed""),1),""""))"),"M01")</f>
        <v>M01</v>
      </c>
      <c r="J71" s="25" t="str">
        <f>IFERROR(__xludf.DUMMYFUNCTION("IFERROR(FILTER(market_event_log!$D$2:$D947,market_event_log!$C$2:$C947=$B71,market_event_log!$N$2:$N947=""active""),"""")"),"T04")</f>
        <v>T04</v>
      </c>
      <c r="K71" s="25" t="str">
        <f>IFERROR(__xludf.DUMMYFUNCTION("IFERROR(FILTER(market_event_log!$G$2:$G947,market_event_log!$C$2:$C947=$B71,market_event_log!$N$2:$N947=""active""),"""")"),"C04")</f>
        <v>C04</v>
      </c>
      <c r="L71" s="25" t="str">
        <f>IFERROR(__xludf.DUMMYFUNCTION("IF($F71&lt;&gt;""player"","""",IFERROR(INDEX(FILTER(group_setup!$E$2:$E947,group_setup!$B$2:$B947=$C71,group_setup!$G$2:$G947=TRUE,group_setup!$H$2:$H947=""completed""),1),""""))"),"S01")</f>
        <v>S01</v>
      </c>
      <c r="M71" s="25" t="str">
        <f>IFERROR(__xludf.DUMMYFUNCTION("IF($F71=""market"","""",IF($E71=""HUMAN"",IFERROR(FILTER(turn_log!$G$2:$G947,turn_log!$C$2:$C947=$B71,turn_log!$D$2:$D947=$C71,turn_log!$F$2:$F947=$E71),""""),IFERROR(FILTER(turn_log!$I$2:$I947,turn_log!$C$2:$C947=$B71,turn_log!$D$2:$D947=$C71,turn_log!$F"&amp;"$2:$F947=$E71),"""")))"),"A24")</f>
        <v>A24</v>
      </c>
      <c r="N71" s="25" t="str">
        <f>IFERROR(__xludf.DUMMYFUNCTION("IF($F71=""market"","""",IF($E71=""HUMAN"",IFERROR(FILTER(turn_log!$H$2:$H947,turn_log!$C$2:$C947=$B71,turn_log!$D$2:$D947=$C71,turn_log!$F$2:$F947=$E71),""""),IFERROR(FILTER(turn_log!$J$2:$J947,turn_log!$C$2:$C947=$B71,turn_log!$D$2:$D947=$C71,turn_log!$F"&amp;"$2:$F947=$E71),"""")))"),"A20")</f>
        <v>A20</v>
      </c>
      <c r="O71" s="25">
        <f>IFERROR(__xludf.DUMMYFUNCTION("IF($A71="""","""",
 IF($F71=""market"",
  IFERROR(XLOOKUP(REGEXEXTRACT($J71,""^[^｜]+""),tr_mst!$A:$A,tr_mst!$D:$D),0)
  +IFERROR(XLOOKUP(REGEXEXTRACT($K71,""^[^｜]+""),tc_mst!$A:$A,tc_mst!$D:$D),0),
  IF($B71=0,
   IFERROR(XLOOKUP(REGEXEXTRACT($I71,""^[^｜]"&amp;"+""),ms_mst!$A:$A,ms_mst!$D:$D),0),
   IFERROR(XLOOKUP(""T""&amp;($B71-1)&amp;""_""&amp;$D71,$A:$A,$O:$O),0)
  )
  +IFERROR(XLOOKUP(REGEXEXTRACT($J71,""^[^｜]+""),tr_mst!$A:$A,tr_mst!$D:$D),0)
  +IFERROR(XLOOKUP(REGEXEXTRACT($K71,""^[^｜]+""),tc_mst!$A:$A,tc_mst!$D:$D)"&amp;",0)
  +
  (
   IFERROR(XLOOKUP(REGEXEXTRACT($M71,""^[^｜]+""),ac_mst!$A:$A,ac_mst!$G:$G),0)
   +IFERROR(XLOOKUP(REGEXEXTRACT($N71,""^[^｜]+""),ac_mst!$A:$A,ac_mst!$G:$G),0)
   +IFERROR(
    XLOOKUP(
     IF(
      OR(
       IFERROR(REGEXEXTRACT($M71,""^[^｜"&amp;"]+""),"""")="""",
       IFERROR(REGEXEXTRACT($N71,""^[^｜]+""),"""")=""""
      ),
      """",
      IF(
       IFERROR(REGEXEXTRACT($M71,""^[^｜]+""),"""")&lt;IFERROR(REGEXEXTRACT($N71,""^[^｜]+""),""""),
       IFERROR(REGEXEXTRACT($M71,""^[^｜]+""),"""")&amp;""_"&amp;"""&amp;IFERROR(REGEXEXTRACT($N71,""^[^｜]+""),""""),
       IFERROR(REGEXEXTRACT($N71,""^[^｜]+""),"""")&amp;""_""&amp;IFERROR(REGEXEXTRACT($M71,""^[^｜]+""),"""")
      )
     ),
     sy_mst!$A:$A,
     sy_mst!$D:$D
    ),
    0
   )
  )
  *
  IFERROR(XLOOKUP(REGEXEXTR"&amp;"ACT($I71,""^[^｜]+""),ms_mst!$A:$A,ms_mst!$L:$L),1)
  *
  IF(
   $B71&gt;=IFERROR(XLOOKUP(REGEXEXTRACT($L71,""^[^｜]+""),sk_mst!$A:$A,sk_mst!$M:$M),999),
   IFERROR(XLOOKUP(REGEXEXTRACT($L71,""^[^｜]+""),sk_mst!$A:$A,sk_mst!$F:$F),1),
   1
  )
 )
)"),10360.0)</f>
        <v>10360</v>
      </c>
      <c r="P71" s="25">
        <f>IFERROR(__xludf.DUMMYFUNCTION("IF($A71="""","""",
 IF($F71=""market"",
  IFERROR(XLOOKUP(REGEXEXTRACT($J71,""^[^｜]+""),tr_mst!$A:$A,tr_mst!$E:$E),0)
  +IFERROR(XLOOKUP(REGEXEXTRACT($K71,""^[^｜]+""),tc_mst!$A:$A,tc_mst!$E:$E),0),
  IF($B71=0,
   IFERROR(XLOOKUP(REGEXEXTRACT($I71,""^[^｜]"&amp;"+""),ms_mst!$A:$A,ms_mst!$E:$E),0),
   IFERROR(XLOOKUP(""T""&amp;($B71-1)&amp;""_""&amp;$D71,$A:$A,$P:$P),0)
  )
  +IFERROR(XLOOKUP(REGEXEXTRACT($J71,""^[^｜]+""),tr_mst!$A:$A,tr_mst!$E:$E),0)
  +IFERROR(XLOOKUP(REGEXEXTRACT($K71,""^[^｜]+""),tc_mst!$A:$A,tc_mst!$E:$E)"&amp;",0)
  +
  (
   IFERROR(XLOOKUP(REGEXEXTRACT($M71,""^[^｜]+""),ac_mst!$A:$A,ac_mst!$H:$H),0)
   +IFERROR(XLOOKUP(REGEXEXTRACT($N71,""^[^｜]+""),ac_mst!$A:$A,ac_mst!$H:$H),0)
   +IFERROR(
    XLOOKUP(
     IF(
      OR(
       IFERROR(REGEXEXTRACT($M71,""^[^｜"&amp;"]+""),"""")="""",
       IFERROR(REGEXEXTRACT($N71,""^[^｜]+""),"""")=""""
      ),
      """",
      IF(
       IFERROR(REGEXEXTRACT($M71,""^[^｜]+""),"""")&lt;IFERROR(REGEXEXTRACT($N71,""^[^｜]+""),""""),
       IFERROR(REGEXEXTRACT($M71,""^[^｜]+""),"""")&amp;""_"&amp;"""&amp;IFERROR(REGEXEXTRACT($N71,""^[^｜]+""),""""),
       IFERROR(REGEXEXTRACT($N71,""^[^｜]+""),"""")&amp;""_""&amp;IFERROR(REGEXEXTRACT($M71,""^[^｜]+""),"""")
      )
     ),
     sy_mst!$A:$A,
     sy_mst!$E:$E
    ),
    0
   )
  )
  *
  IFERROR(XLOOKUP(REGEXEXTR"&amp;"ACT($I71,""^[^｜]+""),ms_mst!$A:$A,ms_mst!$M:$M),1)
  *
  IF(
   $B71&gt;=IFERROR(XLOOKUP(REGEXEXTRACT($L71,""^[^｜]+""),sk_mst!$A:$A,sk_mst!$M:$M),999),
   IFERROR(XLOOKUP(REGEXEXTRACT($L71,""^[^｜]+""),sk_mst!$A:$A,sk_mst!$G:$G),1),
   1
  )
 )
)"),4315.0)</f>
        <v>4315</v>
      </c>
      <c r="Q71" s="25">
        <f>IFERROR(__xludf.DUMMYFUNCTION("IF($A71="""","""",
 IF($F71=""market"",
  IFERROR(XLOOKUP(REGEXEXTRACT($J71,""^[^｜]+""),tr_mst!$A:$A,tr_mst!$F:$F),0)
  +IFERROR(XLOOKUP(REGEXEXTRACT($K71,""^[^｜]+""),tc_mst!$A:$A,tc_mst!$F:$F),0),
  IF($B71=0,
   IFERROR(XLOOKUP(REGEXEXTRACT($I71,""^[^｜]"&amp;"+""),ms_mst!$A:$A,ms_mst!$F:$F),0),
   IFERROR(XLOOKUP(""T""&amp;($B71-1)&amp;""_""&amp;$D71,$A:$A,$Q:$Q),0)
  )
  +IFERROR(XLOOKUP(REGEXEXTRACT($J71,""^[^｜]+""),tr_mst!$A:$A,tr_mst!$F:$F),0)
  +IFERROR(XLOOKUP(REGEXEXTRACT($K71,""^[^｜]+""),tc_mst!$A:$A,tc_mst!$F:$F)"&amp;",0)
  +
  (
   IFERROR(XLOOKUP(REGEXEXTRACT($M71,""^[^｜]+""),ac_mst!$A:$A,ac_mst!$I:$I),0)
   +IFERROR(XLOOKUP(REGEXEXTRACT($N71,""^[^｜]+""),ac_mst!$A:$A,ac_mst!$I:$I),0)
   +IFERROR(
    XLOOKUP(
     IF(
      OR(
       IFERROR(REGEXEXTRACT($M71,""^[^｜"&amp;"]+""),"""")="""",
       IFERROR(REGEXEXTRACT($N71,""^[^｜]+""),"""")=""""
      ),
      """",
      IF(
       IFERROR(REGEXEXTRACT($M71,""^[^｜]+""),"""")&lt;IFERROR(REGEXEXTRACT($N71,""^[^｜]+""),""""),
       IFERROR(REGEXEXTRACT($M71,""^[^｜]+""),"""")&amp;""_"&amp;"""&amp;IFERROR(REGEXEXTRACT($N71,""^[^｜]+""),""""),
       IFERROR(REGEXEXTRACT($N71,""^[^｜]+""),"""")&amp;""_""&amp;IFERROR(REGEXEXTRACT($M71,""^[^｜]+""),"""")
      )
     ),
     sy_mst!$A:$A,
     sy_mst!$F:$F
    ),
    0
   )
  )
  *
  IFERROR(XLOOKUP(REGEXEXTR"&amp;"ACT($I71,""^[^｜]+""),ms_mst!$A:$A,ms_mst!$N:$N),1)
  *
  IF(
   $B71&gt;=IFERROR(XLOOKUP(REGEXEXTRACT($L71,""^[^｜]+""),sk_mst!$A:$A,sk_mst!$M:$M),999),
   IFERROR(XLOOKUP(REGEXEXTRACT($L71,""^[^｜]+""),sk_mst!$A:$A,sk_mst!$H:$H),1),
   1
  )
 )
)"),0.5199999999999999)</f>
        <v>0.52</v>
      </c>
      <c r="R71" s="25">
        <f>IFERROR(__xludf.DUMMYFUNCTION("IF($A71="""","""",
 IF($F71=""market"",
  IFERROR(XLOOKUP(REGEXEXTRACT($J71,""^[^｜]+""),tr_mst!$A:$A,tr_mst!$G:$G),0)
  +IFERROR(XLOOKUP(REGEXEXTRACT($K71,""^[^｜]+""),tc_mst!$A:$A,tc_mst!$G:$G),0),
  IF($B71=0,
   IFERROR(XLOOKUP(REGEXEXTRACT($I71,""^[^｜]"&amp;"+""),ms_mst!$A:$A,ms_mst!$G:$G),0),
   IFERROR(XLOOKUP(""T""&amp;($B71-1)&amp;""_""&amp;$D71,$A:$A,$R:$R),0)
  )
  +IFERROR(XLOOKUP(REGEXEXTRACT($J71,""^[^｜]+""),tr_mst!$A:$A,tr_mst!$G:$G),0)
  +IFERROR(XLOOKUP(REGEXEXTRACT($K71,""^[^｜]+""),tc_mst!$A:$A,tc_mst!$G:$G)"&amp;",0)
  +
  (
   IFERROR(XLOOKUP(REGEXEXTRACT($M71,""^[^｜]+""),ac_mst!$A:$A,ac_mst!$J:$J),0)
   +IFERROR(XLOOKUP(REGEXEXTRACT($N71,""^[^｜]+""),ac_mst!$A:$A,ac_mst!$J:$J),0)
   +IFERROR(
    XLOOKUP(
     IF(
      OR(
       IFERROR(REGEXEXTRACT($M71,""^[^｜"&amp;"]+""),"""")="""",
       IFERROR(REGEXEXTRACT($N71,""^[^｜]+""),"""")=""""
      ),
      """",
      IF(
       IFERROR(REGEXEXTRACT($M71,""^[^｜]+""),"""")&lt;IFERROR(REGEXEXTRACT($N71,""^[^｜]+""),""""),
       IFERROR(REGEXEXTRACT($M71,""^[^｜]+""),"""")&amp;""_"&amp;"""&amp;IFERROR(REGEXEXTRACT($N71,""^[^｜]+""),""""),
       IFERROR(REGEXEXTRACT($N71,""^[^｜]+""),"""")&amp;""_""&amp;IFERROR(REGEXEXTRACT($M71,""^[^｜]+""),"""")
      )
     ),
     sy_mst!$A:$A,
     sy_mst!$G:$G
    ),
    0
   )
  )
  *
  IFERROR(XLOOKUP(REGEXEXTR"&amp;"ACT($I71,""^[^｜]+""),ms_mst!$A:$A,ms_mst!$O:$O),1)
  *
  IF(
   $B71&gt;=IFERROR(XLOOKUP(REGEXEXTRACT($L71,""^[^｜]+""),sk_mst!$A:$A,sk_mst!$M:$M),999),
   IFERROR(XLOOKUP(REGEXEXTRACT($L71,""^[^｜]+""),sk_mst!$A:$A,sk_mst!$I:$I),1),
   1
  )
 )
)"),1.546)</f>
        <v>1.546</v>
      </c>
      <c r="S71" s="25">
        <f>IFERROR(__xludf.DUMMYFUNCTION("IF($A71="""","""",
 IF($F71=""market"",
  IFERROR(XLOOKUP(REGEXEXTRACT($J71,""^[^｜]+""),tr_mst!$A:$A,tr_mst!$H:$H),0)
  +IFERROR(XLOOKUP(REGEXEXTRACT($K71,""^[^｜]+""),tc_mst!$A:$A,tc_mst!$H:$H),0),
  IF($B71=0,
   IFERROR(XLOOKUP(REGEXEXTRACT($I71,""^[^｜]"&amp;"+""),ms_mst!$A:$A,ms_mst!$H:$H),0),
   IFERROR(XLOOKUP(""T""&amp;($B71-1)&amp;""_""&amp;$D71,$A:$A,$S:$S),0)
  )
  +IFERROR(XLOOKUP(REGEXEXTRACT($J71,""^[^｜]+""),tr_mst!$A:$A,tr_mst!$H:$H),0)
  +IFERROR(XLOOKUP(REGEXEXTRACT($K71,""^[^｜]+""),tc_mst!$A:$A,tc_mst!$H:$H)"&amp;",0)
  +
  (
   IFERROR(XLOOKUP(REGEXEXTRACT($M71,""^[^｜]+""),ac_mst!$A:$A,ac_mst!$K:$K),0)
   +IFERROR(XLOOKUP(REGEXEXTRACT($N71,""^[^｜]+""),ac_mst!$A:$A,ac_mst!$K:$K),0)
   +IFERROR(
    XLOOKUP(
     IF(
      OR(
       IFERROR(REGEXEXTRACT($M71,""^[^｜"&amp;"]+""),"""")="""",
       IFERROR(REGEXEXTRACT($N71,""^[^｜]+""),"""")=""""
      ),
      """",
      IF(
       IFERROR(REGEXEXTRACT($M71,""^[^｜]+""),"""")&lt;IFERROR(REGEXEXTRACT($N71,""^[^｜]+""),""""),
       IFERROR(REGEXEXTRACT($M71,""^[^｜]+""),"""")&amp;""_"&amp;"""&amp;IFERROR(REGEXEXTRACT($N71,""^[^｜]+""),""""),
       IFERROR(REGEXEXTRACT($N71,""^[^｜]+""),"""")&amp;""_""&amp;IFERROR(REGEXEXTRACT($M71,""^[^｜]+""),"""")
      )
     ),
     sy_mst!$A:$A,
     sy_mst!$H:$H
    ),
    0
   )
  )
  *
  IFERROR(XLOOKUP(REGEXEXTR"&amp;"ACT($I71,""^[^｜]+""),ms_mst!$A:$A,ms_mst!$P:$P),1)
  *
  IF(
   $B71&gt;=IFERROR(XLOOKUP(REGEXEXTRACT($L71,""^[^｜]+""),sk_mst!$A:$A,sk_mst!$M:$M),999),
   IFERROR(XLOOKUP(REGEXEXTRACT($L71,""^[^｜]+""),sk_mst!$A:$A,sk_mst!$J:$J),1),
   1
  )
 )
)"),0.0196)</f>
        <v>0.0196</v>
      </c>
      <c r="T71" s="25">
        <f>IFERROR(__xludf.DUMMYFUNCTION("IF($A71="""","""",
 IF($F71=""market"",
  IFERROR(XLOOKUP(REGEXEXTRACT($J71,""^[^｜]+""),tr_mst!$A:$A,tr_mst!$I:$I),0)
  +IFERROR(XLOOKUP(REGEXEXTRACT($K71,""^[^｜]+""),tc_mst!$A:$A,tc_mst!$I:$I),0),
  IF($B71=0,
   IFERROR(XLOOKUP(REGEXEXTRACT($I71,""^[^｜]"&amp;"+""),ms_mst!$A:$A,ms_mst!$I:$I),0),
   IFERROR(XLOOKUP(""T""&amp;($B71-1)&amp;""_""&amp;$D71,$A:$A,$T:$T),0)
  )
  +IFERROR(XLOOKUP(REGEXEXTRACT($J71,""^[^｜]+""),tr_mst!$A:$A,tr_mst!$I:$I),0)
  +IFERROR(XLOOKUP(REGEXEXTRACT($K71,""^[^｜]+""),tc_mst!$A:$A,tc_mst!$I:$I)"&amp;",0)
  +
  (
   IFERROR(XLOOKUP(REGEXEXTRACT($M71,""^[^｜]+""),ac_mst!$A:$A,ac_mst!$L:$L),0)
   +IFERROR(XLOOKUP(REGEXEXTRACT($N71,""^[^｜]+""),ac_mst!$A:$A,ac_mst!$L:$L),0)
   +IFERROR(
    XLOOKUP(
     IF(
      OR(
       IFERROR(REGEXEXTRACT($M71,""^[^｜"&amp;"]+""),"""")="""",
       IFERROR(REGEXEXTRACT($N71,""^[^｜]+""),"""")=""""
      ),
      """",
      IF(
       IFERROR(REGEXEXTRACT($M71,""^[^｜]+""),"""")&lt;IFERROR(REGEXEXTRACT($N71,""^[^｜]+""),""""),
       IFERROR(REGEXEXTRACT($M71,""^[^｜]+""),"""")&amp;""_"&amp;"""&amp;IFERROR(REGEXEXTRACT($N71,""^[^｜]+""),""""),
       IFERROR(REGEXEXTRACT($N71,""^[^｜]+""),"""")&amp;""_""&amp;IFERROR(REGEXEXTRACT($M71,""^[^｜]+""),"""")
      )
     ),
     sy_mst!$A:$A,
     sy_mst!$I:$I
    ),
    0
   )
  )
  *
  IFERROR(XLOOKUP(REGEXEXTR"&amp;"ACT($I71,""^[^｜]+""),ms_mst!$A:$A,ms_mst!$Q:$Q),1)
  *
  IF(
   $B71&gt;=IFERROR(XLOOKUP(REGEXEXTRACT($L71,""^[^｜]+""),sk_mst!$A:$A,sk_mst!$M:$M),999),
   IFERROR(XLOOKUP(REGEXEXTRACT($L71,""^[^｜]+""),sk_mst!$A:$A,sk_mst!$K:$K),1),
   1
  )
 )
)"),4650.0)</f>
        <v>4650</v>
      </c>
      <c r="U71" s="25">
        <f>IFERROR(__xludf.DUMMYFUNCTION("IF($A71="""","""",
 IF($F71=""market"",
  IFERROR(XLOOKUP(REGEXEXTRACT($J71,""^[^｜]+""),tr_mst!$A:$A,tr_mst!$J:$J),0)
  +IFERROR(XLOOKUP(REGEXEXTRACT($K71,""^[^｜]+""),tc_mst!$A:$A,tc_mst!$J:$J),0),
  IF($B71=0,
   IFERROR(XLOOKUP(REGEXEXTRACT($I71,""^[^｜]"&amp;"+""),ms_mst!$A:$A,ms_mst!$J:$J),0),
   IFERROR(XLOOKUP(""T""&amp;($B71-1)&amp;""_""&amp;$D71,$A:$A,$U:$U),0)
  )
  +IFERROR(XLOOKUP(REGEXEXTRACT($J71,""^[^｜]+""),tr_mst!$A:$A,tr_mst!$J:$J),0)
  +IFERROR(XLOOKUP(REGEXEXTRACT($K71,""^[^｜]+""),tc_mst!$A:$A,tc_mst!$J:$J)"&amp;",0)
  +
  (
   IFERROR(XLOOKUP(REGEXEXTRACT($M71,""^[^｜]+""),ac_mst!$A:$A,ac_mst!$M:$M),0)
   +IFERROR(XLOOKUP(REGEXEXTRACT($N71,""^[^｜]+""),ac_mst!$A:$A,ac_mst!$M:$M),0)
   +IFERROR(
    XLOOKUP(
     IF(
      OR(
       IFERROR(REGEXEXTRACT($M71,""^[^｜"&amp;"]+""),"""")="""",
       IFERROR(REGEXEXTRACT($N71,""^[^｜]+""),"""")=""""
      ),
      """",
      IF(
       IFERROR(REGEXEXTRACT($M71,""^[^｜]+""),"""")&lt;IFERROR(REGEXEXTRACT($N71,""^[^｜]+""),""""),
       IFERROR(REGEXEXTRACT($M71,""^[^｜]+""),"""")&amp;""_"&amp;"""&amp;IFERROR(REGEXEXTRACT($N71,""^[^｜]+""),""""),
       IFERROR(REGEXEXTRACT($N71,""^[^｜]+""),"""")&amp;""_""&amp;IFERROR(REGEXEXTRACT($M71,""^[^｜]+""),"""")
      )
     ),
     sy_mst!$A:$A,
     sy_mst!$J:$J
    ),
    0
   )
  )
  *
  IFERROR(XLOOKUP(REGEXEXTR"&amp;"ACT($I71,""^[^｜]+""),ms_mst!$A:$A,ms_mst!$R:$R),1)
  *
  IF(
   $B71&gt;=IFERROR(XLOOKUP(REGEXEXTRACT($L71,""^[^｜]+""),sk_mst!$A:$A,sk_mst!$M:$M),999),
   IFERROR(XLOOKUP(REGEXEXTRACT($L71,""^[^｜]+""),sk_mst!$A:$A,sk_mst!$L:$L),1),
   1
  )
 )
)"),55.0)</f>
        <v>55</v>
      </c>
      <c r="V71" s="25">
        <f t="shared" si="1"/>
        <v>992517</v>
      </c>
      <c r="W71" s="25">
        <f t="shared" si="2"/>
        <v>237325</v>
      </c>
      <c r="X71" s="25">
        <f t="shared" si="3"/>
        <v>755192</v>
      </c>
      <c r="Y71" s="25">
        <f t="shared" si="4"/>
        <v>4.18</v>
      </c>
      <c r="Z71" s="25">
        <f>IFERROR(__xludf.DUMMYFUNCTION("IF($A71="""","""",
 IF($F71&lt;&gt;""player"","""",
  IFERROR(
   RANK(
    $X71,
    FILTER($X:$X,$B:$B=$B71,$F:$F=""player"",$X:$X&lt;&gt;""""),
    0
   ),
   """"
  )
 )
)"),5.0)</f>
        <v>5</v>
      </c>
      <c r="AA71" s="25" t="str">
        <f t="shared" si="5"/>
        <v>5位</v>
      </c>
      <c r="AB71" s="26">
        <f t="shared" si="6"/>
        <v>5.716758276</v>
      </c>
    </row>
    <row r="72">
      <c r="A72" s="25" t="s">
        <v>245</v>
      </c>
      <c r="B72" s="14">
        <v>5.0</v>
      </c>
      <c r="C72" s="14" t="s">
        <v>165</v>
      </c>
      <c r="D72" s="14" t="s">
        <v>166</v>
      </c>
      <c r="E72" s="25" t="s">
        <v>153</v>
      </c>
      <c r="F72" s="25" t="s">
        <v>154</v>
      </c>
      <c r="I72" s="25" t="str">
        <f>IFERROR(__xludf.DUMMYFUNCTION("IF($F72&lt;&gt;""player"","""",IFERROR(INDEX(FILTER(group_setup!$D$2:$D947,group_setup!$B$2:$B947=$C72,group_setup!$G$2:$G947=TRUE,group_setup!$H$2:$H947=""completed""),1),""""))"),"M10")</f>
        <v>M10</v>
      </c>
      <c r="J72" s="25" t="str">
        <f>IFERROR(__xludf.DUMMYFUNCTION("IFERROR(FILTER(market_event_log!$D$2:$D947,market_event_log!$C$2:$C947=$B72,market_event_log!$N$2:$N947=""active""),"""")"),"T04")</f>
        <v>T04</v>
      </c>
      <c r="K72" s="25" t="str">
        <f>IFERROR(__xludf.DUMMYFUNCTION("IFERROR(FILTER(market_event_log!$G$2:$G947,market_event_log!$C$2:$C947=$B72,market_event_log!$N$2:$N947=""active""),"""")"),"C04")</f>
        <v>C04</v>
      </c>
      <c r="L72" s="25" t="str">
        <f>IFERROR(__xludf.DUMMYFUNCTION("IF($F72&lt;&gt;""player"","""",IFERROR(INDEX(FILTER(group_setup!$E$2:$E947,group_setup!$B$2:$B947=$C72,group_setup!$G$2:$G947=TRUE,group_setup!$H$2:$H947=""completed""),1),""""))"),"S06")</f>
        <v>S06</v>
      </c>
      <c r="M72" s="25" t="str">
        <f>IFERROR(__xludf.DUMMYFUNCTION("IF($F72=""market"","""",IF($E72=""HUMAN"",IFERROR(FILTER(turn_log!$G$2:$G947,turn_log!$C$2:$C947=$B72,turn_log!$D$2:$D947=$C72,turn_log!$F$2:$F947=$E72),""""),IFERROR(FILTER(turn_log!$I$2:$I947,turn_log!$C$2:$C947=$B72,turn_log!$D$2:$D947=$C72,turn_log!$F"&amp;"$2:$F947=$E72),"""")))"),"A19")</f>
        <v>A19</v>
      </c>
      <c r="N72" s="25" t="str">
        <f>IFERROR(__xludf.DUMMYFUNCTION("IF($F72=""market"","""",IF($E72=""HUMAN"",IFERROR(FILTER(turn_log!$H$2:$H947,turn_log!$C$2:$C947=$B72,turn_log!$D$2:$D947=$C72,turn_log!$F$2:$F947=$E72),""""),IFERROR(FILTER(turn_log!$J$2:$J947,turn_log!$C$2:$C947=$B72,turn_log!$D$2:$D947=$C72,turn_log!$F"&amp;"$2:$F947=$E72),"""")))"),"A16")</f>
        <v>A16</v>
      </c>
      <c r="O72" s="25">
        <f>IFERROR(__xludf.DUMMYFUNCTION("IF($A72="""","""",
 IF($F72=""market"",
  IFERROR(XLOOKUP(REGEXEXTRACT($J72,""^[^｜]+""),tr_mst!$A:$A,tr_mst!$D:$D),0)
  +IFERROR(XLOOKUP(REGEXEXTRACT($K72,""^[^｜]+""),tc_mst!$A:$A,tc_mst!$D:$D),0),
  IF($B72=0,
   IFERROR(XLOOKUP(REGEXEXTRACT($I72,""^[^｜]"&amp;"+""),ms_mst!$A:$A,ms_mst!$D:$D),0),
   IFERROR(XLOOKUP(""T""&amp;($B72-1)&amp;""_""&amp;$D72,$A:$A,$O:$O),0)
  )
  +IFERROR(XLOOKUP(REGEXEXTRACT($J72,""^[^｜]+""),tr_mst!$A:$A,tr_mst!$D:$D),0)
  +IFERROR(XLOOKUP(REGEXEXTRACT($K72,""^[^｜]+""),tc_mst!$A:$A,tc_mst!$D:$D)"&amp;",0)
  +
  (
   IFERROR(XLOOKUP(REGEXEXTRACT($M72,""^[^｜]+""),ac_mst!$A:$A,ac_mst!$G:$G),0)
   +IFERROR(XLOOKUP(REGEXEXTRACT($N72,""^[^｜]+""),ac_mst!$A:$A,ac_mst!$G:$G),0)
   +IFERROR(
    XLOOKUP(
     IF(
      OR(
       IFERROR(REGEXEXTRACT($M72,""^[^｜"&amp;"]+""),"""")="""",
       IFERROR(REGEXEXTRACT($N72,""^[^｜]+""),"""")=""""
      ),
      """",
      IF(
       IFERROR(REGEXEXTRACT($M72,""^[^｜]+""),"""")&lt;IFERROR(REGEXEXTRACT($N72,""^[^｜]+""),""""),
       IFERROR(REGEXEXTRACT($M72,""^[^｜]+""),"""")&amp;""_"&amp;"""&amp;IFERROR(REGEXEXTRACT($N72,""^[^｜]+""),""""),
       IFERROR(REGEXEXTRACT($N72,""^[^｜]+""),"""")&amp;""_""&amp;IFERROR(REGEXEXTRACT($M72,""^[^｜]+""),"""")
      )
     ),
     sy_mst!$A:$A,
     sy_mst!$D:$D
    ),
    0
   )
  )
  *
  IFERROR(XLOOKUP(REGEXEXTR"&amp;"ACT($I72,""^[^｜]+""),ms_mst!$A:$A,ms_mst!$L:$L),1)
  *
  IF(
   $B72&gt;=IFERROR(XLOOKUP(REGEXEXTRACT($L72,""^[^｜]+""),sk_mst!$A:$A,sk_mst!$M:$M),999),
   IFERROR(XLOOKUP(REGEXEXTRACT($L72,""^[^｜]+""),sk_mst!$A:$A,sk_mst!$F:$F),1),
   1
  )
 )
)"),9700.0)</f>
        <v>9700</v>
      </c>
      <c r="P72" s="25">
        <f>IFERROR(__xludf.DUMMYFUNCTION("IF($A72="""","""",
 IF($F72=""market"",
  IFERROR(XLOOKUP(REGEXEXTRACT($J72,""^[^｜]+""),tr_mst!$A:$A,tr_mst!$E:$E),0)
  +IFERROR(XLOOKUP(REGEXEXTRACT($K72,""^[^｜]+""),tc_mst!$A:$A,tc_mst!$E:$E),0),
  IF($B72=0,
   IFERROR(XLOOKUP(REGEXEXTRACT($I72,""^[^｜]"&amp;"+""),ms_mst!$A:$A,ms_mst!$E:$E),0),
   IFERROR(XLOOKUP(""T""&amp;($B72-1)&amp;""_""&amp;$D72,$A:$A,$P:$P),0)
  )
  +IFERROR(XLOOKUP(REGEXEXTRACT($J72,""^[^｜]+""),tr_mst!$A:$A,tr_mst!$E:$E),0)
  +IFERROR(XLOOKUP(REGEXEXTRACT($K72,""^[^｜]+""),tc_mst!$A:$A,tc_mst!$E:$E)"&amp;",0)
  +
  (
   IFERROR(XLOOKUP(REGEXEXTRACT($M72,""^[^｜]+""),ac_mst!$A:$A,ac_mst!$H:$H),0)
   +IFERROR(XLOOKUP(REGEXEXTRACT($N72,""^[^｜]+""),ac_mst!$A:$A,ac_mst!$H:$H),0)
   +IFERROR(
    XLOOKUP(
     IF(
      OR(
       IFERROR(REGEXEXTRACT($M72,""^[^｜"&amp;"]+""),"""")="""",
       IFERROR(REGEXEXTRACT($N72,""^[^｜]+""),"""")=""""
      ),
      """",
      IF(
       IFERROR(REGEXEXTRACT($M72,""^[^｜]+""),"""")&lt;IFERROR(REGEXEXTRACT($N72,""^[^｜]+""),""""),
       IFERROR(REGEXEXTRACT($M72,""^[^｜]+""),"""")&amp;""_"&amp;"""&amp;IFERROR(REGEXEXTRACT($N72,""^[^｜]+""),""""),
       IFERROR(REGEXEXTRACT($N72,""^[^｜]+""),"""")&amp;""_""&amp;IFERROR(REGEXEXTRACT($M72,""^[^｜]+""),"""")
      )
     ),
     sy_mst!$A:$A,
     sy_mst!$E:$E
    ),
    0
   )
  )
  *
  IFERROR(XLOOKUP(REGEXEXTR"&amp;"ACT($I72,""^[^｜]+""),ms_mst!$A:$A,ms_mst!$M:$M),1)
  *
  IF(
   $B72&gt;=IFERROR(XLOOKUP(REGEXEXTRACT($L72,""^[^｜]+""),sk_mst!$A:$A,sk_mst!$M:$M),999),
   IFERROR(XLOOKUP(REGEXEXTRACT($L72,""^[^｜]+""),sk_mst!$A:$A,sk_mst!$G:$G),1),
   1
  )
 )
)"),4815.0)</f>
        <v>4815</v>
      </c>
      <c r="Q72" s="25">
        <f>IFERROR(__xludf.DUMMYFUNCTION("IF($A72="""","""",
 IF($F72=""market"",
  IFERROR(XLOOKUP(REGEXEXTRACT($J72,""^[^｜]+""),tr_mst!$A:$A,tr_mst!$F:$F),0)
  +IFERROR(XLOOKUP(REGEXEXTRACT($K72,""^[^｜]+""),tc_mst!$A:$A,tc_mst!$F:$F),0),
  IF($B72=0,
   IFERROR(XLOOKUP(REGEXEXTRACT($I72,""^[^｜]"&amp;"+""),ms_mst!$A:$A,ms_mst!$F:$F),0),
   IFERROR(XLOOKUP(""T""&amp;($B72-1)&amp;""_""&amp;$D72,$A:$A,$Q:$Q),0)
  )
  +IFERROR(XLOOKUP(REGEXEXTRACT($J72,""^[^｜]+""),tr_mst!$A:$A,tr_mst!$F:$F),0)
  +IFERROR(XLOOKUP(REGEXEXTRACT($K72,""^[^｜]+""),tc_mst!$A:$A,tc_mst!$F:$F)"&amp;",0)
  +
  (
   IFERROR(XLOOKUP(REGEXEXTRACT($M72,""^[^｜]+""),ac_mst!$A:$A,ac_mst!$I:$I),0)
   +IFERROR(XLOOKUP(REGEXEXTRACT($N72,""^[^｜]+""),ac_mst!$A:$A,ac_mst!$I:$I),0)
   +IFERROR(
    XLOOKUP(
     IF(
      OR(
       IFERROR(REGEXEXTRACT($M72,""^[^｜"&amp;"]+""),"""")="""",
       IFERROR(REGEXEXTRACT($N72,""^[^｜]+""),"""")=""""
      ),
      """",
      IF(
       IFERROR(REGEXEXTRACT($M72,""^[^｜]+""),"""")&lt;IFERROR(REGEXEXTRACT($N72,""^[^｜]+""),""""),
       IFERROR(REGEXEXTRACT($M72,""^[^｜]+""),"""")&amp;""_"&amp;"""&amp;IFERROR(REGEXEXTRACT($N72,""^[^｜]+""),""""),
       IFERROR(REGEXEXTRACT($N72,""^[^｜]+""),"""")&amp;""_""&amp;IFERROR(REGEXEXTRACT($M72,""^[^｜]+""),"""")
      )
     ),
     sy_mst!$A:$A,
     sy_mst!$F:$F
    ),
    0
   )
  )
  *
  IFERROR(XLOOKUP(REGEXEXTR"&amp;"ACT($I72,""^[^｜]+""),ms_mst!$A:$A,ms_mst!$N:$N),1)
  *
  IF(
   $B72&gt;=IFERROR(XLOOKUP(REGEXEXTRACT($L72,""^[^｜]+""),sk_mst!$A:$A,sk_mst!$M:$M),999),
   IFERROR(XLOOKUP(REGEXEXTRACT($L72,""^[^｜]+""),sk_mst!$A:$A,sk_mst!$H:$H),1),
   1
  )
 )
)"),0.5499999999999999)</f>
        <v>0.55</v>
      </c>
      <c r="R72" s="25">
        <f>IFERROR(__xludf.DUMMYFUNCTION("IF($A72="""","""",
 IF($F72=""market"",
  IFERROR(XLOOKUP(REGEXEXTRACT($J72,""^[^｜]+""),tr_mst!$A:$A,tr_mst!$G:$G),0)
  +IFERROR(XLOOKUP(REGEXEXTRACT($K72,""^[^｜]+""),tc_mst!$A:$A,tc_mst!$G:$G),0),
  IF($B72=0,
   IFERROR(XLOOKUP(REGEXEXTRACT($I72,""^[^｜]"&amp;"+""),ms_mst!$A:$A,ms_mst!$G:$G),0),
   IFERROR(XLOOKUP(""T""&amp;($B72-1)&amp;""_""&amp;$D72,$A:$A,$R:$R),0)
  )
  +IFERROR(XLOOKUP(REGEXEXTRACT($J72,""^[^｜]+""),tr_mst!$A:$A,tr_mst!$G:$G),0)
  +IFERROR(XLOOKUP(REGEXEXTRACT($K72,""^[^｜]+""),tc_mst!$A:$A,tc_mst!$G:$G)"&amp;",0)
  +
  (
   IFERROR(XLOOKUP(REGEXEXTRACT($M72,""^[^｜]+""),ac_mst!$A:$A,ac_mst!$J:$J),0)
   +IFERROR(XLOOKUP(REGEXEXTRACT($N72,""^[^｜]+""),ac_mst!$A:$A,ac_mst!$J:$J),0)
   +IFERROR(
    XLOOKUP(
     IF(
      OR(
       IFERROR(REGEXEXTRACT($M72,""^[^｜"&amp;"]+""),"""")="""",
       IFERROR(REGEXEXTRACT($N72,""^[^｜]+""),"""")=""""
      ),
      """",
      IF(
       IFERROR(REGEXEXTRACT($M72,""^[^｜]+""),"""")&lt;IFERROR(REGEXEXTRACT($N72,""^[^｜]+""),""""),
       IFERROR(REGEXEXTRACT($M72,""^[^｜]+""),"""")&amp;""_"&amp;"""&amp;IFERROR(REGEXEXTRACT($N72,""^[^｜]+""),""""),
       IFERROR(REGEXEXTRACT($N72,""^[^｜]+""),"""")&amp;""_""&amp;IFERROR(REGEXEXTRACT($M72,""^[^｜]+""),"""")
      )
     ),
     sy_mst!$A:$A,
     sy_mst!$G:$G
    ),
    0
   )
  )
  *
  IFERROR(XLOOKUP(REGEXEXTR"&amp;"ACT($I72,""^[^｜]+""),ms_mst!$A:$A,ms_mst!$O:$O),1)
  *
  IF(
   $B72&gt;=IFERROR(XLOOKUP(REGEXEXTRACT($L72,""^[^｜]+""),sk_mst!$A:$A,sk_mst!$M:$M),999),
   IFERROR(XLOOKUP(REGEXEXTRACT($L72,""^[^｜]+""),sk_mst!$A:$A,sk_mst!$I:$I),1),
   1
  )
 )
)"),1.4649999999999999)</f>
        <v>1.465</v>
      </c>
      <c r="S72" s="25">
        <f>IFERROR(__xludf.DUMMYFUNCTION("IF($A72="""","""",
 IF($F72=""market"",
  IFERROR(XLOOKUP(REGEXEXTRACT($J72,""^[^｜]+""),tr_mst!$A:$A,tr_mst!$H:$H),0)
  +IFERROR(XLOOKUP(REGEXEXTRACT($K72,""^[^｜]+""),tc_mst!$A:$A,tc_mst!$H:$H),0),
  IF($B72=0,
   IFERROR(XLOOKUP(REGEXEXTRACT($I72,""^[^｜]"&amp;"+""),ms_mst!$A:$A,ms_mst!$H:$H),0),
   IFERROR(XLOOKUP(""T""&amp;($B72-1)&amp;""_""&amp;$D72,$A:$A,$S:$S),0)
  )
  +IFERROR(XLOOKUP(REGEXEXTRACT($J72,""^[^｜]+""),tr_mst!$A:$A,tr_mst!$H:$H),0)
  +IFERROR(XLOOKUP(REGEXEXTRACT($K72,""^[^｜]+""),tc_mst!$A:$A,tc_mst!$H:$H)"&amp;",0)
  +
  (
   IFERROR(XLOOKUP(REGEXEXTRACT($M72,""^[^｜]+""),ac_mst!$A:$A,ac_mst!$K:$K),0)
   +IFERROR(XLOOKUP(REGEXEXTRACT($N72,""^[^｜]+""),ac_mst!$A:$A,ac_mst!$K:$K),0)
   +IFERROR(
    XLOOKUP(
     IF(
      OR(
       IFERROR(REGEXEXTRACT($M72,""^[^｜"&amp;"]+""),"""")="""",
       IFERROR(REGEXEXTRACT($N72,""^[^｜]+""),"""")=""""
      ),
      """",
      IF(
       IFERROR(REGEXEXTRACT($M72,""^[^｜]+""),"""")&lt;IFERROR(REGEXEXTRACT($N72,""^[^｜]+""),""""),
       IFERROR(REGEXEXTRACT($M72,""^[^｜]+""),"""")&amp;""_"&amp;"""&amp;IFERROR(REGEXEXTRACT($N72,""^[^｜]+""),""""),
       IFERROR(REGEXEXTRACT($N72,""^[^｜]+""),"""")&amp;""_""&amp;IFERROR(REGEXEXTRACT($M72,""^[^｜]+""),"""")
      )
     ),
     sy_mst!$A:$A,
     sy_mst!$H:$H
    ),
    0
   )
  )
  *
  IFERROR(XLOOKUP(REGEXEXTR"&amp;"ACT($I72,""^[^｜]+""),ms_mst!$A:$A,ms_mst!$P:$P),1)
  *
  IF(
   $B72&gt;=IFERROR(XLOOKUP(REGEXEXTRACT($L72,""^[^｜]+""),sk_mst!$A:$A,sk_mst!$M:$M),999),
   IFERROR(XLOOKUP(REGEXEXTRACT($L72,""^[^｜]+""),sk_mst!$A:$A,sk_mst!$J:$J),1),
   1
  )
 )
)"),0.0165)</f>
        <v>0.0165</v>
      </c>
      <c r="T72" s="25">
        <f>IFERROR(__xludf.DUMMYFUNCTION("IF($A72="""","""",
 IF($F72=""market"",
  IFERROR(XLOOKUP(REGEXEXTRACT($J72,""^[^｜]+""),tr_mst!$A:$A,tr_mst!$I:$I),0)
  +IFERROR(XLOOKUP(REGEXEXTRACT($K72,""^[^｜]+""),tc_mst!$A:$A,tc_mst!$I:$I),0),
  IF($B72=0,
   IFERROR(XLOOKUP(REGEXEXTRACT($I72,""^[^｜]"&amp;"+""),ms_mst!$A:$A,ms_mst!$I:$I),0),
   IFERROR(XLOOKUP(""T""&amp;($B72-1)&amp;""_""&amp;$D72,$A:$A,$T:$T),0)
  )
  +IFERROR(XLOOKUP(REGEXEXTRACT($J72,""^[^｜]+""),tr_mst!$A:$A,tr_mst!$I:$I),0)
  +IFERROR(XLOOKUP(REGEXEXTRACT($K72,""^[^｜]+""),tc_mst!$A:$A,tc_mst!$I:$I)"&amp;",0)
  +
  (
   IFERROR(XLOOKUP(REGEXEXTRACT($M72,""^[^｜]+""),ac_mst!$A:$A,ac_mst!$L:$L),0)
   +IFERROR(XLOOKUP(REGEXEXTRACT($N72,""^[^｜]+""),ac_mst!$A:$A,ac_mst!$L:$L),0)
   +IFERROR(
    XLOOKUP(
     IF(
      OR(
       IFERROR(REGEXEXTRACT($M72,""^[^｜"&amp;"]+""),"""")="""",
       IFERROR(REGEXEXTRACT($N72,""^[^｜]+""),"""")=""""
      ),
      """",
      IF(
       IFERROR(REGEXEXTRACT($M72,""^[^｜]+""),"""")&lt;IFERROR(REGEXEXTRACT($N72,""^[^｜]+""),""""),
       IFERROR(REGEXEXTRACT($M72,""^[^｜]+""),"""")&amp;""_"&amp;"""&amp;IFERROR(REGEXEXTRACT($N72,""^[^｜]+""),""""),
       IFERROR(REGEXEXTRACT($N72,""^[^｜]+""),"""")&amp;""_""&amp;IFERROR(REGEXEXTRACT($M72,""^[^｜]+""),"""")
      )
     ),
     sy_mst!$A:$A,
     sy_mst!$I:$I
    ),
    0
   )
  )
  *
  IFERROR(XLOOKUP(REGEXEXTR"&amp;"ACT($I72,""^[^｜]+""),ms_mst!$A:$A,ms_mst!$Q:$Q),1)
  *
  IF(
   $B72&gt;=IFERROR(XLOOKUP(REGEXEXTRACT($L72,""^[^｜]+""),sk_mst!$A:$A,sk_mst!$M:$M),999),
   IFERROR(XLOOKUP(REGEXEXTRACT($L72,""^[^｜]+""),sk_mst!$A:$A,sk_mst!$K:$K),1),
   1
  )
 )
)"),4100.0)</f>
        <v>4100</v>
      </c>
      <c r="U72" s="25">
        <f>IFERROR(__xludf.DUMMYFUNCTION("IF($A72="""","""",
 IF($F72=""market"",
  IFERROR(XLOOKUP(REGEXEXTRACT($J72,""^[^｜]+""),tr_mst!$A:$A,tr_mst!$J:$J),0)
  +IFERROR(XLOOKUP(REGEXEXTRACT($K72,""^[^｜]+""),tc_mst!$A:$A,tc_mst!$J:$J),0),
  IF($B72=0,
   IFERROR(XLOOKUP(REGEXEXTRACT($I72,""^[^｜]"&amp;"+""),ms_mst!$A:$A,ms_mst!$J:$J),0),
   IFERROR(XLOOKUP(""T""&amp;($B72-1)&amp;""_""&amp;$D72,$A:$A,$U:$U),0)
  )
  +IFERROR(XLOOKUP(REGEXEXTRACT($J72,""^[^｜]+""),tr_mst!$A:$A,tr_mst!$J:$J),0)
  +IFERROR(XLOOKUP(REGEXEXTRACT($K72,""^[^｜]+""),tc_mst!$A:$A,tc_mst!$J:$J)"&amp;",0)
  +
  (
   IFERROR(XLOOKUP(REGEXEXTRACT($M72,""^[^｜]+""),ac_mst!$A:$A,ac_mst!$M:$M),0)
   +IFERROR(XLOOKUP(REGEXEXTRACT($N72,""^[^｜]+""),ac_mst!$A:$A,ac_mst!$M:$M),0)
   +IFERROR(
    XLOOKUP(
     IF(
      OR(
       IFERROR(REGEXEXTRACT($M72,""^[^｜"&amp;"]+""),"""")="""",
       IFERROR(REGEXEXTRACT($N72,""^[^｜]+""),"""")=""""
      ),
      """",
      IF(
       IFERROR(REGEXEXTRACT($M72,""^[^｜]+""),"""")&lt;IFERROR(REGEXEXTRACT($N72,""^[^｜]+""),""""),
       IFERROR(REGEXEXTRACT($M72,""^[^｜]+""),"""")&amp;""_"&amp;"""&amp;IFERROR(REGEXEXTRACT($N72,""^[^｜]+""),""""),
       IFERROR(REGEXEXTRACT($N72,""^[^｜]+""),"""")&amp;""_""&amp;IFERROR(REGEXEXTRACT($M72,""^[^｜]+""),"""")
      )
     ),
     sy_mst!$A:$A,
     sy_mst!$J:$J
    ),
    0
   )
  )
  *
  IFERROR(XLOOKUP(REGEXEXTR"&amp;"ACT($I72,""^[^｜]+""),ms_mst!$A:$A,ms_mst!$R:$R),1)
  *
  IF(
   $B72&gt;=IFERROR(XLOOKUP(REGEXEXTRACT($L72,""^[^｜]+""),sk_mst!$A:$A,sk_mst!$M:$M),999),
   IFERROR(XLOOKUP(REGEXEXTRACT($L72,""^[^｜]+""),sk_mst!$A:$A,sk_mst!$L:$L),1),
   1
  )
 )
)"),62.32000000000001)</f>
        <v>62.32</v>
      </c>
      <c r="V72" s="25">
        <f t="shared" si="1"/>
        <v>647344</v>
      </c>
      <c r="W72" s="25">
        <f t="shared" si="2"/>
        <v>300071</v>
      </c>
      <c r="X72" s="25">
        <f t="shared" si="3"/>
        <v>347273</v>
      </c>
      <c r="Y72" s="25">
        <f t="shared" si="4"/>
        <v>2.16</v>
      </c>
      <c r="Z72" s="25">
        <f>IFERROR(__xludf.DUMMYFUNCTION("IF($A72="""","""",
 IF($F72&lt;&gt;""player"","""",
  IFERROR(
   RANK(
    $X72,
    FILTER($X:$X,$B:$B=$B72,$F:$F=""player"",$X:$X&lt;&gt;""""),
    0
   ),
   """"
  )
 )
)"),7.0)</f>
        <v>7</v>
      </c>
      <c r="AA72" s="25" t="str">
        <f t="shared" si="5"/>
        <v>7位</v>
      </c>
      <c r="AB72" s="26">
        <f t="shared" si="6"/>
        <v>10.65183435</v>
      </c>
    </row>
    <row r="73">
      <c r="A73" s="25" t="s">
        <v>246</v>
      </c>
      <c r="B73" s="14">
        <v>5.0</v>
      </c>
      <c r="C73" s="14" t="s">
        <v>168</v>
      </c>
      <c r="D73" s="14" t="s">
        <v>169</v>
      </c>
      <c r="E73" s="25" t="s">
        <v>153</v>
      </c>
      <c r="F73" s="25" t="s">
        <v>154</v>
      </c>
      <c r="I73" s="25" t="str">
        <f>IFERROR(__xludf.DUMMYFUNCTION("IF($F73&lt;&gt;""player"","""",IFERROR(INDEX(FILTER(group_setup!$D$2:$D947,group_setup!$B$2:$B947=$C73,group_setup!$G$2:$G947=TRUE,group_setup!$H$2:$H947=""completed""),1),""""))"),"M02")</f>
        <v>M02</v>
      </c>
      <c r="J73" s="25" t="str">
        <f>IFERROR(__xludf.DUMMYFUNCTION("IFERROR(FILTER(market_event_log!$D$2:$D947,market_event_log!$C$2:$C947=$B73,market_event_log!$N$2:$N947=""active""),"""")"),"T04")</f>
        <v>T04</v>
      </c>
      <c r="K73" s="25" t="str">
        <f>IFERROR(__xludf.DUMMYFUNCTION("IFERROR(FILTER(market_event_log!$G$2:$G947,market_event_log!$C$2:$C947=$B73,market_event_log!$N$2:$N947=""active""),"""")"),"C04")</f>
        <v>C04</v>
      </c>
      <c r="L73" s="25" t="str">
        <f>IFERROR(__xludf.DUMMYFUNCTION("IF($F73&lt;&gt;""player"","""",IFERROR(INDEX(FILTER(group_setup!$E$2:$E947,group_setup!$B$2:$B947=$C73,group_setup!$G$2:$G947=TRUE,group_setup!$H$2:$H947=""completed""),1),""""))"),"S03")</f>
        <v>S03</v>
      </c>
      <c r="M73" s="25" t="str">
        <f>IFERROR(__xludf.DUMMYFUNCTION("IF($F73=""market"","""",IF($E73=""HUMAN"",IFERROR(FILTER(turn_log!$G$2:$G947,turn_log!$C$2:$C947=$B73,turn_log!$D$2:$D947=$C73,turn_log!$F$2:$F947=$E73),""""),IFERROR(FILTER(turn_log!$I$2:$I947,turn_log!$C$2:$C947=$B73,turn_log!$D$2:$D947=$C73,turn_log!$F"&amp;"$2:$F947=$E73),"""")))"),"A23")</f>
        <v>A23</v>
      </c>
      <c r="N73" s="25" t="str">
        <f>IFERROR(__xludf.DUMMYFUNCTION("IF($F73=""market"","""",IF($E73=""HUMAN"",IFERROR(FILTER(turn_log!$H$2:$H947,turn_log!$C$2:$C947=$B73,turn_log!$D$2:$D947=$C73,turn_log!$F$2:$F947=$E73),""""),IFERROR(FILTER(turn_log!$J$2:$J947,turn_log!$C$2:$C947=$B73,turn_log!$D$2:$D947=$C73,turn_log!$F"&amp;"$2:$F947=$E73),"""")))"),"A11")</f>
        <v>A11</v>
      </c>
      <c r="O73" s="25">
        <f>IFERROR(__xludf.DUMMYFUNCTION("IF($A73="""","""",
 IF($F73=""market"",
  IFERROR(XLOOKUP(REGEXEXTRACT($J73,""^[^｜]+""),tr_mst!$A:$A,tr_mst!$D:$D),0)
  +IFERROR(XLOOKUP(REGEXEXTRACT($K73,""^[^｜]+""),tc_mst!$A:$A,tc_mst!$D:$D),0),
  IF($B73=0,
   IFERROR(XLOOKUP(REGEXEXTRACT($I73,""^[^｜]"&amp;"+""),ms_mst!$A:$A,ms_mst!$D:$D),0),
   IFERROR(XLOOKUP(""T""&amp;($B73-1)&amp;""_""&amp;$D73,$A:$A,$O:$O),0)
  )
  +IFERROR(XLOOKUP(REGEXEXTRACT($J73,""^[^｜]+""),tr_mst!$A:$A,tr_mst!$D:$D),0)
  +IFERROR(XLOOKUP(REGEXEXTRACT($K73,""^[^｜]+""),tc_mst!$A:$A,tc_mst!$D:$D)"&amp;",0)
  +
  (
   IFERROR(XLOOKUP(REGEXEXTRACT($M73,""^[^｜]+""),ac_mst!$A:$A,ac_mst!$G:$G),0)
   +IFERROR(XLOOKUP(REGEXEXTRACT($N73,""^[^｜]+""),ac_mst!$A:$A,ac_mst!$G:$G),0)
   +IFERROR(
    XLOOKUP(
     IF(
      OR(
       IFERROR(REGEXEXTRACT($M73,""^[^｜"&amp;"]+""),"""")="""",
       IFERROR(REGEXEXTRACT($N73,""^[^｜]+""),"""")=""""
      ),
      """",
      IF(
       IFERROR(REGEXEXTRACT($M73,""^[^｜]+""),"""")&lt;IFERROR(REGEXEXTRACT($N73,""^[^｜]+""),""""),
       IFERROR(REGEXEXTRACT($M73,""^[^｜]+""),"""")&amp;""_"&amp;"""&amp;IFERROR(REGEXEXTRACT($N73,""^[^｜]+""),""""),
       IFERROR(REGEXEXTRACT($N73,""^[^｜]+""),"""")&amp;""_""&amp;IFERROR(REGEXEXTRACT($M73,""^[^｜]+""),"""")
      )
     ),
     sy_mst!$A:$A,
     sy_mst!$D:$D
    ),
    0
   )
  )
  *
  IFERROR(XLOOKUP(REGEXEXTR"&amp;"ACT($I73,""^[^｜]+""),ms_mst!$A:$A,ms_mst!$L:$L),1)
  *
  IF(
   $B73&gt;=IFERROR(XLOOKUP(REGEXEXTRACT($L73,""^[^｜]+""),sk_mst!$A:$A,sk_mst!$M:$M),999),
   IFERROR(XLOOKUP(REGEXEXTRACT($L73,""^[^｜]+""),sk_mst!$A:$A,sk_mst!$F:$F),1),
   1
  )
 )
)"),9200.0)</f>
        <v>9200</v>
      </c>
      <c r="P73" s="25">
        <f>IFERROR(__xludf.DUMMYFUNCTION("IF($A73="""","""",
 IF($F73=""market"",
  IFERROR(XLOOKUP(REGEXEXTRACT($J73,""^[^｜]+""),tr_mst!$A:$A,tr_mst!$E:$E),0)
  +IFERROR(XLOOKUP(REGEXEXTRACT($K73,""^[^｜]+""),tc_mst!$A:$A,tc_mst!$E:$E),0),
  IF($B73=0,
   IFERROR(XLOOKUP(REGEXEXTRACT($I73,""^[^｜]"&amp;"+""),ms_mst!$A:$A,ms_mst!$E:$E),0),
   IFERROR(XLOOKUP(""T""&amp;($B73-1)&amp;""_""&amp;$D73,$A:$A,$P:$P),0)
  )
  +IFERROR(XLOOKUP(REGEXEXTRACT($J73,""^[^｜]+""),tr_mst!$A:$A,tr_mst!$E:$E),0)
  +IFERROR(XLOOKUP(REGEXEXTRACT($K73,""^[^｜]+""),tc_mst!$A:$A,tc_mst!$E:$E)"&amp;",0)
  +
  (
   IFERROR(XLOOKUP(REGEXEXTRACT($M73,""^[^｜]+""),ac_mst!$A:$A,ac_mst!$H:$H),0)
   +IFERROR(XLOOKUP(REGEXEXTRACT($N73,""^[^｜]+""),ac_mst!$A:$A,ac_mst!$H:$H),0)
   +IFERROR(
    XLOOKUP(
     IF(
      OR(
       IFERROR(REGEXEXTRACT($M73,""^[^｜"&amp;"]+""),"""")="""",
       IFERROR(REGEXEXTRACT($N73,""^[^｜]+""),"""")=""""
      ),
      """",
      IF(
       IFERROR(REGEXEXTRACT($M73,""^[^｜]+""),"""")&lt;IFERROR(REGEXEXTRACT($N73,""^[^｜]+""),""""),
       IFERROR(REGEXEXTRACT($M73,""^[^｜]+""),"""")&amp;""_"&amp;"""&amp;IFERROR(REGEXEXTRACT($N73,""^[^｜]+""),""""),
       IFERROR(REGEXEXTRACT($N73,""^[^｜]+""),"""")&amp;""_""&amp;IFERROR(REGEXEXTRACT($M73,""^[^｜]+""),"""")
      )
     ),
     sy_mst!$A:$A,
     sy_mst!$E:$E
    ),
    0
   )
  )
  *
  IFERROR(XLOOKUP(REGEXEXTR"&amp;"ACT($I73,""^[^｜]+""),ms_mst!$A:$A,ms_mst!$M:$M),1)
  *
  IF(
   $B73&gt;=IFERROR(XLOOKUP(REGEXEXTRACT($L73,""^[^｜]+""),sk_mst!$A:$A,sk_mst!$M:$M),999),
   IFERROR(XLOOKUP(REGEXEXTRACT($L73,""^[^｜]+""),sk_mst!$A:$A,sk_mst!$G:$G),1),
   1
  )
 )
)"),3875.0)</f>
        <v>3875</v>
      </c>
      <c r="Q73" s="25">
        <f>IFERROR(__xludf.DUMMYFUNCTION("IF($A73="""","""",
 IF($F73=""market"",
  IFERROR(XLOOKUP(REGEXEXTRACT($J73,""^[^｜]+""),tr_mst!$A:$A,tr_mst!$F:$F),0)
  +IFERROR(XLOOKUP(REGEXEXTRACT($K73,""^[^｜]+""),tc_mst!$A:$A,tc_mst!$F:$F),0),
  IF($B73=0,
   IFERROR(XLOOKUP(REGEXEXTRACT($I73,""^[^｜]"&amp;"+""),ms_mst!$A:$A,ms_mst!$F:$F),0),
   IFERROR(XLOOKUP(""T""&amp;($B73-1)&amp;""_""&amp;$D73,$A:$A,$Q:$Q),0)
  )
  +IFERROR(XLOOKUP(REGEXEXTRACT($J73,""^[^｜]+""),tr_mst!$A:$A,tr_mst!$F:$F),0)
  +IFERROR(XLOOKUP(REGEXEXTRACT($K73,""^[^｜]+""),tc_mst!$A:$A,tc_mst!$F:$F)"&amp;",0)
  +
  (
   IFERROR(XLOOKUP(REGEXEXTRACT($M73,""^[^｜]+""),ac_mst!$A:$A,ac_mst!$I:$I),0)
   +IFERROR(XLOOKUP(REGEXEXTRACT($N73,""^[^｜]+""),ac_mst!$A:$A,ac_mst!$I:$I),0)
   +IFERROR(
    XLOOKUP(
     IF(
      OR(
       IFERROR(REGEXEXTRACT($M73,""^[^｜"&amp;"]+""),"""")="""",
       IFERROR(REGEXEXTRACT($N73,""^[^｜]+""),"""")=""""
      ),
      """",
      IF(
       IFERROR(REGEXEXTRACT($M73,""^[^｜]+""),"""")&lt;IFERROR(REGEXEXTRACT($N73,""^[^｜]+""),""""),
       IFERROR(REGEXEXTRACT($M73,""^[^｜]+""),"""")&amp;""_"&amp;"""&amp;IFERROR(REGEXEXTRACT($N73,""^[^｜]+""),""""),
       IFERROR(REGEXEXTRACT($N73,""^[^｜]+""),"""")&amp;""_""&amp;IFERROR(REGEXEXTRACT($M73,""^[^｜]+""),"""")
      )
     ),
     sy_mst!$A:$A,
     sy_mst!$F:$F
    ),
    0
   )
  )
  *
  IFERROR(XLOOKUP(REGEXEXTR"&amp;"ACT($I73,""^[^｜]+""),ms_mst!$A:$A,ms_mst!$N:$N),1)
  *
  IF(
   $B73&gt;=IFERROR(XLOOKUP(REGEXEXTRACT($L73,""^[^｜]+""),sk_mst!$A:$A,sk_mst!$M:$M),999),
   IFERROR(XLOOKUP(REGEXEXTRACT($L73,""^[^｜]+""),sk_mst!$A:$A,sk_mst!$H:$H),1),
   1
  )
 )
)"),0.49)</f>
        <v>0.49</v>
      </c>
      <c r="R73" s="25">
        <f>IFERROR(__xludf.DUMMYFUNCTION("IF($A73="""","""",
 IF($F73=""market"",
  IFERROR(XLOOKUP(REGEXEXTRACT($J73,""^[^｜]+""),tr_mst!$A:$A,tr_mst!$G:$G),0)
  +IFERROR(XLOOKUP(REGEXEXTRACT($K73,""^[^｜]+""),tc_mst!$A:$A,tc_mst!$G:$G),0),
  IF($B73=0,
   IFERROR(XLOOKUP(REGEXEXTRACT($I73,""^[^｜]"&amp;"+""),ms_mst!$A:$A,ms_mst!$G:$G),0),
   IFERROR(XLOOKUP(""T""&amp;($B73-1)&amp;""_""&amp;$D73,$A:$A,$R:$R),0)
  )
  +IFERROR(XLOOKUP(REGEXEXTRACT($J73,""^[^｜]+""),tr_mst!$A:$A,tr_mst!$G:$G),0)
  +IFERROR(XLOOKUP(REGEXEXTRACT($K73,""^[^｜]+""),tc_mst!$A:$A,tc_mst!$G:$G)"&amp;",0)
  +
  (
   IFERROR(XLOOKUP(REGEXEXTRACT($M73,""^[^｜]+""),ac_mst!$A:$A,ac_mst!$J:$J),0)
   +IFERROR(XLOOKUP(REGEXEXTRACT($N73,""^[^｜]+""),ac_mst!$A:$A,ac_mst!$J:$J),0)
   +IFERROR(
    XLOOKUP(
     IF(
      OR(
       IFERROR(REGEXEXTRACT($M73,""^[^｜"&amp;"]+""),"""")="""",
       IFERROR(REGEXEXTRACT($N73,""^[^｜]+""),"""")=""""
      ),
      """",
      IF(
       IFERROR(REGEXEXTRACT($M73,""^[^｜]+""),"""")&lt;IFERROR(REGEXEXTRACT($N73,""^[^｜]+""),""""),
       IFERROR(REGEXEXTRACT($M73,""^[^｜]+""),"""")&amp;""_"&amp;"""&amp;IFERROR(REGEXEXTRACT($N73,""^[^｜]+""),""""),
       IFERROR(REGEXEXTRACT($N73,""^[^｜]+""),"""")&amp;""_""&amp;IFERROR(REGEXEXTRACT($M73,""^[^｜]+""),"""")
      )
     ),
     sy_mst!$A:$A,
     sy_mst!$G:$G
    ),
    0
   )
  )
  *
  IFERROR(XLOOKUP(REGEXEXTR"&amp;"ACT($I73,""^[^｜]+""),ms_mst!$A:$A,ms_mst!$O:$O),1)
  *
  IF(
   $B73&gt;=IFERROR(XLOOKUP(REGEXEXTRACT($L73,""^[^｜]+""),sk_mst!$A:$A,sk_mst!$M:$M),999),
   IFERROR(XLOOKUP(REGEXEXTRACT($L73,""^[^｜]+""),sk_mst!$A:$A,sk_mst!$I:$I),1),
   1
  )
 )
)"),1.5052499999999998)</f>
        <v>1.50525</v>
      </c>
      <c r="S73" s="25">
        <f>IFERROR(__xludf.DUMMYFUNCTION("IF($A73="""","""",
 IF($F73=""market"",
  IFERROR(XLOOKUP(REGEXEXTRACT($J73,""^[^｜]+""),tr_mst!$A:$A,tr_mst!$H:$H),0)
  +IFERROR(XLOOKUP(REGEXEXTRACT($K73,""^[^｜]+""),tc_mst!$A:$A,tc_mst!$H:$H),0),
  IF($B73=0,
   IFERROR(XLOOKUP(REGEXEXTRACT($I73,""^[^｜]"&amp;"+""),ms_mst!$A:$A,ms_mst!$H:$H),0),
   IFERROR(XLOOKUP(""T""&amp;($B73-1)&amp;""_""&amp;$D73,$A:$A,$S:$S),0)
  )
  +IFERROR(XLOOKUP(REGEXEXTRACT($J73,""^[^｜]+""),tr_mst!$A:$A,tr_mst!$H:$H),0)
  +IFERROR(XLOOKUP(REGEXEXTRACT($K73,""^[^｜]+""),tc_mst!$A:$A,tc_mst!$H:$H)"&amp;",0)
  +
  (
   IFERROR(XLOOKUP(REGEXEXTRACT($M73,""^[^｜]+""),ac_mst!$A:$A,ac_mst!$K:$K),0)
   +IFERROR(XLOOKUP(REGEXEXTRACT($N73,""^[^｜]+""),ac_mst!$A:$A,ac_mst!$K:$K),0)
   +IFERROR(
    XLOOKUP(
     IF(
      OR(
       IFERROR(REGEXEXTRACT($M73,""^[^｜"&amp;"]+""),"""")="""",
       IFERROR(REGEXEXTRACT($N73,""^[^｜]+""),"""")=""""
      ),
      """",
      IF(
       IFERROR(REGEXEXTRACT($M73,""^[^｜]+""),"""")&lt;IFERROR(REGEXEXTRACT($N73,""^[^｜]+""),""""),
       IFERROR(REGEXEXTRACT($M73,""^[^｜]+""),"""")&amp;""_"&amp;"""&amp;IFERROR(REGEXEXTRACT($N73,""^[^｜]+""),""""),
       IFERROR(REGEXEXTRACT($N73,""^[^｜]+""),"""")&amp;""_""&amp;IFERROR(REGEXEXTRACT($M73,""^[^｜]+""),"""")
      )
     ),
     sy_mst!$A:$A,
     sy_mst!$H:$H
    ),
    0
   )
  )
  *
  IFERROR(XLOOKUP(REGEXEXTR"&amp;"ACT($I73,""^[^｜]+""),ms_mst!$A:$A,ms_mst!$P:$P),1)
  *
  IF(
   $B73&gt;=IFERROR(XLOOKUP(REGEXEXTRACT($L73,""^[^｜]+""),sk_mst!$A:$A,sk_mst!$M:$M),999),
   IFERROR(XLOOKUP(REGEXEXTRACT($L73,""^[^｜]+""),sk_mst!$A:$A,sk_mst!$J:$J),1),
   1
  )
 )
)"),0.01457)</f>
        <v>0.01457</v>
      </c>
      <c r="T73" s="25">
        <f>IFERROR(__xludf.DUMMYFUNCTION("IF($A73="""","""",
 IF($F73=""market"",
  IFERROR(XLOOKUP(REGEXEXTRACT($J73,""^[^｜]+""),tr_mst!$A:$A,tr_mst!$I:$I),0)
  +IFERROR(XLOOKUP(REGEXEXTRACT($K73,""^[^｜]+""),tc_mst!$A:$A,tc_mst!$I:$I),0),
  IF($B73=0,
   IFERROR(XLOOKUP(REGEXEXTRACT($I73,""^[^｜]"&amp;"+""),ms_mst!$A:$A,ms_mst!$I:$I),0),
   IFERROR(XLOOKUP(""T""&amp;($B73-1)&amp;""_""&amp;$D73,$A:$A,$T:$T),0)
  )
  +IFERROR(XLOOKUP(REGEXEXTRACT($J73,""^[^｜]+""),tr_mst!$A:$A,tr_mst!$I:$I),0)
  +IFERROR(XLOOKUP(REGEXEXTRACT($K73,""^[^｜]+""),tc_mst!$A:$A,tc_mst!$I:$I)"&amp;",0)
  +
  (
   IFERROR(XLOOKUP(REGEXEXTRACT($M73,""^[^｜]+""),ac_mst!$A:$A,ac_mst!$L:$L),0)
   +IFERROR(XLOOKUP(REGEXEXTRACT($N73,""^[^｜]+""),ac_mst!$A:$A,ac_mst!$L:$L),0)
   +IFERROR(
    XLOOKUP(
     IF(
      OR(
       IFERROR(REGEXEXTRACT($M73,""^[^｜"&amp;"]+""),"""")="""",
       IFERROR(REGEXEXTRACT($N73,""^[^｜]+""),"""")=""""
      ),
      """",
      IF(
       IFERROR(REGEXEXTRACT($M73,""^[^｜]+""),"""")&lt;IFERROR(REGEXEXTRACT($N73,""^[^｜]+""),""""),
       IFERROR(REGEXEXTRACT($M73,""^[^｜]+""),"""")&amp;""_"&amp;"""&amp;IFERROR(REGEXEXTRACT($N73,""^[^｜]+""),""""),
       IFERROR(REGEXEXTRACT($N73,""^[^｜]+""),"""")&amp;""_""&amp;IFERROR(REGEXEXTRACT($M73,""^[^｜]+""),"""")
      )
     ),
     sy_mst!$A:$A,
     sy_mst!$I:$I
    ),
    0
   )
  )
  *
  IFERROR(XLOOKUP(REGEXEXTR"&amp;"ACT($I73,""^[^｜]+""),ms_mst!$A:$A,ms_mst!$Q:$Q),1)
  *
  IF(
   $B73&gt;=IFERROR(XLOOKUP(REGEXEXTRACT($L73,""^[^｜]+""),sk_mst!$A:$A,sk_mst!$M:$M),999),
   IFERROR(XLOOKUP(REGEXEXTRACT($L73,""^[^｜]+""),sk_mst!$A:$A,sk_mst!$K:$K),1),
   1
  )
 )
)"),5000.0)</f>
        <v>5000</v>
      </c>
      <c r="U73" s="25">
        <f>IFERROR(__xludf.DUMMYFUNCTION("IF($A73="""","""",
 IF($F73=""market"",
  IFERROR(XLOOKUP(REGEXEXTRACT($J73,""^[^｜]+""),tr_mst!$A:$A,tr_mst!$J:$J),0)
  +IFERROR(XLOOKUP(REGEXEXTRACT($K73,""^[^｜]+""),tc_mst!$A:$A,tc_mst!$J:$J),0),
  IF($B73=0,
   IFERROR(XLOOKUP(REGEXEXTRACT($I73,""^[^｜]"&amp;"+""),ms_mst!$A:$A,ms_mst!$J:$J),0),
   IFERROR(XLOOKUP(""T""&amp;($B73-1)&amp;""_""&amp;$D73,$A:$A,$U:$U),0)
  )
  +IFERROR(XLOOKUP(REGEXEXTRACT($J73,""^[^｜]+""),tr_mst!$A:$A,tr_mst!$J:$J),0)
  +IFERROR(XLOOKUP(REGEXEXTRACT($K73,""^[^｜]+""),tc_mst!$A:$A,tc_mst!$J:$J)"&amp;",0)
  +
  (
   IFERROR(XLOOKUP(REGEXEXTRACT($M73,""^[^｜]+""),ac_mst!$A:$A,ac_mst!$M:$M),0)
   +IFERROR(XLOOKUP(REGEXEXTRACT($N73,""^[^｜]+""),ac_mst!$A:$A,ac_mst!$M:$M),0)
   +IFERROR(
    XLOOKUP(
     IF(
      OR(
       IFERROR(REGEXEXTRACT($M73,""^[^｜"&amp;"]+""),"""")="""",
       IFERROR(REGEXEXTRACT($N73,""^[^｜]+""),"""")=""""
      ),
      """",
      IF(
       IFERROR(REGEXEXTRACT($M73,""^[^｜]+""),"""")&lt;IFERROR(REGEXEXTRACT($N73,""^[^｜]+""),""""),
       IFERROR(REGEXEXTRACT($M73,""^[^｜]+""),"""")&amp;""_"&amp;"""&amp;IFERROR(REGEXEXTRACT($N73,""^[^｜]+""),""""),
       IFERROR(REGEXEXTRACT($N73,""^[^｜]+""),"""")&amp;""_""&amp;IFERROR(REGEXEXTRACT($M73,""^[^｜]+""),"""")
      )
     ),
     sy_mst!$A:$A,
     sy_mst!$J:$J
    ),
    0
   )
  )
  *
  IFERROR(XLOOKUP(REGEXEXTR"&amp;"ACT($I73,""^[^｜]+""),ms_mst!$A:$A,ms_mst!$R:$R),1)
  *
  IF(
   $B73&gt;=IFERROR(XLOOKUP(REGEXEXTRACT($L73,""^[^｜]+""),sk_mst!$A:$A,sk_mst!$M:$M),999),
   IFERROR(XLOOKUP(REGEXEXTRACT($L73,""^[^｜]+""),sk_mst!$A:$A,sk_mst!$L:$L),1),
   1
  )
 )
)"),39.6)</f>
        <v>39.6</v>
      </c>
      <c r="V73" s="25">
        <f t="shared" si="1"/>
        <v>731223</v>
      </c>
      <c r="W73" s="25">
        <f t="shared" si="2"/>
        <v>153450</v>
      </c>
      <c r="X73" s="25">
        <f t="shared" si="3"/>
        <v>577773</v>
      </c>
      <c r="Y73" s="25">
        <f t="shared" si="4"/>
        <v>4.77</v>
      </c>
      <c r="Z73" s="25">
        <f>IFERROR(__xludf.DUMMYFUNCTION("IF($A73="""","""",
 IF($F73&lt;&gt;""player"","""",
  IFERROR(
   RANK(
    $X73,
    FILTER($X:$X,$B:$B=$B73,$F:$F=""player"",$X:$X&lt;&gt;""""),
    0
   ),
   """"
  )
 )
)"),6.0)</f>
        <v>6</v>
      </c>
      <c r="AA73" s="25" t="str">
        <f t="shared" si="5"/>
        <v>6位</v>
      </c>
      <c r="AB73" s="26">
        <f t="shared" si="6"/>
        <v>13.31974323</v>
      </c>
    </row>
    <row r="74">
      <c r="A74" s="25" t="s">
        <v>247</v>
      </c>
      <c r="B74" s="14">
        <v>5.0</v>
      </c>
      <c r="C74" s="14" t="s">
        <v>171</v>
      </c>
      <c r="D74" s="14" t="s">
        <v>172</v>
      </c>
      <c r="E74" s="25" t="s">
        <v>153</v>
      </c>
      <c r="F74" s="25" t="s">
        <v>154</v>
      </c>
      <c r="I74" s="25" t="str">
        <f>IFERROR(__xludf.DUMMYFUNCTION("IF($F74&lt;&gt;""player"","""",IFERROR(INDEX(FILTER(group_setup!$D$2:$D947,group_setup!$B$2:$B947=$C74,group_setup!$G$2:$G947=TRUE,group_setup!$H$2:$H947=""completed""),1),""""))"),"M03")</f>
        <v>M03</v>
      </c>
      <c r="J74" s="25" t="str">
        <f>IFERROR(__xludf.DUMMYFUNCTION("IFERROR(FILTER(market_event_log!$D$2:$D947,market_event_log!$C$2:$C947=$B74,market_event_log!$N$2:$N947=""active""),"""")"),"T04")</f>
        <v>T04</v>
      </c>
      <c r="K74" s="25" t="str">
        <f>IFERROR(__xludf.DUMMYFUNCTION("IFERROR(FILTER(market_event_log!$G$2:$G947,market_event_log!$C$2:$C947=$B74,market_event_log!$N$2:$N947=""active""),"""")"),"C04")</f>
        <v>C04</v>
      </c>
      <c r="L74" s="25" t="str">
        <f>IFERROR(__xludf.DUMMYFUNCTION("IF($F74&lt;&gt;""player"","""",IFERROR(INDEX(FILTER(group_setup!$E$2:$E947,group_setup!$B$2:$B947=$C74,group_setup!$G$2:$G947=TRUE,group_setup!$H$2:$H947=""completed""),1),""""))"),"S03")</f>
        <v>S03</v>
      </c>
      <c r="M74" s="25" t="str">
        <f>IFERROR(__xludf.DUMMYFUNCTION("IF($F74=""market"","""",IF($E74=""HUMAN"",IFERROR(FILTER(turn_log!$G$2:$G947,turn_log!$C$2:$C947=$B74,turn_log!$D$2:$D947=$C74,turn_log!$F$2:$F947=$E74),""""),IFERROR(FILTER(turn_log!$I$2:$I947,turn_log!$C$2:$C947=$B74,turn_log!$D$2:$D947=$C74,turn_log!$F"&amp;"$2:$F947=$E74),"""")))"),"A00")</f>
        <v>A00</v>
      </c>
      <c r="N74" s="25" t="str">
        <f>IFERROR(__xludf.DUMMYFUNCTION("IF($F74=""market"","""",IF($E74=""HUMAN"",IFERROR(FILTER(turn_log!$H$2:$H947,turn_log!$C$2:$C947=$B74,turn_log!$D$2:$D947=$C74,turn_log!$F$2:$F947=$E74),""""),IFERROR(FILTER(turn_log!$J$2:$J947,turn_log!$C$2:$C947=$B74,turn_log!$D$2:$D947=$C74,turn_log!$F"&amp;"$2:$F947=$E74),"""")))"),"A00")</f>
        <v>A00</v>
      </c>
      <c r="O74" s="25">
        <f>IFERROR(__xludf.DUMMYFUNCTION("IF($A74="""","""",
 IF($F74=""market"",
  IFERROR(XLOOKUP(REGEXEXTRACT($J74,""^[^｜]+""),tr_mst!$A:$A,tr_mst!$D:$D),0)
  +IFERROR(XLOOKUP(REGEXEXTRACT($K74,""^[^｜]+""),tc_mst!$A:$A,tc_mst!$D:$D),0),
  IF($B74=0,
   IFERROR(XLOOKUP(REGEXEXTRACT($I74,""^[^｜]"&amp;"+""),ms_mst!$A:$A,ms_mst!$D:$D),0),
   IFERROR(XLOOKUP(""T""&amp;($B74-1)&amp;""_""&amp;$D74,$A:$A,$O:$O),0)
  )
  +IFERROR(XLOOKUP(REGEXEXTRACT($J74,""^[^｜]+""),tr_mst!$A:$A,tr_mst!$D:$D),0)
  +IFERROR(XLOOKUP(REGEXEXTRACT($K74,""^[^｜]+""),tc_mst!$A:$A,tc_mst!$D:$D)"&amp;",0)
  +
  (
   IFERROR(XLOOKUP(REGEXEXTRACT($M74,""^[^｜]+""),ac_mst!$A:$A,ac_mst!$G:$G),0)
   +IFERROR(XLOOKUP(REGEXEXTRACT($N74,""^[^｜]+""),ac_mst!$A:$A,ac_mst!$G:$G),0)
   +IFERROR(
    XLOOKUP(
     IF(
      OR(
       IFERROR(REGEXEXTRACT($M74,""^[^｜"&amp;"]+""),"""")="""",
       IFERROR(REGEXEXTRACT($N74,""^[^｜]+""),"""")=""""
      ),
      """",
      IF(
       IFERROR(REGEXEXTRACT($M74,""^[^｜]+""),"""")&lt;IFERROR(REGEXEXTRACT($N74,""^[^｜]+""),""""),
       IFERROR(REGEXEXTRACT($M74,""^[^｜]+""),"""")&amp;""_"&amp;"""&amp;IFERROR(REGEXEXTRACT($N74,""^[^｜]+""),""""),
       IFERROR(REGEXEXTRACT($N74,""^[^｜]+""),"""")&amp;""_""&amp;IFERROR(REGEXEXTRACT($M74,""^[^｜]+""),"""")
      )
     ),
     sy_mst!$A:$A,
     sy_mst!$D:$D
    ),
    0
   )
  )
  *
  IFERROR(XLOOKUP(REGEXEXTR"&amp;"ACT($I74,""^[^｜]+""),ms_mst!$A:$A,ms_mst!$L:$L),1)
  *
  IF(
   $B74&gt;=IFERROR(XLOOKUP(REGEXEXTRACT($L74,""^[^｜]+""),sk_mst!$A:$A,sk_mst!$M:$M),999),
   IFERROR(XLOOKUP(REGEXEXTRACT($L74,""^[^｜]+""),sk_mst!$A:$A,sk_mst!$F:$F),1),
   1
  )
 )
)"),13425.0)</f>
        <v>13425</v>
      </c>
      <c r="P74" s="25">
        <f>IFERROR(__xludf.DUMMYFUNCTION("IF($A74="""","""",
 IF($F74=""market"",
  IFERROR(XLOOKUP(REGEXEXTRACT($J74,""^[^｜]+""),tr_mst!$A:$A,tr_mst!$E:$E),0)
  +IFERROR(XLOOKUP(REGEXEXTRACT($K74,""^[^｜]+""),tc_mst!$A:$A,tc_mst!$E:$E),0),
  IF($B74=0,
   IFERROR(XLOOKUP(REGEXEXTRACT($I74,""^[^｜]"&amp;"+""),ms_mst!$A:$A,ms_mst!$E:$E),0),
   IFERROR(XLOOKUP(""T""&amp;($B74-1)&amp;""_""&amp;$D74,$A:$A,$P:$P),0)
  )
  +IFERROR(XLOOKUP(REGEXEXTRACT($J74,""^[^｜]+""),tr_mst!$A:$A,tr_mst!$E:$E),0)
  +IFERROR(XLOOKUP(REGEXEXTRACT($K74,""^[^｜]+""),tc_mst!$A:$A,tc_mst!$E:$E)"&amp;",0)
  +
  (
   IFERROR(XLOOKUP(REGEXEXTRACT($M74,""^[^｜]+""),ac_mst!$A:$A,ac_mst!$H:$H),0)
   +IFERROR(XLOOKUP(REGEXEXTRACT($N74,""^[^｜]+""),ac_mst!$A:$A,ac_mst!$H:$H),0)
   +IFERROR(
    XLOOKUP(
     IF(
      OR(
       IFERROR(REGEXEXTRACT($M74,""^[^｜"&amp;"]+""),"""")="""",
       IFERROR(REGEXEXTRACT($N74,""^[^｜]+""),"""")=""""
      ),
      """",
      IF(
       IFERROR(REGEXEXTRACT($M74,""^[^｜]+""),"""")&lt;IFERROR(REGEXEXTRACT($N74,""^[^｜]+""),""""),
       IFERROR(REGEXEXTRACT($M74,""^[^｜]+""),"""")&amp;""_"&amp;"""&amp;IFERROR(REGEXEXTRACT($N74,""^[^｜]+""),""""),
       IFERROR(REGEXEXTRACT($N74,""^[^｜]+""),"""")&amp;""_""&amp;IFERROR(REGEXEXTRACT($M74,""^[^｜]+""),"""")
      )
     ),
     sy_mst!$A:$A,
     sy_mst!$E:$E
    ),
    0
   )
  )
  *
  IFERROR(XLOOKUP(REGEXEXTR"&amp;"ACT($I74,""^[^｜]+""),ms_mst!$A:$A,ms_mst!$M:$M),1)
  *
  IF(
   $B74&gt;=IFERROR(XLOOKUP(REGEXEXTRACT($L74,""^[^｜]+""),sk_mst!$A:$A,sk_mst!$M:$M),999),
   IFERROR(XLOOKUP(REGEXEXTRACT($L74,""^[^｜]+""),sk_mst!$A:$A,sk_mst!$G:$G),1),
   1
  )
 )
)"),1440.0)</f>
        <v>1440</v>
      </c>
      <c r="Q74" s="25">
        <f>IFERROR(__xludf.DUMMYFUNCTION("IF($A74="""","""",
 IF($F74=""market"",
  IFERROR(XLOOKUP(REGEXEXTRACT($J74,""^[^｜]+""),tr_mst!$A:$A,tr_mst!$F:$F),0)
  +IFERROR(XLOOKUP(REGEXEXTRACT($K74,""^[^｜]+""),tc_mst!$A:$A,tc_mst!$F:$F),0),
  IF($B74=0,
   IFERROR(XLOOKUP(REGEXEXTRACT($I74,""^[^｜]"&amp;"+""),ms_mst!$A:$A,ms_mst!$F:$F),0),
   IFERROR(XLOOKUP(""T""&amp;($B74-1)&amp;""_""&amp;$D74,$A:$A,$Q:$Q),0)
  )
  +IFERROR(XLOOKUP(REGEXEXTRACT($J74,""^[^｜]+""),tr_mst!$A:$A,tr_mst!$F:$F),0)
  +IFERROR(XLOOKUP(REGEXEXTRACT($K74,""^[^｜]+""),tc_mst!$A:$A,tc_mst!$F:$F)"&amp;",0)
  +
  (
   IFERROR(XLOOKUP(REGEXEXTRACT($M74,""^[^｜]+""),ac_mst!$A:$A,ac_mst!$I:$I),0)
   +IFERROR(XLOOKUP(REGEXEXTRACT($N74,""^[^｜]+""),ac_mst!$A:$A,ac_mst!$I:$I),0)
   +IFERROR(
    XLOOKUP(
     IF(
      OR(
       IFERROR(REGEXEXTRACT($M74,""^[^｜"&amp;"]+""),"""")="""",
       IFERROR(REGEXEXTRACT($N74,""^[^｜]+""),"""")=""""
      ),
      """",
      IF(
       IFERROR(REGEXEXTRACT($M74,""^[^｜]+""),"""")&lt;IFERROR(REGEXEXTRACT($N74,""^[^｜]+""),""""),
       IFERROR(REGEXEXTRACT($M74,""^[^｜]+""),"""")&amp;""_"&amp;"""&amp;IFERROR(REGEXEXTRACT($N74,""^[^｜]+""),""""),
       IFERROR(REGEXEXTRACT($N74,""^[^｜]+""),"""")&amp;""_""&amp;IFERROR(REGEXEXTRACT($M74,""^[^｜]+""),"""")
      )
     ),
     sy_mst!$A:$A,
     sy_mst!$F:$F
    ),
    0
   )
  )
  *
  IFERROR(XLOOKUP(REGEXEXTR"&amp;"ACT($I74,""^[^｜]+""),ms_mst!$A:$A,ms_mst!$N:$N),1)
  *
  IF(
   $B74&gt;=IFERROR(XLOOKUP(REGEXEXTRACT($L74,""^[^｜]+""),sk_mst!$A:$A,sk_mst!$M:$M),999),
   IFERROR(XLOOKUP(REGEXEXTRACT($L74,""^[^｜]+""),sk_mst!$A:$A,sk_mst!$H:$H),1),
   1
  )
 )
)"),0.49000000000000005)</f>
        <v>0.49</v>
      </c>
      <c r="R74" s="25">
        <f>IFERROR(__xludf.DUMMYFUNCTION("IF($A74="""","""",
 IF($F74=""market"",
  IFERROR(XLOOKUP(REGEXEXTRACT($J74,""^[^｜]+""),tr_mst!$A:$A,tr_mst!$G:$G),0)
  +IFERROR(XLOOKUP(REGEXEXTRACT($K74,""^[^｜]+""),tc_mst!$A:$A,tc_mst!$G:$G),0),
  IF($B74=0,
   IFERROR(XLOOKUP(REGEXEXTRACT($I74,""^[^｜]"&amp;"+""),ms_mst!$A:$A,ms_mst!$G:$G),0),
   IFERROR(XLOOKUP(""T""&amp;($B74-1)&amp;""_""&amp;$D74,$A:$A,$R:$R),0)
  )
  +IFERROR(XLOOKUP(REGEXEXTRACT($J74,""^[^｜]+""),tr_mst!$A:$A,tr_mst!$G:$G),0)
  +IFERROR(XLOOKUP(REGEXEXTRACT($K74,""^[^｜]+""),tc_mst!$A:$A,tc_mst!$G:$G)"&amp;",0)
  +
  (
   IFERROR(XLOOKUP(REGEXEXTRACT($M74,""^[^｜]+""),ac_mst!$A:$A,ac_mst!$J:$J),0)
   +IFERROR(XLOOKUP(REGEXEXTRACT($N74,""^[^｜]+""),ac_mst!$A:$A,ac_mst!$J:$J),0)
   +IFERROR(
    XLOOKUP(
     IF(
      OR(
       IFERROR(REGEXEXTRACT($M74,""^[^｜"&amp;"]+""),"""")="""",
       IFERROR(REGEXEXTRACT($N74,""^[^｜]+""),"""")=""""
      ),
      """",
      IF(
       IFERROR(REGEXEXTRACT($M74,""^[^｜]+""),"""")&lt;IFERROR(REGEXEXTRACT($N74,""^[^｜]+""),""""),
       IFERROR(REGEXEXTRACT($M74,""^[^｜]+""),"""")&amp;""_"&amp;"""&amp;IFERROR(REGEXEXTRACT($N74,""^[^｜]+""),""""),
       IFERROR(REGEXEXTRACT($N74,""^[^｜]+""),"""")&amp;""_""&amp;IFERROR(REGEXEXTRACT($M74,""^[^｜]+""),"""")
      )
     ),
     sy_mst!$A:$A,
     sy_mst!$G:$G
    ),
    0
   )
  )
  *
  IFERROR(XLOOKUP(REGEXEXTR"&amp;"ACT($I74,""^[^｜]+""),ms_mst!$A:$A,ms_mst!$O:$O),1)
  *
  IF(
   $B74&gt;=IFERROR(XLOOKUP(REGEXEXTRACT($L74,""^[^｜]+""),sk_mst!$A:$A,sk_mst!$M:$M),999),
   IFERROR(XLOOKUP(REGEXEXTRACT($L74,""^[^｜]+""),sk_mst!$A:$A,sk_mst!$I:$I),1),
   1
  )
 )
)"),1.86775)</f>
        <v>1.86775</v>
      </c>
      <c r="S74" s="25">
        <f>IFERROR(__xludf.DUMMYFUNCTION("IF($A74="""","""",
 IF($F74=""market"",
  IFERROR(XLOOKUP(REGEXEXTRACT($J74,""^[^｜]+""),tr_mst!$A:$A,tr_mst!$H:$H),0)
  +IFERROR(XLOOKUP(REGEXEXTRACT($K74,""^[^｜]+""),tc_mst!$A:$A,tc_mst!$H:$H),0),
  IF($B74=0,
   IFERROR(XLOOKUP(REGEXEXTRACT($I74,""^[^｜]"&amp;"+""),ms_mst!$A:$A,ms_mst!$H:$H),0),
   IFERROR(XLOOKUP(""T""&amp;($B74-1)&amp;""_""&amp;$D74,$A:$A,$S:$S),0)
  )
  +IFERROR(XLOOKUP(REGEXEXTRACT($J74,""^[^｜]+""),tr_mst!$A:$A,tr_mst!$H:$H),0)
  +IFERROR(XLOOKUP(REGEXEXTRACT($K74,""^[^｜]+""),tc_mst!$A:$A,tc_mst!$H:$H)"&amp;",0)
  +
  (
   IFERROR(XLOOKUP(REGEXEXTRACT($M74,""^[^｜]+""),ac_mst!$A:$A,ac_mst!$K:$K),0)
   +IFERROR(XLOOKUP(REGEXEXTRACT($N74,""^[^｜]+""),ac_mst!$A:$A,ac_mst!$K:$K),0)
   +IFERROR(
    XLOOKUP(
     IF(
      OR(
       IFERROR(REGEXEXTRACT($M74,""^[^｜"&amp;"]+""),"""")="""",
       IFERROR(REGEXEXTRACT($N74,""^[^｜]+""),"""")=""""
      ),
      """",
      IF(
       IFERROR(REGEXEXTRACT($M74,""^[^｜]+""),"""")&lt;IFERROR(REGEXEXTRACT($N74,""^[^｜]+""),""""),
       IFERROR(REGEXEXTRACT($M74,""^[^｜]+""),"""")&amp;""_"&amp;"""&amp;IFERROR(REGEXEXTRACT($N74,""^[^｜]+""),""""),
       IFERROR(REGEXEXTRACT($N74,""^[^｜]+""),"""")&amp;""_""&amp;IFERROR(REGEXEXTRACT($M74,""^[^｜]+""),"""")
      )
     ),
     sy_mst!$A:$A,
     sy_mst!$H:$H
    ),
    0
   )
  )
  *
  IFERROR(XLOOKUP(REGEXEXTR"&amp;"ACT($I74,""^[^｜]+""),ms_mst!$A:$A,ms_mst!$P:$P),1)
  *
  IF(
   $B74&gt;=IFERROR(XLOOKUP(REGEXEXTRACT($L74,""^[^｜]+""),sk_mst!$A:$A,sk_mst!$M:$M),999),
   IFERROR(XLOOKUP(REGEXEXTRACT($L74,""^[^｜]+""),sk_mst!$A:$A,sk_mst!$J:$J),1),
   1
  )
 )
)"),0.015200000000000002)</f>
        <v>0.0152</v>
      </c>
      <c r="T74" s="25">
        <f>IFERROR(__xludf.DUMMYFUNCTION("IF($A74="""","""",
 IF($F74=""market"",
  IFERROR(XLOOKUP(REGEXEXTRACT($J74,""^[^｜]+""),tr_mst!$A:$A,tr_mst!$I:$I),0)
  +IFERROR(XLOOKUP(REGEXEXTRACT($K74,""^[^｜]+""),tc_mst!$A:$A,tc_mst!$I:$I),0),
  IF($B74=0,
   IFERROR(XLOOKUP(REGEXEXTRACT($I74,""^[^｜]"&amp;"+""),ms_mst!$A:$A,ms_mst!$I:$I),0),
   IFERROR(XLOOKUP(""T""&amp;($B74-1)&amp;""_""&amp;$D74,$A:$A,$T:$T),0)
  )
  +IFERROR(XLOOKUP(REGEXEXTRACT($J74,""^[^｜]+""),tr_mst!$A:$A,tr_mst!$I:$I),0)
  +IFERROR(XLOOKUP(REGEXEXTRACT($K74,""^[^｜]+""),tc_mst!$A:$A,tc_mst!$I:$I)"&amp;",0)
  +
  (
   IFERROR(XLOOKUP(REGEXEXTRACT($M74,""^[^｜]+""),ac_mst!$A:$A,ac_mst!$L:$L),0)
   +IFERROR(XLOOKUP(REGEXEXTRACT($N74,""^[^｜]+""),ac_mst!$A:$A,ac_mst!$L:$L),0)
   +IFERROR(
    XLOOKUP(
     IF(
      OR(
       IFERROR(REGEXEXTRACT($M74,""^[^｜"&amp;"]+""),"""")="""",
       IFERROR(REGEXEXTRACT($N74,""^[^｜]+""),"""")=""""
      ),
      """",
      IF(
       IFERROR(REGEXEXTRACT($M74,""^[^｜]+""),"""")&lt;IFERROR(REGEXEXTRACT($N74,""^[^｜]+""),""""),
       IFERROR(REGEXEXTRACT($M74,""^[^｜]+""),"""")&amp;""_"&amp;"""&amp;IFERROR(REGEXEXTRACT($N74,""^[^｜]+""),""""),
       IFERROR(REGEXEXTRACT($N74,""^[^｜]+""),"""")&amp;""_""&amp;IFERROR(REGEXEXTRACT($M74,""^[^｜]+""),"""")
      )
     ),
     sy_mst!$A:$A,
     sy_mst!$I:$I
    ),
    0
   )
  )
  *
  IFERROR(XLOOKUP(REGEXEXTR"&amp;"ACT($I74,""^[^｜]+""),ms_mst!$A:$A,ms_mst!$Q:$Q),1)
  *
  IF(
   $B74&gt;=IFERROR(XLOOKUP(REGEXEXTRACT($L74,""^[^｜]+""),sk_mst!$A:$A,sk_mst!$M:$M),999),
   IFERROR(XLOOKUP(REGEXEXTRACT($L74,""^[^｜]+""),sk_mst!$A:$A,sk_mst!$K:$K),1),
   1
  )
 )
)"),4800.0)</f>
        <v>4800</v>
      </c>
      <c r="U74" s="25">
        <f>IFERROR(__xludf.DUMMYFUNCTION("IF($A74="""","""",
 IF($F74=""market"",
  IFERROR(XLOOKUP(REGEXEXTRACT($J74,""^[^｜]+""),tr_mst!$A:$A,tr_mst!$J:$J),0)
  +IFERROR(XLOOKUP(REGEXEXTRACT($K74,""^[^｜]+""),tc_mst!$A:$A,tc_mst!$J:$J),0),
  IF($B74=0,
   IFERROR(XLOOKUP(REGEXEXTRACT($I74,""^[^｜]"&amp;"+""),ms_mst!$A:$A,ms_mst!$J:$J),0),
   IFERROR(XLOOKUP(""T""&amp;($B74-1)&amp;""_""&amp;$D74,$A:$A,$U:$U),0)
  )
  +IFERROR(XLOOKUP(REGEXEXTRACT($J74,""^[^｜]+""),tr_mst!$A:$A,tr_mst!$J:$J),0)
  +IFERROR(XLOOKUP(REGEXEXTRACT($K74,""^[^｜]+""),tc_mst!$A:$A,tc_mst!$J:$J)"&amp;",0)
  +
  (
   IFERROR(XLOOKUP(REGEXEXTRACT($M74,""^[^｜]+""),ac_mst!$A:$A,ac_mst!$M:$M),0)
   +IFERROR(XLOOKUP(REGEXEXTRACT($N74,""^[^｜]+""),ac_mst!$A:$A,ac_mst!$M:$M),0)
   +IFERROR(
    XLOOKUP(
     IF(
      OR(
       IFERROR(REGEXEXTRACT($M74,""^[^｜"&amp;"]+""),"""")="""",
       IFERROR(REGEXEXTRACT($N74,""^[^｜]+""),"""")=""""
      ),
      """",
      IF(
       IFERROR(REGEXEXTRACT($M74,""^[^｜]+""),"""")&lt;IFERROR(REGEXEXTRACT($N74,""^[^｜]+""),""""),
       IFERROR(REGEXEXTRACT($M74,""^[^｜]+""),"""")&amp;""_"&amp;"""&amp;IFERROR(REGEXEXTRACT($N74,""^[^｜]+""),""""),
       IFERROR(REGEXEXTRACT($N74,""^[^｜]+""),"""")&amp;""_""&amp;IFERROR(REGEXEXTRACT($M74,""^[^｜]+""),"""")
      )
     ),
     sy_mst!$A:$A,
     sy_mst!$J:$J
    ),
    0
   )
  )
  *
  IFERROR(XLOOKUP(REGEXEXTR"&amp;"ACT($I74,""^[^｜]+""),ms_mst!$A:$A,ms_mst!$R:$R),1)
  *
  IF(
   $B74&gt;=IFERROR(XLOOKUP(REGEXEXTRACT($L74,""^[^｜]+""),sk_mst!$A:$A,sk_mst!$M:$M),999),
   IFERROR(XLOOKUP(REGEXEXTRACT($L74,""^[^｜]+""),sk_mst!$A:$A,sk_mst!$L:$L),1),
   1
  )
 )
)"),45.0)</f>
        <v>45</v>
      </c>
      <c r="V74" s="25">
        <f t="shared" si="1"/>
        <v>1033091</v>
      </c>
      <c r="W74" s="25">
        <f t="shared" si="2"/>
        <v>64800</v>
      </c>
      <c r="X74" s="25">
        <f t="shared" si="3"/>
        <v>968291</v>
      </c>
      <c r="Y74" s="25">
        <f t="shared" si="4"/>
        <v>15.94</v>
      </c>
      <c r="Z74" s="25">
        <f>IFERROR(__xludf.DUMMYFUNCTION("IF($A74="""","""",
 IF($F74&lt;&gt;""player"","""",
  IFERROR(
   RANK(
    $X74,
    FILTER($X:$X,$B:$B=$B74,$F:$F=""player"",$X:$X&lt;&gt;""""),
    0
   ),
   """"
  )
 )
)"),3.0)</f>
        <v>3</v>
      </c>
      <c r="AA74" s="25" t="str">
        <f t="shared" si="5"/>
        <v>3位</v>
      </c>
      <c r="AB74" s="26">
        <f t="shared" si="6"/>
        <v>1.966577819</v>
      </c>
    </row>
    <row r="75">
      <c r="A75" s="25" t="s">
        <v>248</v>
      </c>
      <c r="B75" s="14">
        <v>5.0</v>
      </c>
      <c r="C75" s="14" t="s">
        <v>174</v>
      </c>
      <c r="D75" s="14" t="s">
        <v>175</v>
      </c>
      <c r="E75" s="25" t="s">
        <v>153</v>
      </c>
      <c r="F75" s="25" t="s">
        <v>154</v>
      </c>
      <c r="I75" s="25" t="str">
        <f>IFERROR(__xludf.DUMMYFUNCTION("IF($F75&lt;&gt;""player"","""",IFERROR(INDEX(FILTER(group_setup!$D$2:$D947,group_setup!$B$2:$B947=$C75,group_setup!$G$2:$G947=TRUE,group_setup!$H$2:$H947=""completed""),1),""""))"),"")</f>
        <v/>
      </c>
      <c r="J75" s="25" t="str">
        <f>IFERROR(__xludf.DUMMYFUNCTION("IFERROR(FILTER(market_event_log!$D$2:$D947,market_event_log!$C$2:$C947=$B75,market_event_log!$N$2:$N947=""active""),"""")"),"T04")</f>
        <v>T04</v>
      </c>
      <c r="K75" s="25" t="str">
        <f>IFERROR(__xludf.DUMMYFUNCTION("IFERROR(FILTER(market_event_log!$G$2:$G947,market_event_log!$C$2:$C947=$B75,market_event_log!$N$2:$N947=""active""),"""")"),"C04")</f>
        <v>C04</v>
      </c>
      <c r="L75" s="25" t="str">
        <f>IFERROR(__xludf.DUMMYFUNCTION("IF($F75&lt;&gt;""player"","""",IFERROR(INDEX(FILTER(group_setup!$E$2:$E947,group_setup!$B$2:$B947=$C75,group_setup!$G$2:$G947=TRUE,group_setup!$H$2:$H947=""completed""),1),""""))"),"")</f>
        <v/>
      </c>
      <c r="M75" s="25" t="str">
        <f>IFERROR(__xludf.DUMMYFUNCTION("IF($F75=""market"","""",IF($E75=""HUMAN"",IFERROR(FILTER(turn_log!$G$2:$G947,turn_log!$C$2:$C947=$B75,turn_log!$D$2:$D947=$C75,turn_log!$F$2:$F947=$E75),""""),IFERROR(FILTER(turn_log!$I$2:$I947,turn_log!$C$2:$C947=$B75,turn_log!$D$2:$D947=$C75,turn_log!$F"&amp;"$2:$F947=$E75),"""")))"),"")</f>
        <v/>
      </c>
      <c r="N75" s="25" t="str">
        <f>IFERROR(__xludf.DUMMYFUNCTION("IF($F75=""market"","""",IF($E75=""HUMAN"",IFERROR(FILTER(turn_log!$H$2:$H947,turn_log!$C$2:$C947=$B75,turn_log!$D$2:$D947=$C75,turn_log!$F$2:$F947=$E75),""""),IFERROR(FILTER(turn_log!$J$2:$J947,turn_log!$C$2:$C947=$B75,turn_log!$D$2:$D947=$C75,turn_log!$F"&amp;"$2:$F947=$E75),"""")))"),"")</f>
        <v/>
      </c>
      <c r="O75" s="25">
        <f>IFERROR(__xludf.DUMMYFUNCTION("IF($A75="""","""",
 IF($F75=""market"",
  IFERROR(XLOOKUP(REGEXEXTRACT($J75,""^[^｜]+""),tr_mst!$A:$A,tr_mst!$D:$D),0)
  +IFERROR(XLOOKUP(REGEXEXTRACT($K75,""^[^｜]+""),tc_mst!$A:$A,tc_mst!$D:$D),0),
  IF($B75=0,
   IFERROR(XLOOKUP(REGEXEXTRACT($I75,""^[^｜]"&amp;"+""),ms_mst!$A:$A,ms_mst!$D:$D),0),
   IFERROR(XLOOKUP(""T""&amp;($B75-1)&amp;""_""&amp;$D75,$A:$A,$O:$O),0)
  )
  +IFERROR(XLOOKUP(REGEXEXTRACT($J75,""^[^｜]+""),tr_mst!$A:$A,tr_mst!$D:$D),0)
  +IFERROR(XLOOKUP(REGEXEXTRACT($K75,""^[^｜]+""),tc_mst!$A:$A,tc_mst!$D:$D)"&amp;",0)
  +
  (
   IFERROR(XLOOKUP(REGEXEXTRACT($M75,""^[^｜]+""),ac_mst!$A:$A,ac_mst!$G:$G),0)
   +IFERROR(XLOOKUP(REGEXEXTRACT($N75,""^[^｜]+""),ac_mst!$A:$A,ac_mst!$G:$G),0)
   +IFERROR(
    XLOOKUP(
     IF(
      OR(
       IFERROR(REGEXEXTRACT($M75,""^[^｜"&amp;"]+""),"""")="""",
       IFERROR(REGEXEXTRACT($N75,""^[^｜]+""),"""")=""""
      ),
      """",
      IF(
       IFERROR(REGEXEXTRACT($M75,""^[^｜]+""),"""")&lt;IFERROR(REGEXEXTRACT($N75,""^[^｜]+""),""""),
       IFERROR(REGEXEXTRACT($M75,""^[^｜]+""),"""")&amp;""_"&amp;"""&amp;IFERROR(REGEXEXTRACT($N75,""^[^｜]+""),""""),
       IFERROR(REGEXEXTRACT($N75,""^[^｜]+""),"""")&amp;""_""&amp;IFERROR(REGEXEXTRACT($M75,""^[^｜]+""),"""")
      )
     ),
     sy_mst!$A:$A,
     sy_mst!$D:$D
    ),
    0
   )
  )
  *
  IFERROR(XLOOKUP(REGEXEXTR"&amp;"ACT($I75,""^[^｜]+""),ms_mst!$A:$A,ms_mst!$L:$L),1)
  *
  IF(
   $B75&gt;=IFERROR(XLOOKUP(REGEXEXTRACT($L75,""^[^｜]+""),sk_mst!$A:$A,sk_mst!$M:$M),999),
   IFERROR(XLOOKUP(REGEXEXTRACT($L75,""^[^｜]+""),sk_mst!$A:$A,sk_mst!$F:$F),1),
   1
  )
 )
)"),3200.0)</f>
        <v>3200</v>
      </c>
      <c r="P75" s="25">
        <f>IFERROR(__xludf.DUMMYFUNCTION("IF($A75="""","""",
 IF($F75=""market"",
  IFERROR(XLOOKUP(REGEXEXTRACT($J75,""^[^｜]+""),tr_mst!$A:$A,tr_mst!$E:$E),0)
  +IFERROR(XLOOKUP(REGEXEXTRACT($K75,""^[^｜]+""),tc_mst!$A:$A,tc_mst!$E:$E),0),
  IF($B75=0,
   IFERROR(XLOOKUP(REGEXEXTRACT($I75,""^[^｜]"&amp;"+""),ms_mst!$A:$A,ms_mst!$E:$E),0),
   IFERROR(XLOOKUP(""T""&amp;($B75-1)&amp;""_""&amp;$D75,$A:$A,$P:$P),0)
  )
  +IFERROR(XLOOKUP(REGEXEXTRACT($J75,""^[^｜]+""),tr_mst!$A:$A,tr_mst!$E:$E),0)
  +IFERROR(XLOOKUP(REGEXEXTRACT($K75,""^[^｜]+""),tc_mst!$A:$A,tc_mst!$E:$E)"&amp;",0)
  +
  (
   IFERROR(XLOOKUP(REGEXEXTRACT($M75,""^[^｜]+""),ac_mst!$A:$A,ac_mst!$H:$H),0)
   +IFERROR(XLOOKUP(REGEXEXTRACT($N75,""^[^｜]+""),ac_mst!$A:$A,ac_mst!$H:$H),0)
   +IFERROR(
    XLOOKUP(
     IF(
      OR(
       IFERROR(REGEXEXTRACT($M75,""^[^｜"&amp;"]+""),"""")="""",
       IFERROR(REGEXEXTRACT($N75,""^[^｜]+""),"""")=""""
      ),
      """",
      IF(
       IFERROR(REGEXEXTRACT($M75,""^[^｜]+""),"""")&lt;IFERROR(REGEXEXTRACT($N75,""^[^｜]+""),""""),
       IFERROR(REGEXEXTRACT($M75,""^[^｜]+""),"""")&amp;""_"&amp;"""&amp;IFERROR(REGEXEXTRACT($N75,""^[^｜]+""),""""),
       IFERROR(REGEXEXTRACT($N75,""^[^｜]+""),"""")&amp;""_""&amp;IFERROR(REGEXEXTRACT($M75,""^[^｜]+""),"""")
      )
     ),
     sy_mst!$A:$A,
     sy_mst!$E:$E
    ),
    0
   )
  )
  *
  IFERROR(XLOOKUP(REGEXEXTR"&amp;"ACT($I75,""^[^｜]+""),ms_mst!$A:$A,ms_mst!$M:$M),1)
  *
  IF(
   $B75&gt;=IFERROR(XLOOKUP(REGEXEXTRACT($L75,""^[^｜]+""),sk_mst!$A:$A,sk_mst!$M:$M),999),
   IFERROR(XLOOKUP(REGEXEXTRACT($L75,""^[^｜]+""),sk_mst!$A:$A,sk_mst!$G:$G),1),
   1
  )
 )
)"),-60.0)</f>
        <v>-60</v>
      </c>
      <c r="Q75" s="25">
        <f>IFERROR(__xludf.DUMMYFUNCTION("IF($A75="""","""",
 IF($F75=""market"",
  IFERROR(XLOOKUP(REGEXEXTRACT($J75,""^[^｜]+""),tr_mst!$A:$A,tr_mst!$F:$F),0)
  +IFERROR(XLOOKUP(REGEXEXTRACT($K75,""^[^｜]+""),tc_mst!$A:$A,tc_mst!$F:$F),0),
  IF($B75=0,
   IFERROR(XLOOKUP(REGEXEXTRACT($I75,""^[^｜]"&amp;"+""),ms_mst!$A:$A,ms_mst!$F:$F),0),
   IFERROR(XLOOKUP(""T""&amp;($B75-1)&amp;""_""&amp;$D75,$A:$A,$Q:$Q),0)
  )
  +IFERROR(XLOOKUP(REGEXEXTRACT($J75,""^[^｜]+""),tr_mst!$A:$A,tr_mst!$F:$F),0)
  +IFERROR(XLOOKUP(REGEXEXTRACT($K75,""^[^｜]+""),tc_mst!$A:$A,tc_mst!$F:$F)"&amp;",0)
  +
  (
   IFERROR(XLOOKUP(REGEXEXTRACT($M75,""^[^｜]+""),ac_mst!$A:$A,ac_mst!$I:$I),0)
   +IFERROR(XLOOKUP(REGEXEXTRACT($N75,""^[^｜]+""),ac_mst!$A:$A,ac_mst!$I:$I),0)
   +IFERROR(
    XLOOKUP(
     IF(
      OR(
       IFERROR(REGEXEXTRACT($M75,""^[^｜"&amp;"]+""),"""")="""",
       IFERROR(REGEXEXTRACT($N75,""^[^｜]+""),"""")=""""
      ),
      """",
      IF(
       IFERROR(REGEXEXTRACT($M75,""^[^｜]+""),"""")&lt;IFERROR(REGEXEXTRACT($N75,""^[^｜]+""),""""),
       IFERROR(REGEXEXTRACT($M75,""^[^｜]+""),"""")&amp;""_"&amp;"""&amp;IFERROR(REGEXEXTRACT($N75,""^[^｜]+""),""""),
       IFERROR(REGEXEXTRACT($N75,""^[^｜]+""),"""")&amp;""_""&amp;IFERROR(REGEXEXTRACT($M75,""^[^｜]+""),"""")
      )
     ),
     sy_mst!$A:$A,
     sy_mst!$F:$F
    ),
    0
   )
  )
  *
  IFERROR(XLOOKUP(REGEXEXTR"&amp;"ACT($I75,""^[^｜]+""),ms_mst!$A:$A,ms_mst!$N:$N),1)
  *
  IF(
   $B75&gt;=IFERROR(XLOOKUP(REGEXEXTRACT($L75,""^[^｜]+""),sk_mst!$A:$A,sk_mst!$M:$M),999),
   IFERROR(XLOOKUP(REGEXEXTRACT($L75,""^[^｜]+""),sk_mst!$A:$A,sk_mst!$H:$H),1),
   1
  )
 )
)"),0.04)</f>
        <v>0.04</v>
      </c>
      <c r="R75" s="25">
        <f>IFERROR(__xludf.DUMMYFUNCTION("IF($A75="""","""",
 IF($F75=""market"",
  IFERROR(XLOOKUP(REGEXEXTRACT($J75,""^[^｜]+""),tr_mst!$A:$A,tr_mst!$G:$G),0)
  +IFERROR(XLOOKUP(REGEXEXTRACT($K75,""^[^｜]+""),tc_mst!$A:$A,tc_mst!$G:$G),0),
  IF($B75=0,
   IFERROR(XLOOKUP(REGEXEXTRACT($I75,""^[^｜]"&amp;"+""),ms_mst!$A:$A,ms_mst!$G:$G),0),
   IFERROR(XLOOKUP(""T""&amp;($B75-1)&amp;""_""&amp;$D75,$A:$A,$R:$R),0)
  )
  +IFERROR(XLOOKUP(REGEXEXTRACT($J75,""^[^｜]+""),tr_mst!$A:$A,tr_mst!$G:$G),0)
  +IFERROR(XLOOKUP(REGEXEXTRACT($K75,""^[^｜]+""),tc_mst!$A:$A,tc_mst!$G:$G)"&amp;",0)
  +
  (
   IFERROR(XLOOKUP(REGEXEXTRACT($M75,""^[^｜]+""),ac_mst!$A:$A,ac_mst!$J:$J),0)
   +IFERROR(XLOOKUP(REGEXEXTRACT($N75,""^[^｜]+""),ac_mst!$A:$A,ac_mst!$J:$J),0)
   +IFERROR(
    XLOOKUP(
     IF(
      OR(
       IFERROR(REGEXEXTRACT($M75,""^[^｜"&amp;"]+""),"""")="""",
       IFERROR(REGEXEXTRACT($N75,""^[^｜]+""),"""")=""""
      ),
      """",
      IF(
       IFERROR(REGEXEXTRACT($M75,""^[^｜]+""),"""")&lt;IFERROR(REGEXEXTRACT($N75,""^[^｜]+""),""""),
       IFERROR(REGEXEXTRACT($M75,""^[^｜]+""),"""")&amp;""_"&amp;"""&amp;IFERROR(REGEXEXTRACT($N75,""^[^｜]+""),""""),
       IFERROR(REGEXEXTRACT($N75,""^[^｜]+""),"""")&amp;""_""&amp;IFERROR(REGEXEXTRACT($M75,""^[^｜]+""),"""")
      )
     ),
     sy_mst!$A:$A,
     sy_mst!$G:$G
    ),
    0
   )
  )
  *
  IFERROR(XLOOKUP(REGEXEXTR"&amp;"ACT($I75,""^[^｜]+""),ms_mst!$A:$A,ms_mst!$O:$O),1)
  *
  IF(
   $B75&gt;=IFERROR(XLOOKUP(REGEXEXTRACT($L75,""^[^｜]+""),sk_mst!$A:$A,sk_mst!$M:$M),999),
   IFERROR(XLOOKUP(REGEXEXTRACT($L75,""^[^｜]+""),sk_mst!$A:$A,sk_mst!$I:$I),1),
   1
  )
 )
)"),0.019999999999999997)</f>
        <v>0.02</v>
      </c>
      <c r="S75" s="25">
        <f>IFERROR(__xludf.DUMMYFUNCTION("IF($A75="""","""",
 IF($F75=""market"",
  IFERROR(XLOOKUP(REGEXEXTRACT($J75,""^[^｜]+""),tr_mst!$A:$A,tr_mst!$H:$H),0)
  +IFERROR(XLOOKUP(REGEXEXTRACT($K75,""^[^｜]+""),tc_mst!$A:$A,tc_mst!$H:$H),0),
  IF($B75=0,
   IFERROR(XLOOKUP(REGEXEXTRACT($I75,""^[^｜]"&amp;"+""),ms_mst!$A:$A,ms_mst!$H:$H),0),
   IFERROR(XLOOKUP(""T""&amp;($B75-1)&amp;""_""&amp;$D75,$A:$A,$S:$S),0)
  )
  +IFERROR(XLOOKUP(REGEXEXTRACT($J75,""^[^｜]+""),tr_mst!$A:$A,tr_mst!$H:$H),0)
  +IFERROR(XLOOKUP(REGEXEXTRACT($K75,""^[^｜]+""),tc_mst!$A:$A,tc_mst!$H:$H)"&amp;",0)
  +
  (
   IFERROR(XLOOKUP(REGEXEXTRACT($M75,""^[^｜]+""),ac_mst!$A:$A,ac_mst!$K:$K),0)
   +IFERROR(XLOOKUP(REGEXEXTRACT($N75,""^[^｜]+""),ac_mst!$A:$A,ac_mst!$K:$K),0)
   +IFERROR(
    XLOOKUP(
     IF(
      OR(
       IFERROR(REGEXEXTRACT($M75,""^[^｜"&amp;"]+""),"""")="""",
       IFERROR(REGEXEXTRACT($N75,""^[^｜]+""),"""")=""""
      ),
      """",
      IF(
       IFERROR(REGEXEXTRACT($M75,""^[^｜]+""),"""")&lt;IFERROR(REGEXEXTRACT($N75,""^[^｜]+""),""""),
       IFERROR(REGEXEXTRACT($M75,""^[^｜]+""),"""")&amp;""_"&amp;"""&amp;IFERROR(REGEXEXTRACT($N75,""^[^｜]+""),""""),
       IFERROR(REGEXEXTRACT($N75,""^[^｜]+""),"""")&amp;""_""&amp;IFERROR(REGEXEXTRACT($M75,""^[^｜]+""),"""")
      )
     ),
     sy_mst!$A:$A,
     sy_mst!$H:$H
    ),
    0
   )
  )
  *
  IFERROR(XLOOKUP(REGEXEXTR"&amp;"ACT($I75,""^[^｜]+""),ms_mst!$A:$A,ms_mst!$P:$P),1)
  *
  IF(
   $B75&gt;=IFERROR(XLOOKUP(REGEXEXTRACT($L75,""^[^｜]+""),sk_mst!$A:$A,sk_mst!$M:$M),999),
   IFERROR(XLOOKUP(REGEXEXTRACT($L75,""^[^｜]+""),sk_mst!$A:$A,sk_mst!$J:$J),1),
   1
  )
 )
)"),5.999999999999998E-4)</f>
        <v>0.0006</v>
      </c>
      <c r="T75" s="25">
        <f>IFERROR(__xludf.DUMMYFUNCTION("IF($A75="""","""",
 IF($F75=""market"",
  IFERROR(XLOOKUP(REGEXEXTRACT($J75,""^[^｜]+""),tr_mst!$A:$A,tr_mst!$I:$I),0)
  +IFERROR(XLOOKUP(REGEXEXTRACT($K75,""^[^｜]+""),tc_mst!$A:$A,tc_mst!$I:$I),0),
  IF($B75=0,
   IFERROR(XLOOKUP(REGEXEXTRACT($I75,""^[^｜]"&amp;"+""),ms_mst!$A:$A,ms_mst!$I:$I),0),
   IFERROR(XLOOKUP(""T""&amp;($B75-1)&amp;""_""&amp;$D75,$A:$A,$T:$T),0)
  )
  +IFERROR(XLOOKUP(REGEXEXTRACT($J75,""^[^｜]+""),tr_mst!$A:$A,tr_mst!$I:$I),0)
  +IFERROR(XLOOKUP(REGEXEXTRACT($K75,""^[^｜]+""),tc_mst!$A:$A,tc_mst!$I:$I)"&amp;",0)
  +
  (
   IFERROR(XLOOKUP(REGEXEXTRACT($M75,""^[^｜]+""),ac_mst!$A:$A,ac_mst!$L:$L),0)
   +IFERROR(XLOOKUP(REGEXEXTRACT($N75,""^[^｜]+""),ac_mst!$A:$A,ac_mst!$L:$L),0)
   +IFERROR(
    XLOOKUP(
     IF(
      OR(
       IFERROR(REGEXEXTRACT($M75,""^[^｜"&amp;"]+""),"""")="""",
       IFERROR(REGEXEXTRACT($N75,""^[^｜]+""),"""")=""""
      ),
      """",
      IF(
       IFERROR(REGEXEXTRACT($M75,""^[^｜]+""),"""")&lt;IFERROR(REGEXEXTRACT($N75,""^[^｜]+""),""""),
       IFERROR(REGEXEXTRACT($M75,""^[^｜]+""),"""")&amp;""_"&amp;"""&amp;IFERROR(REGEXEXTRACT($N75,""^[^｜]+""),""""),
       IFERROR(REGEXEXTRACT($N75,""^[^｜]+""),"""")&amp;""_""&amp;IFERROR(REGEXEXTRACT($M75,""^[^｜]+""),"""")
      )
     ),
     sy_mst!$A:$A,
     sy_mst!$I:$I
    ),
    0
   )
  )
  *
  IFERROR(XLOOKUP(REGEXEXTR"&amp;"ACT($I75,""^[^｜]+""),ms_mst!$A:$A,ms_mst!$Q:$Q),1)
  *
  IF(
   $B75&gt;=IFERROR(XLOOKUP(REGEXEXTRACT($L75,""^[^｜]+""),sk_mst!$A:$A,sk_mst!$M:$M),999),
   IFERROR(XLOOKUP(REGEXEXTRACT($L75,""^[^｜]+""),sk_mst!$A:$A,sk_mst!$K:$K),1),
   1
  )
 )
)"),400.0)</f>
        <v>400</v>
      </c>
      <c r="U75" s="25">
        <f>IFERROR(__xludf.DUMMYFUNCTION("IF($A75="""","""",
 IF($F75=""market"",
  IFERROR(XLOOKUP(REGEXEXTRACT($J75,""^[^｜]+""),tr_mst!$A:$A,tr_mst!$J:$J),0)
  +IFERROR(XLOOKUP(REGEXEXTRACT($K75,""^[^｜]+""),tc_mst!$A:$A,tc_mst!$J:$J),0),
  IF($B75=0,
   IFERROR(XLOOKUP(REGEXEXTRACT($I75,""^[^｜]"&amp;"+""),ms_mst!$A:$A,ms_mst!$J:$J),0),
   IFERROR(XLOOKUP(""T""&amp;($B75-1)&amp;""_""&amp;$D75,$A:$A,$U:$U),0)
  )
  +IFERROR(XLOOKUP(REGEXEXTRACT($J75,""^[^｜]+""),tr_mst!$A:$A,tr_mst!$J:$J),0)
  +IFERROR(XLOOKUP(REGEXEXTRACT($K75,""^[^｜]+""),tc_mst!$A:$A,tc_mst!$J:$J)"&amp;",0)
  +
  (
   IFERROR(XLOOKUP(REGEXEXTRACT($M75,""^[^｜]+""),ac_mst!$A:$A,ac_mst!$M:$M),0)
   +IFERROR(XLOOKUP(REGEXEXTRACT($N75,""^[^｜]+""),ac_mst!$A:$A,ac_mst!$M:$M),0)
   +IFERROR(
    XLOOKUP(
     IF(
      OR(
       IFERROR(REGEXEXTRACT($M75,""^[^｜"&amp;"]+""),"""")="""",
       IFERROR(REGEXEXTRACT($N75,""^[^｜]+""),"""")=""""
      ),
      """",
      IF(
       IFERROR(REGEXEXTRACT($M75,""^[^｜]+""),"""")&lt;IFERROR(REGEXEXTRACT($N75,""^[^｜]+""),""""),
       IFERROR(REGEXEXTRACT($M75,""^[^｜]+""),"""")&amp;""_"&amp;"""&amp;IFERROR(REGEXEXTRACT($N75,""^[^｜]+""),""""),
       IFERROR(REGEXEXTRACT($N75,""^[^｜]+""),"""")&amp;""_""&amp;IFERROR(REGEXEXTRACT($M75,""^[^｜]+""),"""")
      )
     ),
     sy_mst!$A:$A,
     sy_mst!$J:$J
    ),
    0
   )
  )
  *
  IFERROR(XLOOKUP(REGEXEXTR"&amp;"ACT($I75,""^[^｜]+""),ms_mst!$A:$A,ms_mst!$R:$R),1)
  *
  IF(
   $B75&gt;=IFERROR(XLOOKUP(REGEXEXTRACT($L75,""^[^｜]+""),sk_mst!$A:$A,sk_mst!$M:$M),999),
   IFERROR(XLOOKUP(REGEXEXTRACT($L75,""^[^｜]+""),sk_mst!$A:$A,sk_mst!$L:$L),1),
   1
  )
 )
)"),5.0)</f>
        <v>5</v>
      </c>
      <c r="V75" s="25">
        <f t="shared" si="1"/>
        <v>14</v>
      </c>
      <c r="W75" s="25">
        <f t="shared" si="2"/>
        <v>-300</v>
      </c>
      <c r="X75" s="25">
        <f t="shared" si="3"/>
        <v>314</v>
      </c>
      <c r="Y75" s="25">
        <f t="shared" si="4"/>
        <v>-0.05</v>
      </c>
      <c r="Z75" s="25">
        <f>IFERROR(__xludf.DUMMYFUNCTION("IF($A75="""","""",
 IF($F75&lt;&gt;""player"","""",
  IFERROR(
   RANK(
    $X75,
    FILTER($X:$X,$B:$B=$B75,$F:$F=""player"",$X:$X&lt;&gt;""""),
    0
   ),
   """"
  )
 )
)"),8.0)</f>
        <v>8</v>
      </c>
      <c r="AA75" s="25" t="str">
        <f t="shared" si="5"/>
        <v>8位</v>
      </c>
      <c r="AB75" s="26">
        <f t="shared" si="6"/>
        <v>0</v>
      </c>
    </row>
    <row r="76">
      <c r="A76" s="25" t="s">
        <v>249</v>
      </c>
      <c r="B76" s="14">
        <v>5.0</v>
      </c>
      <c r="C76" s="14" t="s">
        <v>177</v>
      </c>
      <c r="D76" s="14" t="s">
        <v>178</v>
      </c>
      <c r="E76" s="25" t="s">
        <v>153</v>
      </c>
      <c r="F76" s="25" t="s">
        <v>154</v>
      </c>
      <c r="I76" s="25" t="str">
        <f>IFERROR(__xludf.DUMMYFUNCTION("IF($F76&lt;&gt;""player"","""",IFERROR(INDEX(FILTER(group_setup!$D$2:$D947,group_setup!$B$2:$B947=$C76,group_setup!$G$2:$G947=TRUE,group_setup!$H$2:$H947=""completed""),1),""""))"),"")</f>
        <v/>
      </c>
      <c r="J76" s="25" t="str">
        <f>IFERROR(__xludf.DUMMYFUNCTION("IFERROR(FILTER(market_event_log!$D$2:$D947,market_event_log!$C$2:$C947=$B76,market_event_log!$N$2:$N947=""active""),"""")"),"T04")</f>
        <v>T04</v>
      </c>
      <c r="K76" s="25" t="str">
        <f>IFERROR(__xludf.DUMMYFUNCTION("IFERROR(FILTER(market_event_log!$G$2:$G947,market_event_log!$C$2:$C947=$B76,market_event_log!$N$2:$N947=""active""),"""")"),"C04")</f>
        <v>C04</v>
      </c>
      <c r="L76" s="25" t="str">
        <f>IFERROR(__xludf.DUMMYFUNCTION("IF($F76&lt;&gt;""player"","""",IFERROR(INDEX(FILTER(group_setup!$E$2:$E947,group_setup!$B$2:$B947=$C76,group_setup!$G$2:$G947=TRUE,group_setup!$H$2:$H947=""completed""),1),""""))"),"")</f>
        <v/>
      </c>
      <c r="M76" s="25" t="str">
        <f>IFERROR(__xludf.DUMMYFUNCTION("IF($F76=""market"","""",IF($E76=""HUMAN"",IFERROR(FILTER(turn_log!$G$2:$G947,turn_log!$C$2:$C947=$B76,turn_log!$D$2:$D947=$C76,turn_log!$F$2:$F947=$E76),""""),IFERROR(FILTER(turn_log!$I$2:$I947,turn_log!$C$2:$C947=$B76,turn_log!$D$2:$D947=$C76,turn_log!$F"&amp;"$2:$F947=$E76),"""")))"),"")</f>
        <v/>
      </c>
      <c r="N76" s="25" t="str">
        <f>IFERROR(__xludf.DUMMYFUNCTION("IF($F76=""market"","""",IF($E76=""HUMAN"",IFERROR(FILTER(turn_log!$H$2:$H947,turn_log!$C$2:$C947=$B76,turn_log!$D$2:$D947=$C76,turn_log!$F$2:$F947=$E76),""""),IFERROR(FILTER(turn_log!$J$2:$J947,turn_log!$C$2:$C947=$B76,turn_log!$D$2:$D947=$C76,turn_log!$F"&amp;"$2:$F947=$E76),"""")))"),"")</f>
        <v/>
      </c>
      <c r="O76" s="25">
        <f>IFERROR(__xludf.DUMMYFUNCTION("IF($A76="""","""",
 IF($F76=""market"",
  IFERROR(XLOOKUP(REGEXEXTRACT($J76,""^[^｜]+""),tr_mst!$A:$A,tr_mst!$D:$D),0)
  +IFERROR(XLOOKUP(REGEXEXTRACT($K76,""^[^｜]+""),tc_mst!$A:$A,tc_mst!$D:$D),0),
  IF($B76=0,
   IFERROR(XLOOKUP(REGEXEXTRACT($I76,""^[^｜]"&amp;"+""),ms_mst!$A:$A,ms_mst!$D:$D),0),
   IFERROR(XLOOKUP(""T""&amp;($B76-1)&amp;""_""&amp;$D76,$A:$A,$O:$O),0)
  )
  +IFERROR(XLOOKUP(REGEXEXTRACT($J76,""^[^｜]+""),tr_mst!$A:$A,tr_mst!$D:$D),0)
  +IFERROR(XLOOKUP(REGEXEXTRACT($K76,""^[^｜]+""),tc_mst!$A:$A,tc_mst!$D:$D)"&amp;",0)
  +
  (
   IFERROR(XLOOKUP(REGEXEXTRACT($M76,""^[^｜]+""),ac_mst!$A:$A,ac_mst!$G:$G),0)
   +IFERROR(XLOOKUP(REGEXEXTRACT($N76,""^[^｜]+""),ac_mst!$A:$A,ac_mst!$G:$G),0)
   +IFERROR(
    XLOOKUP(
     IF(
      OR(
       IFERROR(REGEXEXTRACT($M76,""^[^｜"&amp;"]+""),"""")="""",
       IFERROR(REGEXEXTRACT($N76,""^[^｜]+""),"""")=""""
      ),
      """",
      IF(
       IFERROR(REGEXEXTRACT($M76,""^[^｜]+""),"""")&lt;IFERROR(REGEXEXTRACT($N76,""^[^｜]+""),""""),
       IFERROR(REGEXEXTRACT($M76,""^[^｜]+""),"""")&amp;""_"&amp;"""&amp;IFERROR(REGEXEXTRACT($N76,""^[^｜]+""),""""),
       IFERROR(REGEXEXTRACT($N76,""^[^｜]+""),"""")&amp;""_""&amp;IFERROR(REGEXEXTRACT($M76,""^[^｜]+""),"""")
      )
     ),
     sy_mst!$A:$A,
     sy_mst!$D:$D
    ),
    0
   )
  )
  *
  IFERROR(XLOOKUP(REGEXEXTR"&amp;"ACT($I76,""^[^｜]+""),ms_mst!$A:$A,ms_mst!$L:$L),1)
  *
  IF(
   $B76&gt;=IFERROR(XLOOKUP(REGEXEXTRACT($L76,""^[^｜]+""),sk_mst!$A:$A,sk_mst!$M:$M),999),
   IFERROR(XLOOKUP(REGEXEXTRACT($L76,""^[^｜]+""),sk_mst!$A:$A,sk_mst!$F:$F),1),
   1
  )
 )
)"),3200.0)</f>
        <v>3200</v>
      </c>
      <c r="P76" s="25">
        <f>IFERROR(__xludf.DUMMYFUNCTION("IF($A76="""","""",
 IF($F76=""market"",
  IFERROR(XLOOKUP(REGEXEXTRACT($J76,""^[^｜]+""),tr_mst!$A:$A,tr_mst!$E:$E),0)
  +IFERROR(XLOOKUP(REGEXEXTRACT($K76,""^[^｜]+""),tc_mst!$A:$A,tc_mst!$E:$E),0),
  IF($B76=0,
   IFERROR(XLOOKUP(REGEXEXTRACT($I76,""^[^｜]"&amp;"+""),ms_mst!$A:$A,ms_mst!$E:$E),0),
   IFERROR(XLOOKUP(""T""&amp;($B76-1)&amp;""_""&amp;$D76,$A:$A,$P:$P),0)
  )
  +IFERROR(XLOOKUP(REGEXEXTRACT($J76,""^[^｜]+""),tr_mst!$A:$A,tr_mst!$E:$E),0)
  +IFERROR(XLOOKUP(REGEXEXTRACT($K76,""^[^｜]+""),tc_mst!$A:$A,tc_mst!$E:$E)"&amp;",0)
  +
  (
   IFERROR(XLOOKUP(REGEXEXTRACT($M76,""^[^｜]+""),ac_mst!$A:$A,ac_mst!$H:$H),0)
   +IFERROR(XLOOKUP(REGEXEXTRACT($N76,""^[^｜]+""),ac_mst!$A:$A,ac_mst!$H:$H),0)
   +IFERROR(
    XLOOKUP(
     IF(
      OR(
       IFERROR(REGEXEXTRACT($M76,""^[^｜"&amp;"]+""),"""")="""",
       IFERROR(REGEXEXTRACT($N76,""^[^｜]+""),"""")=""""
      ),
      """",
      IF(
       IFERROR(REGEXEXTRACT($M76,""^[^｜]+""),"""")&lt;IFERROR(REGEXEXTRACT($N76,""^[^｜]+""),""""),
       IFERROR(REGEXEXTRACT($M76,""^[^｜]+""),"""")&amp;""_"&amp;"""&amp;IFERROR(REGEXEXTRACT($N76,""^[^｜]+""),""""),
       IFERROR(REGEXEXTRACT($N76,""^[^｜]+""),"""")&amp;""_""&amp;IFERROR(REGEXEXTRACT($M76,""^[^｜]+""),"""")
      )
     ),
     sy_mst!$A:$A,
     sy_mst!$E:$E
    ),
    0
   )
  )
  *
  IFERROR(XLOOKUP(REGEXEXTR"&amp;"ACT($I76,""^[^｜]+""),ms_mst!$A:$A,ms_mst!$M:$M),1)
  *
  IF(
   $B76&gt;=IFERROR(XLOOKUP(REGEXEXTRACT($L76,""^[^｜]+""),sk_mst!$A:$A,sk_mst!$M:$M),999),
   IFERROR(XLOOKUP(REGEXEXTRACT($L76,""^[^｜]+""),sk_mst!$A:$A,sk_mst!$G:$G),1),
   1
  )
 )
)"),-60.0)</f>
        <v>-60</v>
      </c>
      <c r="Q76" s="25">
        <f>IFERROR(__xludf.DUMMYFUNCTION("IF($A76="""","""",
 IF($F76=""market"",
  IFERROR(XLOOKUP(REGEXEXTRACT($J76,""^[^｜]+""),tr_mst!$A:$A,tr_mst!$F:$F),0)
  +IFERROR(XLOOKUP(REGEXEXTRACT($K76,""^[^｜]+""),tc_mst!$A:$A,tc_mst!$F:$F),0),
  IF($B76=0,
   IFERROR(XLOOKUP(REGEXEXTRACT($I76,""^[^｜]"&amp;"+""),ms_mst!$A:$A,ms_mst!$F:$F),0),
   IFERROR(XLOOKUP(""T""&amp;($B76-1)&amp;""_""&amp;$D76,$A:$A,$Q:$Q),0)
  )
  +IFERROR(XLOOKUP(REGEXEXTRACT($J76,""^[^｜]+""),tr_mst!$A:$A,tr_mst!$F:$F),0)
  +IFERROR(XLOOKUP(REGEXEXTRACT($K76,""^[^｜]+""),tc_mst!$A:$A,tc_mst!$F:$F)"&amp;",0)
  +
  (
   IFERROR(XLOOKUP(REGEXEXTRACT($M76,""^[^｜]+""),ac_mst!$A:$A,ac_mst!$I:$I),0)
   +IFERROR(XLOOKUP(REGEXEXTRACT($N76,""^[^｜]+""),ac_mst!$A:$A,ac_mst!$I:$I),0)
   +IFERROR(
    XLOOKUP(
     IF(
      OR(
       IFERROR(REGEXEXTRACT($M76,""^[^｜"&amp;"]+""),"""")="""",
       IFERROR(REGEXEXTRACT($N76,""^[^｜]+""),"""")=""""
      ),
      """",
      IF(
       IFERROR(REGEXEXTRACT($M76,""^[^｜]+""),"""")&lt;IFERROR(REGEXEXTRACT($N76,""^[^｜]+""),""""),
       IFERROR(REGEXEXTRACT($M76,""^[^｜]+""),"""")&amp;""_"&amp;"""&amp;IFERROR(REGEXEXTRACT($N76,""^[^｜]+""),""""),
       IFERROR(REGEXEXTRACT($N76,""^[^｜]+""),"""")&amp;""_""&amp;IFERROR(REGEXEXTRACT($M76,""^[^｜]+""),"""")
      )
     ),
     sy_mst!$A:$A,
     sy_mst!$F:$F
    ),
    0
   )
  )
  *
  IFERROR(XLOOKUP(REGEXEXTR"&amp;"ACT($I76,""^[^｜]+""),ms_mst!$A:$A,ms_mst!$N:$N),1)
  *
  IF(
   $B76&gt;=IFERROR(XLOOKUP(REGEXEXTRACT($L76,""^[^｜]+""),sk_mst!$A:$A,sk_mst!$M:$M),999),
   IFERROR(XLOOKUP(REGEXEXTRACT($L76,""^[^｜]+""),sk_mst!$A:$A,sk_mst!$H:$H),1),
   1
  )
 )
)"),0.04)</f>
        <v>0.04</v>
      </c>
      <c r="R76" s="25">
        <f>IFERROR(__xludf.DUMMYFUNCTION("IF($A76="""","""",
 IF($F76=""market"",
  IFERROR(XLOOKUP(REGEXEXTRACT($J76,""^[^｜]+""),tr_mst!$A:$A,tr_mst!$G:$G),0)
  +IFERROR(XLOOKUP(REGEXEXTRACT($K76,""^[^｜]+""),tc_mst!$A:$A,tc_mst!$G:$G),0),
  IF($B76=0,
   IFERROR(XLOOKUP(REGEXEXTRACT($I76,""^[^｜]"&amp;"+""),ms_mst!$A:$A,ms_mst!$G:$G),0),
   IFERROR(XLOOKUP(""T""&amp;($B76-1)&amp;""_""&amp;$D76,$A:$A,$R:$R),0)
  )
  +IFERROR(XLOOKUP(REGEXEXTRACT($J76,""^[^｜]+""),tr_mst!$A:$A,tr_mst!$G:$G),0)
  +IFERROR(XLOOKUP(REGEXEXTRACT($K76,""^[^｜]+""),tc_mst!$A:$A,tc_mst!$G:$G)"&amp;",0)
  +
  (
   IFERROR(XLOOKUP(REGEXEXTRACT($M76,""^[^｜]+""),ac_mst!$A:$A,ac_mst!$J:$J),0)
   +IFERROR(XLOOKUP(REGEXEXTRACT($N76,""^[^｜]+""),ac_mst!$A:$A,ac_mst!$J:$J),0)
   +IFERROR(
    XLOOKUP(
     IF(
      OR(
       IFERROR(REGEXEXTRACT($M76,""^[^｜"&amp;"]+""),"""")="""",
       IFERROR(REGEXEXTRACT($N76,""^[^｜]+""),"""")=""""
      ),
      """",
      IF(
       IFERROR(REGEXEXTRACT($M76,""^[^｜]+""),"""")&lt;IFERROR(REGEXEXTRACT($N76,""^[^｜]+""),""""),
       IFERROR(REGEXEXTRACT($M76,""^[^｜]+""),"""")&amp;""_"&amp;"""&amp;IFERROR(REGEXEXTRACT($N76,""^[^｜]+""),""""),
       IFERROR(REGEXEXTRACT($N76,""^[^｜]+""),"""")&amp;""_""&amp;IFERROR(REGEXEXTRACT($M76,""^[^｜]+""),"""")
      )
     ),
     sy_mst!$A:$A,
     sy_mst!$G:$G
    ),
    0
   )
  )
  *
  IFERROR(XLOOKUP(REGEXEXTR"&amp;"ACT($I76,""^[^｜]+""),ms_mst!$A:$A,ms_mst!$O:$O),1)
  *
  IF(
   $B76&gt;=IFERROR(XLOOKUP(REGEXEXTRACT($L76,""^[^｜]+""),sk_mst!$A:$A,sk_mst!$M:$M),999),
   IFERROR(XLOOKUP(REGEXEXTRACT($L76,""^[^｜]+""),sk_mst!$A:$A,sk_mst!$I:$I),1),
   1
  )
 )
)"),0.019999999999999997)</f>
        <v>0.02</v>
      </c>
      <c r="S76" s="25">
        <f>IFERROR(__xludf.DUMMYFUNCTION("IF($A76="""","""",
 IF($F76=""market"",
  IFERROR(XLOOKUP(REGEXEXTRACT($J76,""^[^｜]+""),tr_mst!$A:$A,tr_mst!$H:$H),0)
  +IFERROR(XLOOKUP(REGEXEXTRACT($K76,""^[^｜]+""),tc_mst!$A:$A,tc_mst!$H:$H),0),
  IF($B76=0,
   IFERROR(XLOOKUP(REGEXEXTRACT($I76,""^[^｜]"&amp;"+""),ms_mst!$A:$A,ms_mst!$H:$H),0),
   IFERROR(XLOOKUP(""T""&amp;($B76-1)&amp;""_""&amp;$D76,$A:$A,$S:$S),0)
  )
  +IFERROR(XLOOKUP(REGEXEXTRACT($J76,""^[^｜]+""),tr_mst!$A:$A,tr_mst!$H:$H),0)
  +IFERROR(XLOOKUP(REGEXEXTRACT($K76,""^[^｜]+""),tc_mst!$A:$A,tc_mst!$H:$H)"&amp;",0)
  +
  (
   IFERROR(XLOOKUP(REGEXEXTRACT($M76,""^[^｜]+""),ac_mst!$A:$A,ac_mst!$K:$K),0)
   +IFERROR(XLOOKUP(REGEXEXTRACT($N76,""^[^｜]+""),ac_mst!$A:$A,ac_mst!$K:$K),0)
   +IFERROR(
    XLOOKUP(
     IF(
      OR(
       IFERROR(REGEXEXTRACT($M76,""^[^｜"&amp;"]+""),"""")="""",
       IFERROR(REGEXEXTRACT($N76,""^[^｜]+""),"""")=""""
      ),
      """",
      IF(
       IFERROR(REGEXEXTRACT($M76,""^[^｜]+""),"""")&lt;IFERROR(REGEXEXTRACT($N76,""^[^｜]+""),""""),
       IFERROR(REGEXEXTRACT($M76,""^[^｜]+""),"""")&amp;""_"&amp;"""&amp;IFERROR(REGEXEXTRACT($N76,""^[^｜]+""),""""),
       IFERROR(REGEXEXTRACT($N76,""^[^｜]+""),"""")&amp;""_""&amp;IFERROR(REGEXEXTRACT($M76,""^[^｜]+""),"""")
      )
     ),
     sy_mst!$A:$A,
     sy_mst!$H:$H
    ),
    0
   )
  )
  *
  IFERROR(XLOOKUP(REGEXEXTR"&amp;"ACT($I76,""^[^｜]+""),ms_mst!$A:$A,ms_mst!$P:$P),1)
  *
  IF(
   $B76&gt;=IFERROR(XLOOKUP(REGEXEXTRACT($L76,""^[^｜]+""),sk_mst!$A:$A,sk_mst!$M:$M),999),
   IFERROR(XLOOKUP(REGEXEXTRACT($L76,""^[^｜]+""),sk_mst!$A:$A,sk_mst!$J:$J),1),
   1
  )
 )
)"),5.999999999999998E-4)</f>
        <v>0.0006</v>
      </c>
      <c r="T76" s="25">
        <f>IFERROR(__xludf.DUMMYFUNCTION("IF($A76="""","""",
 IF($F76=""market"",
  IFERROR(XLOOKUP(REGEXEXTRACT($J76,""^[^｜]+""),tr_mst!$A:$A,tr_mst!$I:$I),0)
  +IFERROR(XLOOKUP(REGEXEXTRACT($K76,""^[^｜]+""),tc_mst!$A:$A,tc_mst!$I:$I),0),
  IF($B76=0,
   IFERROR(XLOOKUP(REGEXEXTRACT($I76,""^[^｜]"&amp;"+""),ms_mst!$A:$A,ms_mst!$I:$I),0),
   IFERROR(XLOOKUP(""T""&amp;($B76-1)&amp;""_""&amp;$D76,$A:$A,$T:$T),0)
  )
  +IFERROR(XLOOKUP(REGEXEXTRACT($J76,""^[^｜]+""),tr_mst!$A:$A,tr_mst!$I:$I),0)
  +IFERROR(XLOOKUP(REGEXEXTRACT($K76,""^[^｜]+""),tc_mst!$A:$A,tc_mst!$I:$I)"&amp;",0)
  +
  (
   IFERROR(XLOOKUP(REGEXEXTRACT($M76,""^[^｜]+""),ac_mst!$A:$A,ac_mst!$L:$L),0)
   +IFERROR(XLOOKUP(REGEXEXTRACT($N76,""^[^｜]+""),ac_mst!$A:$A,ac_mst!$L:$L),0)
   +IFERROR(
    XLOOKUP(
     IF(
      OR(
       IFERROR(REGEXEXTRACT($M76,""^[^｜"&amp;"]+""),"""")="""",
       IFERROR(REGEXEXTRACT($N76,""^[^｜]+""),"""")=""""
      ),
      """",
      IF(
       IFERROR(REGEXEXTRACT($M76,""^[^｜]+""),"""")&lt;IFERROR(REGEXEXTRACT($N76,""^[^｜]+""),""""),
       IFERROR(REGEXEXTRACT($M76,""^[^｜]+""),"""")&amp;""_"&amp;"""&amp;IFERROR(REGEXEXTRACT($N76,""^[^｜]+""),""""),
       IFERROR(REGEXEXTRACT($N76,""^[^｜]+""),"""")&amp;""_""&amp;IFERROR(REGEXEXTRACT($M76,""^[^｜]+""),"""")
      )
     ),
     sy_mst!$A:$A,
     sy_mst!$I:$I
    ),
    0
   )
  )
  *
  IFERROR(XLOOKUP(REGEXEXTR"&amp;"ACT($I76,""^[^｜]+""),ms_mst!$A:$A,ms_mst!$Q:$Q),1)
  *
  IF(
   $B76&gt;=IFERROR(XLOOKUP(REGEXEXTRACT($L76,""^[^｜]+""),sk_mst!$A:$A,sk_mst!$M:$M),999),
   IFERROR(XLOOKUP(REGEXEXTRACT($L76,""^[^｜]+""),sk_mst!$A:$A,sk_mst!$K:$K),1),
   1
  )
 )
)"),400.0)</f>
        <v>400</v>
      </c>
      <c r="U76" s="25">
        <f>IFERROR(__xludf.DUMMYFUNCTION("IF($A76="""","""",
 IF($F76=""market"",
  IFERROR(XLOOKUP(REGEXEXTRACT($J76,""^[^｜]+""),tr_mst!$A:$A,tr_mst!$J:$J),0)
  +IFERROR(XLOOKUP(REGEXEXTRACT($K76,""^[^｜]+""),tc_mst!$A:$A,tc_mst!$J:$J),0),
  IF($B76=0,
   IFERROR(XLOOKUP(REGEXEXTRACT($I76,""^[^｜]"&amp;"+""),ms_mst!$A:$A,ms_mst!$J:$J),0),
   IFERROR(XLOOKUP(""T""&amp;($B76-1)&amp;""_""&amp;$D76,$A:$A,$U:$U),0)
  )
  +IFERROR(XLOOKUP(REGEXEXTRACT($J76,""^[^｜]+""),tr_mst!$A:$A,tr_mst!$J:$J),0)
  +IFERROR(XLOOKUP(REGEXEXTRACT($K76,""^[^｜]+""),tc_mst!$A:$A,tc_mst!$J:$J)"&amp;",0)
  +
  (
   IFERROR(XLOOKUP(REGEXEXTRACT($M76,""^[^｜]+""),ac_mst!$A:$A,ac_mst!$M:$M),0)
   +IFERROR(XLOOKUP(REGEXEXTRACT($N76,""^[^｜]+""),ac_mst!$A:$A,ac_mst!$M:$M),0)
   +IFERROR(
    XLOOKUP(
     IF(
      OR(
       IFERROR(REGEXEXTRACT($M76,""^[^｜"&amp;"]+""),"""")="""",
       IFERROR(REGEXEXTRACT($N76,""^[^｜]+""),"""")=""""
      ),
      """",
      IF(
       IFERROR(REGEXEXTRACT($M76,""^[^｜]+""),"""")&lt;IFERROR(REGEXEXTRACT($N76,""^[^｜]+""),""""),
       IFERROR(REGEXEXTRACT($M76,""^[^｜]+""),"""")&amp;""_"&amp;"""&amp;IFERROR(REGEXEXTRACT($N76,""^[^｜]+""),""""),
       IFERROR(REGEXEXTRACT($N76,""^[^｜]+""),"""")&amp;""_""&amp;IFERROR(REGEXEXTRACT($M76,""^[^｜]+""),"""")
      )
     ),
     sy_mst!$A:$A,
     sy_mst!$J:$J
    ),
    0
   )
  )
  *
  IFERROR(XLOOKUP(REGEXEXTR"&amp;"ACT($I76,""^[^｜]+""),ms_mst!$A:$A,ms_mst!$R:$R),1)
  *
  IF(
   $B76&gt;=IFERROR(XLOOKUP(REGEXEXTRACT($L76,""^[^｜]+""),sk_mst!$A:$A,sk_mst!$M:$M),999),
   IFERROR(XLOOKUP(REGEXEXTRACT($L76,""^[^｜]+""),sk_mst!$A:$A,sk_mst!$L:$L),1),
   1
  )
 )
)"),5.0)</f>
        <v>5</v>
      </c>
      <c r="V76" s="25">
        <f t="shared" si="1"/>
        <v>14</v>
      </c>
      <c r="W76" s="25">
        <f t="shared" si="2"/>
        <v>-300</v>
      </c>
      <c r="X76" s="25">
        <f t="shared" si="3"/>
        <v>314</v>
      </c>
      <c r="Y76" s="25">
        <f t="shared" si="4"/>
        <v>-0.05</v>
      </c>
      <c r="Z76" s="25">
        <f>IFERROR(__xludf.DUMMYFUNCTION("IF($A76="""","""",
 IF($F76&lt;&gt;""player"","""",
  IFERROR(
   RANK(
    $X76,
    FILTER($X:$X,$B:$B=$B76,$F:$F=""player"",$X:$X&lt;&gt;""""),
    0
   ),
   """"
  )
 )
)"),8.0)</f>
        <v>8</v>
      </c>
      <c r="AA76" s="25" t="str">
        <f t="shared" si="5"/>
        <v>8位</v>
      </c>
      <c r="AB76" s="26">
        <f t="shared" si="6"/>
        <v>0</v>
      </c>
    </row>
    <row r="77">
      <c r="A77" s="25" t="s">
        <v>250</v>
      </c>
      <c r="B77" s="14">
        <v>5.0</v>
      </c>
      <c r="C77" s="14" t="s">
        <v>180</v>
      </c>
      <c r="D77" s="14" t="s">
        <v>181</v>
      </c>
      <c r="E77" s="25" t="s">
        <v>153</v>
      </c>
      <c r="F77" s="25" t="s">
        <v>154</v>
      </c>
      <c r="I77" s="25" t="str">
        <f>IFERROR(__xludf.DUMMYFUNCTION("IF($F77&lt;&gt;""player"","""",IFERROR(INDEX(FILTER(group_setup!$D$2:$D947,group_setup!$B$2:$B947=$C77,group_setup!$G$2:$G947=TRUE,group_setup!$H$2:$H947=""completed""),1),""""))"),"")</f>
        <v/>
      </c>
      <c r="J77" s="25" t="str">
        <f>IFERROR(__xludf.DUMMYFUNCTION("IFERROR(FILTER(market_event_log!$D$2:$D947,market_event_log!$C$2:$C947=$B77,market_event_log!$N$2:$N947=""active""),"""")"),"T04")</f>
        <v>T04</v>
      </c>
      <c r="K77" s="25" t="str">
        <f>IFERROR(__xludf.DUMMYFUNCTION("IFERROR(FILTER(market_event_log!$G$2:$G947,market_event_log!$C$2:$C947=$B77,market_event_log!$N$2:$N947=""active""),"""")"),"C04")</f>
        <v>C04</v>
      </c>
      <c r="L77" s="25" t="str">
        <f>IFERROR(__xludf.DUMMYFUNCTION("IF($F77&lt;&gt;""player"","""",IFERROR(INDEX(FILTER(group_setup!$E$2:$E947,group_setup!$B$2:$B947=$C77,group_setup!$G$2:$G947=TRUE,group_setup!$H$2:$H947=""completed""),1),""""))"),"")</f>
        <v/>
      </c>
      <c r="M77" s="25" t="str">
        <f>IFERROR(__xludf.DUMMYFUNCTION("IF($F77=""market"","""",IF($E77=""HUMAN"",IFERROR(FILTER(turn_log!$G$2:$G947,turn_log!$C$2:$C947=$B77,turn_log!$D$2:$D947=$C77,turn_log!$F$2:$F947=$E77),""""),IFERROR(FILTER(turn_log!$I$2:$I947,turn_log!$C$2:$C947=$B77,turn_log!$D$2:$D947=$C77,turn_log!$F"&amp;"$2:$F947=$E77),"""")))"),"")</f>
        <v/>
      </c>
      <c r="N77" s="25" t="str">
        <f>IFERROR(__xludf.DUMMYFUNCTION("IF($F77=""market"","""",IF($E77=""HUMAN"",IFERROR(FILTER(turn_log!$H$2:$H947,turn_log!$C$2:$C947=$B77,turn_log!$D$2:$D947=$C77,turn_log!$F$2:$F947=$E77),""""),IFERROR(FILTER(turn_log!$J$2:$J947,turn_log!$C$2:$C947=$B77,turn_log!$D$2:$D947=$C77,turn_log!$F"&amp;"$2:$F947=$E77),"""")))"),"")</f>
        <v/>
      </c>
      <c r="O77" s="25">
        <f>IFERROR(__xludf.DUMMYFUNCTION("IF($A77="""","""",
 IF($F77=""market"",
  IFERROR(XLOOKUP(REGEXEXTRACT($J77,""^[^｜]+""),tr_mst!$A:$A,tr_mst!$D:$D),0)
  +IFERROR(XLOOKUP(REGEXEXTRACT($K77,""^[^｜]+""),tc_mst!$A:$A,tc_mst!$D:$D),0),
  IF($B77=0,
   IFERROR(XLOOKUP(REGEXEXTRACT($I77,""^[^｜]"&amp;"+""),ms_mst!$A:$A,ms_mst!$D:$D),0),
   IFERROR(XLOOKUP(""T""&amp;($B77-1)&amp;""_""&amp;$D77,$A:$A,$O:$O),0)
  )
  +IFERROR(XLOOKUP(REGEXEXTRACT($J77,""^[^｜]+""),tr_mst!$A:$A,tr_mst!$D:$D),0)
  +IFERROR(XLOOKUP(REGEXEXTRACT($K77,""^[^｜]+""),tc_mst!$A:$A,tc_mst!$D:$D)"&amp;",0)
  +
  (
   IFERROR(XLOOKUP(REGEXEXTRACT($M77,""^[^｜]+""),ac_mst!$A:$A,ac_mst!$G:$G),0)
   +IFERROR(XLOOKUP(REGEXEXTRACT($N77,""^[^｜]+""),ac_mst!$A:$A,ac_mst!$G:$G),0)
   +IFERROR(
    XLOOKUP(
     IF(
      OR(
       IFERROR(REGEXEXTRACT($M77,""^[^｜"&amp;"]+""),"""")="""",
       IFERROR(REGEXEXTRACT($N77,""^[^｜]+""),"""")=""""
      ),
      """",
      IF(
       IFERROR(REGEXEXTRACT($M77,""^[^｜]+""),"""")&lt;IFERROR(REGEXEXTRACT($N77,""^[^｜]+""),""""),
       IFERROR(REGEXEXTRACT($M77,""^[^｜]+""),"""")&amp;""_"&amp;"""&amp;IFERROR(REGEXEXTRACT($N77,""^[^｜]+""),""""),
       IFERROR(REGEXEXTRACT($N77,""^[^｜]+""),"""")&amp;""_""&amp;IFERROR(REGEXEXTRACT($M77,""^[^｜]+""),"""")
      )
     ),
     sy_mst!$A:$A,
     sy_mst!$D:$D
    ),
    0
   )
  )
  *
  IFERROR(XLOOKUP(REGEXEXTR"&amp;"ACT($I77,""^[^｜]+""),ms_mst!$A:$A,ms_mst!$L:$L),1)
  *
  IF(
   $B77&gt;=IFERROR(XLOOKUP(REGEXEXTRACT($L77,""^[^｜]+""),sk_mst!$A:$A,sk_mst!$M:$M),999),
   IFERROR(XLOOKUP(REGEXEXTRACT($L77,""^[^｜]+""),sk_mst!$A:$A,sk_mst!$F:$F),1),
   1
  )
 )
)"),3200.0)</f>
        <v>3200</v>
      </c>
      <c r="P77" s="25">
        <f>IFERROR(__xludf.DUMMYFUNCTION("IF($A77="""","""",
 IF($F77=""market"",
  IFERROR(XLOOKUP(REGEXEXTRACT($J77,""^[^｜]+""),tr_mst!$A:$A,tr_mst!$E:$E),0)
  +IFERROR(XLOOKUP(REGEXEXTRACT($K77,""^[^｜]+""),tc_mst!$A:$A,tc_mst!$E:$E),0),
  IF($B77=0,
   IFERROR(XLOOKUP(REGEXEXTRACT($I77,""^[^｜]"&amp;"+""),ms_mst!$A:$A,ms_mst!$E:$E),0),
   IFERROR(XLOOKUP(""T""&amp;($B77-1)&amp;""_""&amp;$D77,$A:$A,$P:$P),0)
  )
  +IFERROR(XLOOKUP(REGEXEXTRACT($J77,""^[^｜]+""),tr_mst!$A:$A,tr_mst!$E:$E),0)
  +IFERROR(XLOOKUP(REGEXEXTRACT($K77,""^[^｜]+""),tc_mst!$A:$A,tc_mst!$E:$E)"&amp;",0)
  +
  (
   IFERROR(XLOOKUP(REGEXEXTRACT($M77,""^[^｜]+""),ac_mst!$A:$A,ac_mst!$H:$H),0)
   +IFERROR(XLOOKUP(REGEXEXTRACT($N77,""^[^｜]+""),ac_mst!$A:$A,ac_mst!$H:$H),0)
   +IFERROR(
    XLOOKUP(
     IF(
      OR(
       IFERROR(REGEXEXTRACT($M77,""^[^｜"&amp;"]+""),"""")="""",
       IFERROR(REGEXEXTRACT($N77,""^[^｜]+""),"""")=""""
      ),
      """",
      IF(
       IFERROR(REGEXEXTRACT($M77,""^[^｜]+""),"""")&lt;IFERROR(REGEXEXTRACT($N77,""^[^｜]+""),""""),
       IFERROR(REGEXEXTRACT($M77,""^[^｜]+""),"""")&amp;""_"&amp;"""&amp;IFERROR(REGEXEXTRACT($N77,""^[^｜]+""),""""),
       IFERROR(REGEXEXTRACT($N77,""^[^｜]+""),"""")&amp;""_""&amp;IFERROR(REGEXEXTRACT($M77,""^[^｜]+""),"""")
      )
     ),
     sy_mst!$A:$A,
     sy_mst!$E:$E
    ),
    0
   )
  )
  *
  IFERROR(XLOOKUP(REGEXEXTR"&amp;"ACT($I77,""^[^｜]+""),ms_mst!$A:$A,ms_mst!$M:$M),1)
  *
  IF(
   $B77&gt;=IFERROR(XLOOKUP(REGEXEXTRACT($L77,""^[^｜]+""),sk_mst!$A:$A,sk_mst!$M:$M),999),
   IFERROR(XLOOKUP(REGEXEXTRACT($L77,""^[^｜]+""),sk_mst!$A:$A,sk_mst!$G:$G),1),
   1
  )
 )
)"),-60.0)</f>
        <v>-60</v>
      </c>
      <c r="Q77" s="25">
        <f>IFERROR(__xludf.DUMMYFUNCTION("IF($A77="""","""",
 IF($F77=""market"",
  IFERROR(XLOOKUP(REGEXEXTRACT($J77,""^[^｜]+""),tr_mst!$A:$A,tr_mst!$F:$F),0)
  +IFERROR(XLOOKUP(REGEXEXTRACT($K77,""^[^｜]+""),tc_mst!$A:$A,tc_mst!$F:$F),0),
  IF($B77=0,
   IFERROR(XLOOKUP(REGEXEXTRACT($I77,""^[^｜]"&amp;"+""),ms_mst!$A:$A,ms_mst!$F:$F),0),
   IFERROR(XLOOKUP(""T""&amp;($B77-1)&amp;""_""&amp;$D77,$A:$A,$Q:$Q),0)
  )
  +IFERROR(XLOOKUP(REGEXEXTRACT($J77,""^[^｜]+""),tr_mst!$A:$A,tr_mst!$F:$F),0)
  +IFERROR(XLOOKUP(REGEXEXTRACT($K77,""^[^｜]+""),tc_mst!$A:$A,tc_mst!$F:$F)"&amp;",0)
  +
  (
   IFERROR(XLOOKUP(REGEXEXTRACT($M77,""^[^｜]+""),ac_mst!$A:$A,ac_mst!$I:$I),0)
   +IFERROR(XLOOKUP(REGEXEXTRACT($N77,""^[^｜]+""),ac_mst!$A:$A,ac_mst!$I:$I),0)
   +IFERROR(
    XLOOKUP(
     IF(
      OR(
       IFERROR(REGEXEXTRACT($M77,""^[^｜"&amp;"]+""),"""")="""",
       IFERROR(REGEXEXTRACT($N77,""^[^｜]+""),"""")=""""
      ),
      """",
      IF(
       IFERROR(REGEXEXTRACT($M77,""^[^｜]+""),"""")&lt;IFERROR(REGEXEXTRACT($N77,""^[^｜]+""),""""),
       IFERROR(REGEXEXTRACT($M77,""^[^｜]+""),"""")&amp;""_"&amp;"""&amp;IFERROR(REGEXEXTRACT($N77,""^[^｜]+""),""""),
       IFERROR(REGEXEXTRACT($N77,""^[^｜]+""),"""")&amp;""_""&amp;IFERROR(REGEXEXTRACT($M77,""^[^｜]+""),"""")
      )
     ),
     sy_mst!$A:$A,
     sy_mst!$F:$F
    ),
    0
   )
  )
  *
  IFERROR(XLOOKUP(REGEXEXTR"&amp;"ACT($I77,""^[^｜]+""),ms_mst!$A:$A,ms_mst!$N:$N),1)
  *
  IF(
   $B77&gt;=IFERROR(XLOOKUP(REGEXEXTRACT($L77,""^[^｜]+""),sk_mst!$A:$A,sk_mst!$M:$M),999),
   IFERROR(XLOOKUP(REGEXEXTRACT($L77,""^[^｜]+""),sk_mst!$A:$A,sk_mst!$H:$H),1),
   1
  )
 )
)"),0.04)</f>
        <v>0.04</v>
      </c>
      <c r="R77" s="25">
        <f>IFERROR(__xludf.DUMMYFUNCTION("IF($A77="""","""",
 IF($F77=""market"",
  IFERROR(XLOOKUP(REGEXEXTRACT($J77,""^[^｜]+""),tr_mst!$A:$A,tr_mst!$G:$G),0)
  +IFERROR(XLOOKUP(REGEXEXTRACT($K77,""^[^｜]+""),tc_mst!$A:$A,tc_mst!$G:$G),0),
  IF($B77=0,
   IFERROR(XLOOKUP(REGEXEXTRACT($I77,""^[^｜]"&amp;"+""),ms_mst!$A:$A,ms_mst!$G:$G),0),
   IFERROR(XLOOKUP(""T""&amp;($B77-1)&amp;""_""&amp;$D77,$A:$A,$R:$R),0)
  )
  +IFERROR(XLOOKUP(REGEXEXTRACT($J77,""^[^｜]+""),tr_mst!$A:$A,tr_mst!$G:$G),0)
  +IFERROR(XLOOKUP(REGEXEXTRACT($K77,""^[^｜]+""),tc_mst!$A:$A,tc_mst!$G:$G)"&amp;",0)
  +
  (
   IFERROR(XLOOKUP(REGEXEXTRACT($M77,""^[^｜]+""),ac_mst!$A:$A,ac_mst!$J:$J),0)
   +IFERROR(XLOOKUP(REGEXEXTRACT($N77,""^[^｜]+""),ac_mst!$A:$A,ac_mst!$J:$J),0)
   +IFERROR(
    XLOOKUP(
     IF(
      OR(
       IFERROR(REGEXEXTRACT($M77,""^[^｜"&amp;"]+""),"""")="""",
       IFERROR(REGEXEXTRACT($N77,""^[^｜]+""),"""")=""""
      ),
      """",
      IF(
       IFERROR(REGEXEXTRACT($M77,""^[^｜]+""),"""")&lt;IFERROR(REGEXEXTRACT($N77,""^[^｜]+""),""""),
       IFERROR(REGEXEXTRACT($M77,""^[^｜]+""),"""")&amp;""_"&amp;"""&amp;IFERROR(REGEXEXTRACT($N77,""^[^｜]+""),""""),
       IFERROR(REGEXEXTRACT($N77,""^[^｜]+""),"""")&amp;""_""&amp;IFERROR(REGEXEXTRACT($M77,""^[^｜]+""),"""")
      )
     ),
     sy_mst!$A:$A,
     sy_mst!$G:$G
    ),
    0
   )
  )
  *
  IFERROR(XLOOKUP(REGEXEXTR"&amp;"ACT($I77,""^[^｜]+""),ms_mst!$A:$A,ms_mst!$O:$O),1)
  *
  IF(
   $B77&gt;=IFERROR(XLOOKUP(REGEXEXTRACT($L77,""^[^｜]+""),sk_mst!$A:$A,sk_mst!$M:$M),999),
   IFERROR(XLOOKUP(REGEXEXTRACT($L77,""^[^｜]+""),sk_mst!$A:$A,sk_mst!$I:$I),1),
   1
  )
 )
)"),0.019999999999999997)</f>
        <v>0.02</v>
      </c>
      <c r="S77" s="25">
        <f>IFERROR(__xludf.DUMMYFUNCTION("IF($A77="""","""",
 IF($F77=""market"",
  IFERROR(XLOOKUP(REGEXEXTRACT($J77,""^[^｜]+""),tr_mst!$A:$A,tr_mst!$H:$H),0)
  +IFERROR(XLOOKUP(REGEXEXTRACT($K77,""^[^｜]+""),tc_mst!$A:$A,tc_mst!$H:$H),0),
  IF($B77=0,
   IFERROR(XLOOKUP(REGEXEXTRACT($I77,""^[^｜]"&amp;"+""),ms_mst!$A:$A,ms_mst!$H:$H),0),
   IFERROR(XLOOKUP(""T""&amp;($B77-1)&amp;""_""&amp;$D77,$A:$A,$S:$S),0)
  )
  +IFERROR(XLOOKUP(REGEXEXTRACT($J77,""^[^｜]+""),tr_mst!$A:$A,tr_mst!$H:$H),0)
  +IFERROR(XLOOKUP(REGEXEXTRACT($K77,""^[^｜]+""),tc_mst!$A:$A,tc_mst!$H:$H)"&amp;",0)
  +
  (
   IFERROR(XLOOKUP(REGEXEXTRACT($M77,""^[^｜]+""),ac_mst!$A:$A,ac_mst!$K:$K),0)
   +IFERROR(XLOOKUP(REGEXEXTRACT($N77,""^[^｜]+""),ac_mst!$A:$A,ac_mst!$K:$K),0)
   +IFERROR(
    XLOOKUP(
     IF(
      OR(
       IFERROR(REGEXEXTRACT($M77,""^[^｜"&amp;"]+""),"""")="""",
       IFERROR(REGEXEXTRACT($N77,""^[^｜]+""),"""")=""""
      ),
      """",
      IF(
       IFERROR(REGEXEXTRACT($M77,""^[^｜]+""),"""")&lt;IFERROR(REGEXEXTRACT($N77,""^[^｜]+""),""""),
       IFERROR(REGEXEXTRACT($M77,""^[^｜]+""),"""")&amp;""_"&amp;"""&amp;IFERROR(REGEXEXTRACT($N77,""^[^｜]+""),""""),
       IFERROR(REGEXEXTRACT($N77,""^[^｜]+""),"""")&amp;""_""&amp;IFERROR(REGEXEXTRACT($M77,""^[^｜]+""),"""")
      )
     ),
     sy_mst!$A:$A,
     sy_mst!$H:$H
    ),
    0
   )
  )
  *
  IFERROR(XLOOKUP(REGEXEXTR"&amp;"ACT($I77,""^[^｜]+""),ms_mst!$A:$A,ms_mst!$P:$P),1)
  *
  IF(
   $B77&gt;=IFERROR(XLOOKUP(REGEXEXTRACT($L77,""^[^｜]+""),sk_mst!$A:$A,sk_mst!$M:$M),999),
   IFERROR(XLOOKUP(REGEXEXTRACT($L77,""^[^｜]+""),sk_mst!$A:$A,sk_mst!$J:$J),1),
   1
  )
 )
)"),5.999999999999998E-4)</f>
        <v>0.0006</v>
      </c>
      <c r="T77" s="25">
        <f>IFERROR(__xludf.DUMMYFUNCTION("IF($A77="""","""",
 IF($F77=""market"",
  IFERROR(XLOOKUP(REGEXEXTRACT($J77,""^[^｜]+""),tr_mst!$A:$A,tr_mst!$I:$I),0)
  +IFERROR(XLOOKUP(REGEXEXTRACT($K77,""^[^｜]+""),tc_mst!$A:$A,tc_mst!$I:$I),0),
  IF($B77=0,
   IFERROR(XLOOKUP(REGEXEXTRACT($I77,""^[^｜]"&amp;"+""),ms_mst!$A:$A,ms_mst!$I:$I),0),
   IFERROR(XLOOKUP(""T""&amp;($B77-1)&amp;""_""&amp;$D77,$A:$A,$T:$T),0)
  )
  +IFERROR(XLOOKUP(REGEXEXTRACT($J77,""^[^｜]+""),tr_mst!$A:$A,tr_mst!$I:$I),0)
  +IFERROR(XLOOKUP(REGEXEXTRACT($K77,""^[^｜]+""),tc_mst!$A:$A,tc_mst!$I:$I)"&amp;",0)
  +
  (
   IFERROR(XLOOKUP(REGEXEXTRACT($M77,""^[^｜]+""),ac_mst!$A:$A,ac_mst!$L:$L),0)
   +IFERROR(XLOOKUP(REGEXEXTRACT($N77,""^[^｜]+""),ac_mst!$A:$A,ac_mst!$L:$L),0)
   +IFERROR(
    XLOOKUP(
     IF(
      OR(
       IFERROR(REGEXEXTRACT($M77,""^[^｜"&amp;"]+""),"""")="""",
       IFERROR(REGEXEXTRACT($N77,""^[^｜]+""),"""")=""""
      ),
      """",
      IF(
       IFERROR(REGEXEXTRACT($M77,""^[^｜]+""),"""")&lt;IFERROR(REGEXEXTRACT($N77,""^[^｜]+""),""""),
       IFERROR(REGEXEXTRACT($M77,""^[^｜]+""),"""")&amp;""_"&amp;"""&amp;IFERROR(REGEXEXTRACT($N77,""^[^｜]+""),""""),
       IFERROR(REGEXEXTRACT($N77,""^[^｜]+""),"""")&amp;""_""&amp;IFERROR(REGEXEXTRACT($M77,""^[^｜]+""),"""")
      )
     ),
     sy_mst!$A:$A,
     sy_mst!$I:$I
    ),
    0
   )
  )
  *
  IFERROR(XLOOKUP(REGEXEXTR"&amp;"ACT($I77,""^[^｜]+""),ms_mst!$A:$A,ms_mst!$Q:$Q),1)
  *
  IF(
   $B77&gt;=IFERROR(XLOOKUP(REGEXEXTRACT($L77,""^[^｜]+""),sk_mst!$A:$A,sk_mst!$M:$M),999),
   IFERROR(XLOOKUP(REGEXEXTRACT($L77,""^[^｜]+""),sk_mst!$A:$A,sk_mst!$K:$K),1),
   1
  )
 )
)"),400.0)</f>
        <v>400</v>
      </c>
      <c r="U77" s="25">
        <f>IFERROR(__xludf.DUMMYFUNCTION("IF($A77="""","""",
 IF($F77=""market"",
  IFERROR(XLOOKUP(REGEXEXTRACT($J77,""^[^｜]+""),tr_mst!$A:$A,tr_mst!$J:$J),0)
  +IFERROR(XLOOKUP(REGEXEXTRACT($K77,""^[^｜]+""),tc_mst!$A:$A,tc_mst!$J:$J),0),
  IF($B77=0,
   IFERROR(XLOOKUP(REGEXEXTRACT($I77,""^[^｜]"&amp;"+""),ms_mst!$A:$A,ms_mst!$J:$J),0),
   IFERROR(XLOOKUP(""T""&amp;($B77-1)&amp;""_""&amp;$D77,$A:$A,$U:$U),0)
  )
  +IFERROR(XLOOKUP(REGEXEXTRACT($J77,""^[^｜]+""),tr_mst!$A:$A,tr_mst!$J:$J),0)
  +IFERROR(XLOOKUP(REGEXEXTRACT($K77,""^[^｜]+""),tc_mst!$A:$A,tc_mst!$J:$J)"&amp;",0)
  +
  (
   IFERROR(XLOOKUP(REGEXEXTRACT($M77,""^[^｜]+""),ac_mst!$A:$A,ac_mst!$M:$M),0)
   +IFERROR(XLOOKUP(REGEXEXTRACT($N77,""^[^｜]+""),ac_mst!$A:$A,ac_mst!$M:$M),0)
   +IFERROR(
    XLOOKUP(
     IF(
      OR(
       IFERROR(REGEXEXTRACT($M77,""^[^｜"&amp;"]+""),"""")="""",
       IFERROR(REGEXEXTRACT($N77,""^[^｜]+""),"""")=""""
      ),
      """",
      IF(
       IFERROR(REGEXEXTRACT($M77,""^[^｜]+""),"""")&lt;IFERROR(REGEXEXTRACT($N77,""^[^｜]+""),""""),
       IFERROR(REGEXEXTRACT($M77,""^[^｜]+""),"""")&amp;""_"&amp;"""&amp;IFERROR(REGEXEXTRACT($N77,""^[^｜]+""),""""),
       IFERROR(REGEXEXTRACT($N77,""^[^｜]+""),"""")&amp;""_""&amp;IFERROR(REGEXEXTRACT($M77,""^[^｜]+""),"""")
      )
     ),
     sy_mst!$A:$A,
     sy_mst!$J:$J
    ),
    0
   )
  )
  *
  IFERROR(XLOOKUP(REGEXEXTR"&amp;"ACT($I77,""^[^｜]+""),ms_mst!$A:$A,ms_mst!$R:$R),1)
  *
  IF(
   $B77&gt;=IFERROR(XLOOKUP(REGEXEXTRACT($L77,""^[^｜]+""),sk_mst!$A:$A,sk_mst!$M:$M),999),
   IFERROR(XLOOKUP(REGEXEXTRACT($L77,""^[^｜]+""),sk_mst!$A:$A,sk_mst!$L:$L),1),
   1
  )
 )
)"),5.0)</f>
        <v>5</v>
      </c>
      <c r="V77" s="25">
        <f t="shared" si="1"/>
        <v>14</v>
      </c>
      <c r="W77" s="25">
        <f t="shared" si="2"/>
        <v>-300</v>
      </c>
      <c r="X77" s="25">
        <f t="shared" si="3"/>
        <v>314</v>
      </c>
      <c r="Y77" s="25">
        <f t="shared" si="4"/>
        <v>-0.05</v>
      </c>
      <c r="Z77" s="25">
        <f>IFERROR(__xludf.DUMMYFUNCTION("IF($A77="""","""",
 IF($F77&lt;&gt;""player"","""",
  IFERROR(
   RANK(
    $X77,
    FILTER($X:$X,$B:$B=$B77,$F:$F=""player"",$X:$X&lt;&gt;""""),
    0
   ),
   """"
  )
 )
)"),8.0)</f>
        <v>8</v>
      </c>
      <c r="AA77" s="25" t="str">
        <f t="shared" si="5"/>
        <v>8位</v>
      </c>
      <c r="AB77" s="26">
        <f t="shared" si="6"/>
        <v>0</v>
      </c>
    </row>
    <row r="78">
      <c r="A78" s="25" t="s">
        <v>251</v>
      </c>
      <c r="B78" s="14">
        <v>5.0</v>
      </c>
      <c r="C78" s="14" t="s">
        <v>183</v>
      </c>
      <c r="D78" s="14" t="s">
        <v>184</v>
      </c>
      <c r="E78" s="25" t="s">
        <v>153</v>
      </c>
      <c r="F78" s="25" t="s">
        <v>154</v>
      </c>
      <c r="I78" s="25" t="str">
        <f>IFERROR(__xludf.DUMMYFUNCTION("IF($F78&lt;&gt;""player"","""",IFERROR(INDEX(FILTER(group_setup!$D$2:$D947,group_setup!$B$2:$B947=$C78,group_setup!$G$2:$G947=TRUE,group_setup!$H$2:$H947=""completed""),1),""""))"),"")</f>
        <v/>
      </c>
      <c r="J78" s="25" t="str">
        <f>IFERROR(__xludf.DUMMYFUNCTION("IFERROR(FILTER(market_event_log!$D$2:$D947,market_event_log!$C$2:$C947=$B78,market_event_log!$N$2:$N947=""active""),"""")"),"T04")</f>
        <v>T04</v>
      </c>
      <c r="K78" s="25" t="str">
        <f>IFERROR(__xludf.DUMMYFUNCTION("IFERROR(FILTER(market_event_log!$G$2:$G947,market_event_log!$C$2:$C947=$B78,market_event_log!$N$2:$N947=""active""),"""")"),"C04")</f>
        <v>C04</v>
      </c>
      <c r="L78" s="25" t="str">
        <f>IFERROR(__xludf.DUMMYFUNCTION("IF($F78&lt;&gt;""player"","""",IFERROR(INDEX(FILTER(group_setup!$E$2:$E947,group_setup!$B$2:$B947=$C78,group_setup!$G$2:$G947=TRUE,group_setup!$H$2:$H947=""completed""),1),""""))"),"")</f>
        <v/>
      </c>
      <c r="M78" s="25" t="str">
        <f>IFERROR(__xludf.DUMMYFUNCTION("IF($F78=""market"","""",IF($E78=""HUMAN"",IFERROR(FILTER(turn_log!$G$2:$G947,turn_log!$C$2:$C947=$B78,turn_log!$D$2:$D947=$C78,turn_log!$F$2:$F947=$E78),""""),IFERROR(FILTER(turn_log!$I$2:$I947,turn_log!$C$2:$C947=$B78,turn_log!$D$2:$D947=$C78,turn_log!$F"&amp;"$2:$F947=$E78),"""")))"),"")</f>
        <v/>
      </c>
      <c r="N78" s="25" t="str">
        <f>IFERROR(__xludf.DUMMYFUNCTION("IF($F78=""market"","""",IF($E78=""HUMAN"",IFERROR(FILTER(turn_log!$H$2:$H947,turn_log!$C$2:$C947=$B78,turn_log!$D$2:$D947=$C78,turn_log!$F$2:$F947=$E78),""""),IFERROR(FILTER(turn_log!$J$2:$J947,turn_log!$C$2:$C947=$B78,turn_log!$D$2:$D947=$C78,turn_log!$F"&amp;"$2:$F947=$E78),"""")))"),"")</f>
        <v/>
      </c>
      <c r="O78" s="25">
        <f>IFERROR(__xludf.DUMMYFUNCTION("IF($A78="""","""",
 IF($F78=""market"",
  IFERROR(XLOOKUP(REGEXEXTRACT($J78,""^[^｜]+""),tr_mst!$A:$A,tr_mst!$D:$D),0)
  +IFERROR(XLOOKUP(REGEXEXTRACT($K78,""^[^｜]+""),tc_mst!$A:$A,tc_mst!$D:$D),0),
  IF($B78=0,
   IFERROR(XLOOKUP(REGEXEXTRACT($I78,""^[^｜]"&amp;"+""),ms_mst!$A:$A,ms_mst!$D:$D),0),
   IFERROR(XLOOKUP(""T""&amp;($B78-1)&amp;""_""&amp;$D78,$A:$A,$O:$O),0)
  )
  +IFERROR(XLOOKUP(REGEXEXTRACT($J78,""^[^｜]+""),tr_mst!$A:$A,tr_mst!$D:$D),0)
  +IFERROR(XLOOKUP(REGEXEXTRACT($K78,""^[^｜]+""),tc_mst!$A:$A,tc_mst!$D:$D)"&amp;",0)
  +
  (
   IFERROR(XLOOKUP(REGEXEXTRACT($M78,""^[^｜]+""),ac_mst!$A:$A,ac_mst!$G:$G),0)
   +IFERROR(XLOOKUP(REGEXEXTRACT($N78,""^[^｜]+""),ac_mst!$A:$A,ac_mst!$G:$G),0)
   +IFERROR(
    XLOOKUP(
     IF(
      OR(
       IFERROR(REGEXEXTRACT($M78,""^[^｜"&amp;"]+""),"""")="""",
       IFERROR(REGEXEXTRACT($N78,""^[^｜]+""),"""")=""""
      ),
      """",
      IF(
       IFERROR(REGEXEXTRACT($M78,""^[^｜]+""),"""")&lt;IFERROR(REGEXEXTRACT($N78,""^[^｜]+""),""""),
       IFERROR(REGEXEXTRACT($M78,""^[^｜]+""),"""")&amp;""_"&amp;"""&amp;IFERROR(REGEXEXTRACT($N78,""^[^｜]+""),""""),
       IFERROR(REGEXEXTRACT($N78,""^[^｜]+""),"""")&amp;""_""&amp;IFERROR(REGEXEXTRACT($M78,""^[^｜]+""),"""")
      )
     ),
     sy_mst!$A:$A,
     sy_mst!$D:$D
    ),
    0
   )
  )
  *
  IFERROR(XLOOKUP(REGEXEXTR"&amp;"ACT($I78,""^[^｜]+""),ms_mst!$A:$A,ms_mst!$L:$L),1)
  *
  IF(
   $B78&gt;=IFERROR(XLOOKUP(REGEXEXTRACT($L78,""^[^｜]+""),sk_mst!$A:$A,sk_mst!$M:$M),999),
   IFERROR(XLOOKUP(REGEXEXTRACT($L78,""^[^｜]+""),sk_mst!$A:$A,sk_mst!$F:$F),1),
   1
  )
 )
)"),3200.0)</f>
        <v>3200</v>
      </c>
      <c r="P78" s="25">
        <f>IFERROR(__xludf.DUMMYFUNCTION("IF($A78="""","""",
 IF($F78=""market"",
  IFERROR(XLOOKUP(REGEXEXTRACT($J78,""^[^｜]+""),tr_mst!$A:$A,tr_mst!$E:$E),0)
  +IFERROR(XLOOKUP(REGEXEXTRACT($K78,""^[^｜]+""),tc_mst!$A:$A,tc_mst!$E:$E),0),
  IF($B78=0,
   IFERROR(XLOOKUP(REGEXEXTRACT($I78,""^[^｜]"&amp;"+""),ms_mst!$A:$A,ms_mst!$E:$E),0),
   IFERROR(XLOOKUP(""T""&amp;($B78-1)&amp;""_""&amp;$D78,$A:$A,$P:$P),0)
  )
  +IFERROR(XLOOKUP(REGEXEXTRACT($J78,""^[^｜]+""),tr_mst!$A:$A,tr_mst!$E:$E),0)
  +IFERROR(XLOOKUP(REGEXEXTRACT($K78,""^[^｜]+""),tc_mst!$A:$A,tc_mst!$E:$E)"&amp;",0)
  +
  (
   IFERROR(XLOOKUP(REGEXEXTRACT($M78,""^[^｜]+""),ac_mst!$A:$A,ac_mst!$H:$H),0)
   +IFERROR(XLOOKUP(REGEXEXTRACT($N78,""^[^｜]+""),ac_mst!$A:$A,ac_mst!$H:$H),0)
   +IFERROR(
    XLOOKUP(
     IF(
      OR(
       IFERROR(REGEXEXTRACT($M78,""^[^｜"&amp;"]+""),"""")="""",
       IFERROR(REGEXEXTRACT($N78,""^[^｜]+""),"""")=""""
      ),
      """",
      IF(
       IFERROR(REGEXEXTRACT($M78,""^[^｜]+""),"""")&lt;IFERROR(REGEXEXTRACT($N78,""^[^｜]+""),""""),
       IFERROR(REGEXEXTRACT($M78,""^[^｜]+""),"""")&amp;""_"&amp;"""&amp;IFERROR(REGEXEXTRACT($N78,""^[^｜]+""),""""),
       IFERROR(REGEXEXTRACT($N78,""^[^｜]+""),"""")&amp;""_""&amp;IFERROR(REGEXEXTRACT($M78,""^[^｜]+""),"""")
      )
     ),
     sy_mst!$A:$A,
     sy_mst!$E:$E
    ),
    0
   )
  )
  *
  IFERROR(XLOOKUP(REGEXEXTR"&amp;"ACT($I78,""^[^｜]+""),ms_mst!$A:$A,ms_mst!$M:$M),1)
  *
  IF(
   $B78&gt;=IFERROR(XLOOKUP(REGEXEXTRACT($L78,""^[^｜]+""),sk_mst!$A:$A,sk_mst!$M:$M),999),
   IFERROR(XLOOKUP(REGEXEXTRACT($L78,""^[^｜]+""),sk_mst!$A:$A,sk_mst!$G:$G),1),
   1
  )
 )
)"),-60.0)</f>
        <v>-60</v>
      </c>
      <c r="Q78" s="25">
        <f>IFERROR(__xludf.DUMMYFUNCTION("IF($A78="""","""",
 IF($F78=""market"",
  IFERROR(XLOOKUP(REGEXEXTRACT($J78,""^[^｜]+""),tr_mst!$A:$A,tr_mst!$F:$F),0)
  +IFERROR(XLOOKUP(REGEXEXTRACT($K78,""^[^｜]+""),tc_mst!$A:$A,tc_mst!$F:$F),0),
  IF($B78=0,
   IFERROR(XLOOKUP(REGEXEXTRACT($I78,""^[^｜]"&amp;"+""),ms_mst!$A:$A,ms_mst!$F:$F),0),
   IFERROR(XLOOKUP(""T""&amp;($B78-1)&amp;""_""&amp;$D78,$A:$A,$Q:$Q),0)
  )
  +IFERROR(XLOOKUP(REGEXEXTRACT($J78,""^[^｜]+""),tr_mst!$A:$A,tr_mst!$F:$F),0)
  +IFERROR(XLOOKUP(REGEXEXTRACT($K78,""^[^｜]+""),tc_mst!$A:$A,tc_mst!$F:$F)"&amp;",0)
  +
  (
   IFERROR(XLOOKUP(REGEXEXTRACT($M78,""^[^｜]+""),ac_mst!$A:$A,ac_mst!$I:$I),0)
   +IFERROR(XLOOKUP(REGEXEXTRACT($N78,""^[^｜]+""),ac_mst!$A:$A,ac_mst!$I:$I),0)
   +IFERROR(
    XLOOKUP(
     IF(
      OR(
       IFERROR(REGEXEXTRACT($M78,""^[^｜"&amp;"]+""),"""")="""",
       IFERROR(REGEXEXTRACT($N78,""^[^｜]+""),"""")=""""
      ),
      """",
      IF(
       IFERROR(REGEXEXTRACT($M78,""^[^｜]+""),"""")&lt;IFERROR(REGEXEXTRACT($N78,""^[^｜]+""),""""),
       IFERROR(REGEXEXTRACT($M78,""^[^｜]+""),"""")&amp;""_"&amp;"""&amp;IFERROR(REGEXEXTRACT($N78,""^[^｜]+""),""""),
       IFERROR(REGEXEXTRACT($N78,""^[^｜]+""),"""")&amp;""_""&amp;IFERROR(REGEXEXTRACT($M78,""^[^｜]+""),"""")
      )
     ),
     sy_mst!$A:$A,
     sy_mst!$F:$F
    ),
    0
   )
  )
  *
  IFERROR(XLOOKUP(REGEXEXTR"&amp;"ACT($I78,""^[^｜]+""),ms_mst!$A:$A,ms_mst!$N:$N),1)
  *
  IF(
   $B78&gt;=IFERROR(XLOOKUP(REGEXEXTRACT($L78,""^[^｜]+""),sk_mst!$A:$A,sk_mst!$M:$M),999),
   IFERROR(XLOOKUP(REGEXEXTRACT($L78,""^[^｜]+""),sk_mst!$A:$A,sk_mst!$H:$H),1),
   1
  )
 )
)"),0.04)</f>
        <v>0.04</v>
      </c>
      <c r="R78" s="25">
        <f>IFERROR(__xludf.DUMMYFUNCTION("IF($A78="""","""",
 IF($F78=""market"",
  IFERROR(XLOOKUP(REGEXEXTRACT($J78,""^[^｜]+""),tr_mst!$A:$A,tr_mst!$G:$G),0)
  +IFERROR(XLOOKUP(REGEXEXTRACT($K78,""^[^｜]+""),tc_mst!$A:$A,tc_mst!$G:$G),0),
  IF($B78=0,
   IFERROR(XLOOKUP(REGEXEXTRACT($I78,""^[^｜]"&amp;"+""),ms_mst!$A:$A,ms_mst!$G:$G),0),
   IFERROR(XLOOKUP(""T""&amp;($B78-1)&amp;""_""&amp;$D78,$A:$A,$R:$R),0)
  )
  +IFERROR(XLOOKUP(REGEXEXTRACT($J78,""^[^｜]+""),tr_mst!$A:$A,tr_mst!$G:$G),0)
  +IFERROR(XLOOKUP(REGEXEXTRACT($K78,""^[^｜]+""),tc_mst!$A:$A,tc_mst!$G:$G)"&amp;",0)
  +
  (
   IFERROR(XLOOKUP(REGEXEXTRACT($M78,""^[^｜]+""),ac_mst!$A:$A,ac_mst!$J:$J),0)
   +IFERROR(XLOOKUP(REGEXEXTRACT($N78,""^[^｜]+""),ac_mst!$A:$A,ac_mst!$J:$J),0)
   +IFERROR(
    XLOOKUP(
     IF(
      OR(
       IFERROR(REGEXEXTRACT($M78,""^[^｜"&amp;"]+""),"""")="""",
       IFERROR(REGEXEXTRACT($N78,""^[^｜]+""),"""")=""""
      ),
      """",
      IF(
       IFERROR(REGEXEXTRACT($M78,""^[^｜]+""),"""")&lt;IFERROR(REGEXEXTRACT($N78,""^[^｜]+""),""""),
       IFERROR(REGEXEXTRACT($M78,""^[^｜]+""),"""")&amp;""_"&amp;"""&amp;IFERROR(REGEXEXTRACT($N78,""^[^｜]+""),""""),
       IFERROR(REGEXEXTRACT($N78,""^[^｜]+""),"""")&amp;""_""&amp;IFERROR(REGEXEXTRACT($M78,""^[^｜]+""),"""")
      )
     ),
     sy_mst!$A:$A,
     sy_mst!$G:$G
    ),
    0
   )
  )
  *
  IFERROR(XLOOKUP(REGEXEXTR"&amp;"ACT($I78,""^[^｜]+""),ms_mst!$A:$A,ms_mst!$O:$O),1)
  *
  IF(
   $B78&gt;=IFERROR(XLOOKUP(REGEXEXTRACT($L78,""^[^｜]+""),sk_mst!$A:$A,sk_mst!$M:$M),999),
   IFERROR(XLOOKUP(REGEXEXTRACT($L78,""^[^｜]+""),sk_mst!$A:$A,sk_mst!$I:$I),1),
   1
  )
 )
)"),0.019999999999999997)</f>
        <v>0.02</v>
      </c>
      <c r="S78" s="25">
        <f>IFERROR(__xludf.DUMMYFUNCTION("IF($A78="""","""",
 IF($F78=""market"",
  IFERROR(XLOOKUP(REGEXEXTRACT($J78,""^[^｜]+""),tr_mst!$A:$A,tr_mst!$H:$H),0)
  +IFERROR(XLOOKUP(REGEXEXTRACT($K78,""^[^｜]+""),tc_mst!$A:$A,tc_mst!$H:$H),0),
  IF($B78=0,
   IFERROR(XLOOKUP(REGEXEXTRACT($I78,""^[^｜]"&amp;"+""),ms_mst!$A:$A,ms_mst!$H:$H),0),
   IFERROR(XLOOKUP(""T""&amp;($B78-1)&amp;""_""&amp;$D78,$A:$A,$S:$S),0)
  )
  +IFERROR(XLOOKUP(REGEXEXTRACT($J78,""^[^｜]+""),tr_mst!$A:$A,tr_mst!$H:$H),0)
  +IFERROR(XLOOKUP(REGEXEXTRACT($K78,""^[^｜]+""),tc_mst!$A:$A,tc_mst!$H:$H)"&amp;",0)
  +
  (
   IFERROR(XLOOKUP(REGEXEXTRACT($M78,""^[^｜]+""),ac_mst!$A:$A,ac_mst!$K:$K),0)
   +IFERROR(XLOOKUP(REGEXEXTRACT($N78,""^[^｜]+""),ac_mst!$A:$A,ac_mst!$K:$K),0)
   +IFERROR(
    XLOOKUP(
     IF(
      OR(
       IFERROR(REGEXEXTRACT($M78,""^[^｜"&amp;"]+""),"""")="""",
       IFERROR(REGEXEXTRACT($N78,""^[^｜]+""),"""")=""""
      ),
      """",
      IF(
       IFERROR(REGEXEXTRACT($M78,""^[^｜]+""),"""")&lt;IFERROR(REGEXEXTRACT($N78,""^[^｜]+""),""""),
       IFERROR(REGEXEXTRACT($M78,""^[^｜]+""),"""")&amp;""_"&amp;"""&amp;IFERROR(REGEXEXTRACT($N78,""^[^｜]+""),""""),
       IFERROR(REGEXEXTRACT($N78,""^[^｜]+""),"""")&amp;""_""&amp;IFERROR(REGEXEXTRACT($M78,""^[^｜]+""),"""")
      )
     ),
     sy_mst!$A:$A,
     sy_mst!$H:$H
    ),
    0
   )
  )
  *
  IFERROR(XLOOKUP(REGEXEXTR"&amp;"ACT($I78,""^[^｜]+""),ms_mst!$A:$A,ms_mst!$P:$P),1)
  *
  IF(
   $B78&gt;=IFERROR(XLOOKUP(REGEXEXTRACT($L78,""^[^｜]+""),sk_mst!$A:$A,sk_mst!$M:$M),999),
   IFERROR(XLOOKUP(REGEXEXTRACT($L78,""^[^｜]+""),sk_mst!$A:$A,sk_mst!$J:$J),1),
   1
  )
 )
)"),5.999999999999998E-4)</f>
        <v>0.0006</v>
      </c>
      <c r="T78" s="25">
        <f>IFERROR(__xludf.DUMMYFUNCTION("IF($A78="""","""",
 IF($F78=""market"",
  IFERROR(XLOOKUP(REGEXEXTRACT($J78,""^[^｜]+""),tr_mst!$A:$A,tr_mst!$I:$I),0)
  +IFERROR(XLOOKUP(REGEXEXTRACT($K78,""^[^｜]+""),tc_mst!$A:$A,tc_mst!$I:$I),0),
  IF($B78=0,
   IFERROR(XLOOKUP(REGEXEXTRACT($I78,""^[^｜]"&amp;"+""),ms_mst!$A:$A,ms_mst!$I:$I),0),
   IFERROR(XLOOKUP(""T""&amp;($B78-1)&amp;""_""&amp;$D78,$A:$A,$T:$T),0)
  )
  +IFERROR(XLOOKUP(REGEXEXTRACT($J78,""^[^｜]+""),tr_mst!$A:$A,tr_mst!$I:$I),0)
  +IFERROR(XLOOKUP(REGEXEXTRACT($K78,""^[^｜]+""),tc_mst!$A:$A,tc_mst!$I:$I)"&amp;",0)
  +
  (
   IFERROR(XLOOKUP(REGEXEXTRACT($M78,""^[^｜]+""),ac_mst!$A:$A,ac_mst!$L:$L),0)
   +IFERROR(XLOOKUP(REGEXEXTRACT($N78,""^[^｜]+""),ac_mst!$A:$A,ac_mst!$L:$L),0)
   +IFERROR(
    XLOOKUP(
     IF(
      OR(
       IFERROR(REGEXEXTRACT($M78,""^[^｜"&amp;"]+""),"""")="""",
       IFERROR(REGEXEXTRACT($N78,""^[^｜]+""),"""")=""""
      ),
      """",
      IF(
       IFERROR(REGEXEXTRACT($M78,""^[^｜]+""),"""")&lt;IFERROR(REGEXEXTRACT($N78,""^[^｜]+""),""""),
       IFERROR(REGEXEXTRACT($M78,""^[^｜]+""),"""")&amp;""_"&amp;"""&amp;IFERROR(REGEXEXTRACT($N78,""^[^｜]+""),""""),
       IFERROR(REGEXEXTRACT($N78,""^[^｜]+""),"""")&amp;""_""&amp;IFERROR(REGEXEXTRACT($M78,""^[^｜]+""),"""")
      )
     ),
     sy_mst!$A:$A,
     sy_mst!$I:$I
    ),
    0
   )
  )
  *
  IFERROR(XLOOKUP(REGEXEXTR"&amp;"ACT($I78,""^[^｜]+""),ms_mst!$A:$A,ms_mst!$Q:$Q),1)
  *
  IF(
   $B78&gt;=IFERROR(XLOOKUP(REGEXEXTRACT($L78,""^[^｜]+""),sk_mst!$A:$A,sk_mst!$M:$M),999),
   IFERROR(XLOOKUP(REGEXEXTRACT($L78,""^[^｜]+""),sk_mst!$A:$A,sk_mst!$K:$K),1),
   1
  )
 )
)"),400.0)</f>
        <v>400</v>
      </c>
      <c r="U78" s="25">
        <f>IFERROR(__xludf.DUMMYFUNCTION("IF($A78="""","""",
 IF($F78=""market"",
  IFERROR(XLOOKUP(REGEXEXTRACT($J78,""^[^｜]+""),tr_mst!$A:$A,tr_mst!$J:$J),0)
  +IFERROR(XLOOKUP(REGEXEXTRACT($K78,""^[^｜]+""),tc_mst!$A:$A,tc_mst!$J:$J),0),
  IF($B78=0,
   IFERROR(XLOOKUP(REGEXEXTRACT($I78,""^[^｜]"&amp;"+""),ms_mst!$A:$A,ms_mst!$J:$J),0),
   IFERROR(XLOOKUP(""T""&amp;($B78-1)&amp;""_""&amp;$D78,$A:$A,$U:$U),0)
  )
  +IFERROR(XLOOKUP(REGEXEXTRACT($J78,""^[^｜]+""),tr_mst!$A:$A,tr_mst!$J:$J),0)
  +IFERROR(XLOOKUP(REGEXEXTRACT($K78,""^[^｜]+""),tc_mst!$A:$A,tc_mst!$J:$J)"&amp;",0)
  +
  (
   IFERROR(XLOOKUP(REGEXEXTRACT($M78,""^[^｜]+""),ac_mst!$A:$A,ac_mst!$M:$M),0)
   +IFERROR(XLOOKUP(REGEXEXTRACT($N78,""^[^｜]+""),ac_mst!$A:$A,ac_mst!$M:$M),0)
   +IFERROR(
    XLOOKUP(
     IF(
      OR(
       IFERROR(REGEXEXTRACT($M78,""^[^｜"&amp;"]+""),"""")="""",
       IFERROR(REGEXEXTRACT($N78,""^[^｜]+""),"""")=""""
      ),
      """",
      IF(
       IFERROR(REGEXEXTRACT($M78,""^[^｜]+""),"""")&lt;IFERROR(REGEXEXTRACT($N78,""^[^｜]+""),""""),
       IFERROR(REGEXEXTRACT($M78,""^[^｜]+""),"""")&amp;""_"&amp;"""&amp;IFERROR(REGEXEXTRACT($N78,""^[^｜]+""),""""),
       IFERROR(REGEXEXTRACT($N78,""^[^｜]+""),"""")&amp;""_""&amp;IFERROR(REGEXEXTRACT($M78,""^[^｜]+""),"""")
      )
     ),
     sy_mst!$A:$A,
     sy_mst!$J:$J
    ),
    0
   )
  )
  *
  IFERROR(XLOOKUP(REGEXEXTR"&amp;"ACT($I78,""^[^｜]+""),ms_mst!$A:$A,ms_mst!$R:$R),1)
  *
  IF(
   $B78&gt;=IFERROR(XLOOKUP(REGEXEXTRACT($L78,""^[^｜]+""),sk_mst!$A:$A,sk_mst!$M:$M),999),
   IFERROR(XLOOKUP(REGEXEXTRACT($L78,""^[^｜]+""),sk_mst!$A:$A,sk_mst!$L:$L),1),
   1
  )
 )
)"),5.0)</f>
        <v>5</v>
      </c>
      <c r="V78" s="25">
        <f t="shared" si="1"/>
        <v>14</v>
      </c>
      <c r="W78" s="25">
        <f t="shared" si="2"/>
        <v>-300</v>
      </c>
      <c r="X78" s="25">
        <f t="shared" si="3"/>
        <v>314</v>
      </c>
      <c r="Y78" s="25">
        <f t="shared" si="4"/>
        <v>-0.05</v>
      </c>
      <c r="Z78" s="25">
        <f>IFERROR(__xludf.DUMMYFUNCTION("IF($A78="""","""",
 IF($F78&lt;&gt;""player"","""",
  IFERROR(
   RANK(
    $X78,
    FILTER($X:$X,$B:$B=$B78,$F:$F=""player"",$X:$X&lt;&gt;""""),
    0
   ),
   """"
  )
 )
)"),8.0)</f>
        <v>8</v>
      </c>
      <c r="AA78" s="25" t="str">
        <f t="shared" si="5"/>
        <v>8位</v>
      </c>
      <c r="AB78" s="26">
        <f t="shared" si="6"/>
        <v>0</v>
      </c>
    </row>
    <row r="79">
      <c r="A79" s="25" t="s">
        <v>252</v>
      </c>
      <c r="B79" s="14">
        <v>5.0</v>
      </c>
      <c r="C79" s="14" t="s">
        <v>186</v>
      </c>
      <c r="D79" s="14" t="s">
        <v>187</v>
      </c>
      <c r="E79" s="25" t="s">
        <v>153</v>
      </c>
      <c r="F79" s="25" t="s">
        <v>154</v>
      </c>
      <c r="I79" s="25" t="str">
        <f>IFERROR(__xludf.DUMMYFUNCTION("IF($F79&lt;&gt;""player"","""",IFERROR(INDEX(FILTER(group_setup!$D$2:$D947,group_setup!$B$2:$B947=$C79,group_setup!$G$2:$G947=TRUE,group_setup!$H$2:$H947=""completed""),1),""""))"),"")</f>
        <v/>
      </c>
      <c r="J79" s="25" t="str">
        <f>IFERROR(__xludf.DUMMYFUNCTION("IFERROR(FILTER(market_event_log!$D$2:$D947,market_event_log!$C$2:$C947=$B79,market_event_log!$N$2:$N947=""active""),"""")"),"T04")</f>
        <v>T04</v>
      </c>
      <c r="K79" s="25" t="str">
        <f>IFERROR(__xludf.DUMMYFUNCTION("IFERROR(FILTER(market_event_log!$G$2:$G947,market_event_log!$C$2:$C947=$B79,market_event_log!$N$2:$N947=""active""),"""")"),"C04")</f>
        <v>C04</v>
      </c>
      <c r="L79" s="25" t="str">
        <f>IFERROR(__xludf.DUMMYFUNCTION("IF($F79&lt;&gt;""player"","""",IFERROR(INDEX(FILTER(group_setup!$E$2:$E947,group_setup!$B$2:$B947=$C79,group_setup!$G$2:$G947=TRUE,group_setup!$H$2:$H947=""completed""),1),""""))"),"")</f>
        <v/>
      </c>
      <c r="M79" s="25" t="str">
        <f>IFERROR(__xludf.DUMMYFUNCTION("IF($F79=""market"","""",IF($E79=""HUMAN"",IFERROR(FILTER(turn_log!$G$2:$G947,turn_log!$C$2:$C947=$B79,turn_log!$D$2:$D947=$C79,turn_log!$F$2:$F947=$E79),""""),IFERROR(FILTER(turn_log!$I$2:$I947,turn_log!$C$2:$C947=$B79,turn_log!$D$2:$D947=$C79,turn_log!$F"&amp;"$2:$F947=$E79),"""")))"),"")</f>
        <v/>
      </c>
      <c r="N79" s="25" t="str">
        <f>IFERROR(__xludf.DUMMYFUNCTION("IF($F79=""market"","""",IF($E79=""HUMAN"",IFERROR(FILTER(turn_log!$H$2:$H947,turn_log!$C$2:$C947=$B79,turn_log!$D$2:$D947=$C79,turn_log!$F$2:$F947=$E79),""""),IFERROR(FILTER(turn_log!$J$2:$J947,turn_log!$C$2:$C947=$B79,turn_log!$D$2:$D947=$C79,turn_log!$F"&amp;"$2:$F947=$E79),"""")))"),"")</f>
        <v/>
      </c>
      <c r="O79" s="25">
        <f>IFERROR(__xludf.DUMMYFUNCTION("IF($A79="""","""",
 IF($F79=""market"",
  IFERROR(XLOOKUP(REGEXEXTRACT($J79,""^[^｜]+""),tr_mst!$A:$A,tr_mst!$D:$D),0)
  +IFERROR(XLOOKUP(REGEXEXTRACT($K79,""^[^｜]+""),tc_mst!$A:$A,tc_mst!$D:$D),0),
  IF($B79=0,
   IFERROR(XLOOKUP(REGEXEXTRACT($I79,""^[^｜]"&amp;"+""),ms_mst!$A:$A,ms_mst!$D:$D),0),
   IFERROR(XLOOKUP(""T""&amp;($B79-1)&amp;""_""&amp;$D79,$A:$A,$O:$O),0)
  )
  +IFERROR(XLOOKUP(REGEXEXTRACT($J79,""^[^｜]+""),tr_mst!$A:$A,tr_mst!$D:$D),0)
  +IFERROR(XLOOKUP(REGEXEXTRACT($K79,""^[^｜]+""),tc_mst!$A:$A,tc_mst!$D:$D)"&amp;",0)
  +
  (
   IFERROR(XLOOKUP(REGEXEXTRACT($M79,""^[^｜]+""),ac_mst!$A:$A,ac_mst!$G:$G),0)
   +IFERROR(XLOOKUP(REGEXEXTRACT($N79,""^[^｜]+""),ac_mst!$A:$A,ac_mst!$G:$G),0)
   +IFERROR(
    XLOOKUP(
     IF(
      OR(
       IFERROR(REGEXEXTRACT($M79,""^[^｜"&amp;"]+""),"""")="""",
       IFERROR(REGEXEXTRACT($N79,""^[^｜]+""),"""")=""""
      ),
      """",
      IF(
       IFERROR(REGEXEXTRACT($M79,""^[^｜]+""),"""")&lt;IFERROR(REGEXEXTRACT($N79,""^[^｜]+""),""""),
       IFERROR(REGEXEXTRACT($M79,""^[^｜]+""),"""")&amp;""_"&amp;"""&amp;IFERROR(REGEXEXTRACT($N79,""^[^｜]+""),""""),
       IFERROR(REGEXEXTRACT($N79,""^[^｜]+""),"""")&amp;""_""&amp;IFERROR(REGEXEXTRACT($M79,""^[^｜]+""),"""")
      )
     ),
     sy_mst!$A:$A,
     sy_mst!$D:$D
    ),
    0
   )
  )
  *
  IFERROR(XLOOKUP(REGEXEXTR"&amp;"ACT($I79,""^[^｜]+""),ms_mst!$A:$A,ms_mst!$L:$L),1)
  *
  IF(
   $B79&gt;=IFERROR(XLOOKUP(REGEXEXTRACT($L79,""^[^｜]+""),sk_mst!$A:$A,sk_mst!$M:$M),999),
   IFERROR(XLOOKUP(REGEXEXTRACT($L79,""^[^｜]+""),sk_mst!$A:$A,sk_mst!$F:$F),1),
   1
  )
 )
)"),3200.0)</f>
        <v>3200</v>
      </c>
      <c r="P79" s="25">
        <f>IFERROR(__xludf.DUMMYFUNCTION("IF($A79="""","""",
 IF($F79=""market"",
  IFERROR(XLOOKUP(REGEXEXTRACT($J79,""^[^｜]+""),tr_mst!$A:$A,tr_mst!$E:$E),0)
  +IFERROR(XLOOKUP(REGEXEXTRACT($K79,""^[^｜]+""),tc_mst!$A:$A,tc_mst!$E:$E),0),
  IF($B79=0,
   IFERROR(XLOOKUP(REGEXEXTRACT($I79,""^[^｜]"&amp;"+""),ms_mst!$A:$A,ms_mst!$E:$E),0),
   IFERROR(XLOOKUP(""T""&amp;($B79-1)&amp;""_""&amp;$D79,$A:$A,$P:$P),0)
  )
  +IFERROR(XLOOKUP(REGEXEXTRACT($J79,""^[^｜]+""),tr_mst!$A:$A,tr_mst!$E:$E),0)
  +IFERROR(XLOOKUP(REGEXEXTRACT($K79,""^[^｜]+""),tc_mst!$A:$A,tc_mst!$E:$E)"&amp;",0)
  +
  (
   IFERROR(XLOOKUP(REGEXEXTRACT($M79,""^[^｜]+""),ac_mst!$A:$A,ac_mst!$H:$H),0)
   +IFERROR(XLOOKUP(REGEXEXTRACT($N79,""^[^｜]+""),ac_mst!$A:$A,ac_mst!$H:$H),0)
   +IFERROR(
    XLOOKUP(
     IF(
      OR(
       IFERROR(REGEXEXTRACT($M79,""^[^｜"&amp;"]+""),"""")="""",
       IFERROR(REGEXEXTRACT($N79,""^[^｜]+""),"""")=""""
      ),
      """",
      IF(
       IFERROR(REGEXEXTRACT($M79,""^[^｜]+""),"""")&lt;IFERROR(REGEXEXTRACT($N79,""^[^｜]+""),""""),
       IFERROR(REGEXEXTRACT($M79,""^[^｜]+""),"""")&amp;""_"&amp;"""&amp;IFERROR(REGEXEXTRACT($N79,""^[^｜]+""),""""),
       IFERROR(REGEXEXTRACT($N79,""^[^｜]+""),"""")&amp;""_""&amp;IFERROR(REGEXEXTRACT($M79,""^[^｜]+""),"""")
      )
     ),
     sy_mst!$A:$A,
     sy_mst!$E:$E
    ),
    0
   )
  )
  *
  IFERROR(XLOOKUP(REGEXEXTR"&amp;"ACT($I79,""^[^｜]+""),ms_mst!$A:$A,ms_mst!$M:$M),1)
  *
  IF(
   $B79&gt;=IFERROR(XLOOKUP(REGEXEXTRACT($L79,""^[^｜]+""),sk_mst!$A:$A,sk_mst!$M:$M),999),
   IFERROR(XLOOKUP(REGEXEXTRACT($L79,""^[^｜]+""),sk_mst!$A:$A,sk_mst!$G:$G),1),
   1
  )
 )
)"),-60.0)</f>
        <v>-60</v>
      </c>
      <c r="Q79" s="25">
        <f>IFERROR(__xludf.DUMMYFUNCTION("IF($A79="""","""",
 IF($F79=""market"",
  IFERROR(XLOOKUP(REGEXEXTRACT($J79,""^[^｜]+""),tr_mst!$A:$A,tr_mst!$F:$F),0)
  +IFERROR(XLOOKUP(REGEXEXTRACT($K79,""^[^｜]+""),tc_mst!$A:$A,tc_mst!$F:$F),0),
  IF($B79=0,
   IFERROR(XLOOKUP(REGEXEXTRACT($I79,""^[^｜]"&amp;"+""),ms_mst!$A:$A,ms_mst!$F:$F),0),
   IFERROR(XLOOKUP(""T""&amp;($B79-1)&amp;""_""&amp;$D79,$A:$A,$Q:$Q),0)
  )
  +IFERROR(XLOOKUP(REGEXEXTRACT($J79,""^[^｜]+""),tr_mst!$A:$A,tr_mst!$F:$F),0)
  +IFERROR(XLOOKUP(REGEXEXTRACT($K79,""^[^｜]+""),tc_mst!$A:$A,tc_mst!$F:$F)"&amp;",0)
  +
  (
   IFERROR(XLOOKUP(REGEXEXTRACT($M79,""^[^｜]+""),ac_mst!$A:$A,ac_mst!$I:$I),0)
   +IFERROR(XLOOKUP(REGEXEXTRACT($N79,""^[^｜]+""),ac_mst!$A:$A,ac_mst!$I:$I),0)
   +IFERROR(
    XLOOKUP(
     IF(
      OR(
       IFERROR(REGEXEXTRACT($M79,""^[^｜"&amp;"]+""),"""")="""",
       IFERROR(REGEXEXTRACT($N79,""^[^｜]+""),"""")=""""
      ),
      """",
      IF(
       IFERROR(REGEXEXTRACT($M79,""^[^｜]+""),"""")&lt;IFERROR(REGEXEXTRACT($N79,""^[^｜]+""),""""),
       IFERROR(REGEXEXTRACT($M79,""^[^｜]+""),"""")&amp;""_"&amp;"""&amp;IFERROR(REGEXEXTRACT($N79,""^[^｜]+""),""""),
       IFERROR(REGEXEXTRACT($N79,""^[^｜]+""),"""")&amp;""_""&amp;IFERROR(REGEXEXTRACT($M79,""^[^｜]+""),"""")
      )
     ),
     sy_mst!$A:$A,
     sy_mst!$F:$F
    ),
    0
   )
  )
  *
  IFERROR(XLOOKUP(REGEXEXTR"&amp;"ACT($I79,""^[^｜]+""),ms_mst!$A:$A,ms_mst!$N:$N),1)
  *
  IF(
   $B79&gt;=IFERROR(XLOOKUP(REGEXEXTRACT($L79,""^[^｜]+""),sk_mst!$A:$A,sk_mst!$M:$M),999),
   IFERROR(XLOOKUP(REGEXEXTRACT($L79,""^[^｜]+""),sk_mst!$A:$A,sk_mst!$H:$H),1),
   1
  )
 )
)"),0.04)</f>
        <v>0.04</v>
      </c>
      <c r="R79" s="25">
        <f>IFERROR(__xludf.DUMMYFUNCTION("IF($A79="""","""",
 IF($F79=""market"",
  IFERROR(XLOOKUP(REGEXEXTRACT($J79,""^[^｜]+""),tr_mst!$A:$A,tr_mst!$G:$G),0)
  +IFERROR(XLOOKUP(REGEXEXTRACT($K79,""^[^｜]+""),tc_mst!$A:$A,tc_mst!$G:$G),0),
  IF($B79=0,
   IFERROR(XLOOKUP(REGEXEXTRACT($I79,""^[^｜]"&amp;"+""),ms_mst!$A:$A,ms_mst!$G:$G),0),
   IFERROR(XLOOKUP(""T""&amp;($B79-1)&amp;""_""&amp;$D79,$A:$A,$R:$R),0)
  )
  +IFERROR(XLOOKUP(REGEXEXTRACT($J79,""^[^｜]+""),tr_mst!$A:$A,tr_mst!$G:$G),0)
  +IFERROR(XLOOKUP(REGEXEXTRACT($K79,""^[^｜]+""),tc_mst!$A:$A,tc_mst!$G:$G)"&amp;",0)
  +
  (
   IFERROR(XLOOKUP(REGEXEXTRACT($M79,""^[^｜]+""),ac_mst!$A:$A,ac_mst!$J:$J),0)
   +IFERROR(XLOOKUP(REGEXEXTRACT($N79,""^[^｜]+""),ac_mst!$A:$A,ac_mst!$J:$J),0)
   +IFERROR(
    XLOOKUP(
     IF(
      OR(
       IFERROR(REGEXEXTRACT($M79,""^[^｜"&amp;"]+""),"""")="""",
       IFERROR(REGEXEXTRACT($N79,""^[^｜]+""),"""")=""""
      ),
      """",
      IF(
       IFERROR(REGEXEXTRACT($M79,""^[^｜]+""),"""")&lt;IFERROR(REGEXEXTRACT($N79,""^[^｜]+""),""""),
       IFERROR(REGEXEXTRACT($M79,""^[^｜]+""),"""")&amp;""_"&amp;"""&amp;IFERROR(REGEXEXTRACT($N79,""^[^｜]+""),""""),
       IFERROR(REGEXEXTRACT($N79,""^[^｜]+""),"""")&amp;""_""&amp;IFERROR(REGEXEXTRACT($M79,""^[^｜]+""),"""")
      )
     ),
     sy_mst!$A:$A,
     sy_mst!$G:$G
    ),
    0
   )
  )
  *
  IFERROR(XLOOKUP(REGEXEXTR"&amp;"ACT($I79,""^[^｜]+""),ms_mst!$A:$A,ms_mst!$O:$O),1)
  *
  IF(
   $B79&gt;=IFERROR(XLOOKUP(REGEXEXTRACT($L79,""^[^｜]+""),sk_mst!$A:$A,sk_mst!$M:$M),999),
   IFERROR(XLOOKUP(REGEXEXTRACT($L79,""^[^｜]+""),sk_mst!$A:$A,sk_mst!$I:$I),1),
   1
  )
 )
)"),0.019999999999999997)</f>
        <v>0.02</v>
      </c>
      <c r="S79" s="25">
        <f>IFERROR(__xludf.DUMMYFUNCTION("IF($A79="""","""",
 IF($F79=""market"",
  IFERROR(XLOOKUP(REGEXEXTRACT($J79,""^[^｜]+""),tr_mst!$A:$A,tr_mst!$H:$H),0)
  +IFERROR(XLOOKUP(REGEXEXTRACT($K79,""^[^｜]+""),tc_mst!$A:$A,tc_mst!$H:$H),0),
  IF($B79=0,
   IFERROR(XLOOKUP(REGEXEXTRACT($I79,""^[^｜]"&amp;"+""),ms_mst!$A:$A,ms_mst!$H:$H),0),
   IFERROR(XLOOKUP(""T""&amp;($B79-1)&amp;""_""&amp;$D79,$A:$A,$S:$S),0)
  )
  +IFERROR(XLOOKUP(REGEXEXTRACT($J79,""^[^｜]+""),tr_mst!$A:$A,tr_mst!$H:$H),0)
  +IFERROR(XLOOKUP(REGEXEXTRACT($K79,""^[^｜]+""),tc_mst!$A:$A,tc_mst!$H:$H)"&amp;",0)
  +
  (
   IFERROR(XLOOKUP(REGEXEXTRACT($M79,""^[^｜]+""),ac_mst!$A:$A,ac_mst!$K:$K),0)
   +IFERROR(XLOOKUP(REGEXEXTRACT($N79,""^[^｜]+""),ac_mst!$A:$A,ac_mst!$K:$K),0)
   +IFERROR(
    XLOOKUP(
     IF(
      OR(
       IFERROR(REGEXEXTRACT($M79,""^[^｜"&amp;"]+""),"""")="""",
       IFERROR(REGEXEXTRACT($N79,""^[^｜]+""),"""")=""""
      ),
      """",
      IF(
       IFERROR(REGEXEXTRACT($M79,""^[^｜]+""),"""")&lt;IFERROR(REGEXEXTRACT($N79,""^[^｜]+""),""""),
       IFERROR(REGEXEXTRACT($M79,""^[^｜]+""),"""")&amp;""_"&amp;"""&amp;IFERROR(REGEXEXTRACT($N79,""^[^｜]+""),""""),
       IFERROR(REGEXEXTRACT($N79,""^[^｜]+""),"""")&amp;""_""&amp;IFERROR(REGEXEXTRACT($M79,""^[^｜]+""),"""")
      )
     ),
     sy_mst!$A:$A,
     sy_mst!$H:$H
    ),
    0
   )
  )
  *
  IFERROR(XLOOKUP(REGEXEXTR"&amp;"ACT($I79,""^[^｜]+""),ms_mst!$A:$A,ms_mst!$P:$P),1)
  *
  IF(
   $B79&gt;=IFERROR(XLOOKUP(REGEXEXTRACT($L79,""^[^｜]+""),sk_mst!$A:$A,sk_mst!$M:$M),999),
   IFERROR(XLOOKUP(REGEXEXTRACT($L79,""^[^｜]+""),sk_mst!$A:$A,sk_mst!$J:$J),1),
   1
  )
 )
)"),5.999999999999998E-4)</f>
        <v>0.0006</v>
      </c>
      <c r="T79" s="25">
        <f>IFERROR(__xludf.DUMMYFUNCTION("IF($A79="""","""",
 IF($F79=""market"",
  IFERROR(XLOOKUP(REGEXEXTRACT($J79,""^[^｜]+""),tr_mst!$A:$A,tr_mst!$I:$I),0)
  +IFERROR(XLOOKUP(REGEXEXTRACT($K79,""^[^｜]+""),tc_mst!$A:$A,tc_mst!$I:$I),0),
  IF($B79=0,
   IFERROR(XLOOKUP(REGEXEXTRACT($I79,""^[^｜]"&amp;"+""),ms_mst!$A:$A,ms_mst!$I:$I),0),
   IFERROR(XLOOKUP(""T""&amp;($B79-1)&amp;""_""&amp;$D79,$A:$A,$T:$T),0)
  )
  +IFERROR(XLOOKUP(REGEXEXTRACT($J79,""^[^｜]+""),tr_mst!$A:$A,tr_mst!$I:$I),0)
  +IFERROR(XLOOKUP(REGEXEXTRACT($K79,""^[^｜]+""),tc_mst!$A:$A,tc_mst!$I:$I)"&amp;",0)
  +
  (
   IFERROR(XLOOKUP(REGEXEXTRACT($M79,""^[^｜]+""),ac_mst!$A:$A,ac_mst!$L:$L),0)
   +IFERROR(XLOOKUP(REGEXEXTRACT($N79,""^[^｜]+""),ac_mst!$A:$A,ac_mst!$L:$L),0)
   +IFERROR(
    XLOOKUP(
     IF(
      OR(
       IFERROR(REGEXEXTRACT($M79,""^[^｜"&amp;"]+""),"""")="""",
       IFERROR(REGEXEXTRACT($N79,""^[^｜]+""),"""")=""""
      ),
      """",
      IF(
       IFERROR(REGEXEXTRACT($M79,""^[^｜]+""),"""")&lt;IFERROR(REGEXEXTRACT($N79,""^[^｜]+""),""""),
       IFERROR(REGEXEXTRACT($M79,""^[^｜]+""),"""")&amp;""_"&amp;"""&amp;IFERROR(REGEXEXTRACT($N79,""^[^｜]+""),""""),
       IFERROR(REGEXEXTRACT($N79,""^[^｜]+""),"""")&amp;""_""&amp;IFERROR(REGEXEXTRACT($M79,""^[^｜]+""),"""")
      )
     ),
     sy_mst!$A:$A,
     sy_mst!$I:$I
    ),
    0
   )
  )
  *
  IFERROR(XLOOKUP(REGEXEXTR"&amp;"ACT($I79,""^[^｜]+""),ms_mst!$A:$A,ms_mst!$Q:$Q),1)
  *
  IF(
   $B79&gt;=IFERROR(XLOOKUP(REGEXEXTRACT($L79,""^[^｜]+""),sk_mst!$A:$A,sk_mst!$M:$M),999),
   IFERROR(XLOOKUP(REGEXEXTRACT($L79,""^[^｜]+""),sk_mst!$A:$A,sk_mst!$K:$K),1),
   1
  )
 )
)"),400.0)</f>
        <v>400</v>
      </c>
      <c r="U79" s="25">
        <f>IFERROR(__xludf.DUMMYFUNCTION("IF($A79="""","""",
 IF($F79=""market"",
  IFERROR(XLOOKUP(REGEXEXTRACT($J79,""^[^｜]+""),tr_mst!$A:$A,tr_mst!$J:$J),0)
  +IFERROR(XLOOKUP(REGEXEXTRACT($K79,""^[^｜]+""),tc_mst!$A:$A,tc_mst!$J:$J),0),
  IF($B79=0,
   IFERROR(XLOOKUP(REGEXEXTRACT($I79,""^[^｜]"&amp;"+""),ms_mst!$A:$A,ms_mst!$J:$J),0),
   IFERROR(XLOOKUP(""T""&amp;($B79-1)&amp;""_""&amp;$D79,$A:$A,$U:$U),0)
  )
  +IFERROR(XLOOKUP(REGEXEXTRACT($J79,""^[^｜]+""),tr_mst!$A:$A,tr_mst!$J:$J),0)
  +IFERROR(XLOOKUP(REGEXEXTRACT($K79,""^[^｜]+""),tc_mst!$A:$A,tc_mst!$J:$J)"&amp;",0)
  +
  (
   IFERROR(XLOOKUP(REGEXEXTRACT($M79,""^[^｜]+""),ac_mst!$A:$A,ac_mst!$M:$M),0)
   +IFERROR(XLOOKUP(REGEXEXTRACT($N79,""^[^｜]+""),ac_mst!$A:$A,ac_mst!$M:$M),0)
   +IFERROR(
    XLOOKUP(
     IF(
      OR(
       IFERROR(REGEXEXTRACT($M79,""^[^｜"&amp;"]+""),"""")="""",
       IFERROR(REGEXEXTRACT($N79,""^[^｜]+""),"""")=""""
      ),
      """",
      IF(
       IFERROR(REGEXEXTRACT($M79,""^[^｜]+""),"""")&lt;IFERROR(REGEXEXTRACT($N79,""^[^｜]+""),""""),
       IFERROR(REGEXEXTRACT($M79,""^[^｜]+""),"""")&amp;""_"&amp;"""&amp;IFERROR(REGEXEXTRACT($N79,""^[^｜]+""),""""),
       IFERROR(REGEXEXTRACT($N79,""^[^｜]+""),"""")&amp;""_""&amp;IFERROR(REGEXEXTRACT($M79,""^[^｜]+""),"""")
      )
     ),
     sy_mst!$A:$A,
     sy_mst!$J:$J
    ),
    0
   )
  )
  *
  IFERROR(XLOOKUP(REGEXEXTR"&amp;"ACT($I79,""^[^｜]+""),ms_mst!$A:$A,ms_mst!$R:$R),1)
  *
  IF(
   $B79&gt;=IFERROR(XLOOKUP(REGEXEXTRACT($L79,""^[^｜]+""),sk_mst!$A:$A,sk_mst!$M:$M),999),
   IFERROR(XLOOKUP(REGEXEXTRACT($L79,""^[^｜]+""),sk_mst!$A:$A,sk_mst!$L:$L),1),
   1
  )
 )
)"),5.0)</f>
        <v>5</v>
      </c>
      <c r="V79" s="25">
        <f t="shared" si="1"/>
        <v>14</v>
      </c>
      <c r="W79" s="25">
        <f t="shared" si="2"/>
        <v>-300</v>
      </c>
      <c r="X79" s="25">
        <f t="shared" si="3"/>
        <v>314</v>
      </c>
      <c r="Y79" s="25">
        <f t="shared" si="4"/>
        <v>-0.05</v>
      </c>
      <c r="Z79" s="25">
        <f>IFERROR(__xludf.DUMMYFUNCTION("IF($A79="""","""",
 IF($F79&lt;&gt;""player"","""",
  IFERROR(
   RANK(
    $X79,
    FILTER($X:$X,$B:$B=$B79,$F:$F=""player"",$X:$X&lt;&gt;""""),
    0
   ),
   """"
  )
 )
)"),8.0)</f>
        <v>8</v>
      </c>
      <c r="AA79" s="25" t="str">
        <f t="shared" si="5"/>
        <v>8位</v>
      </c>
      <c r="AB79" s="26">
        <f t="shared" si="6"/>
        <v>0</v>
      </c>
    </row>
    <row r="80">
      <c r="A80" s="14" t="s">
        <v>253</v>
      </c>
      <c r="B80" s="14">
        <v>6.0</v>
      </c>
      <c r="C80" s="14" t="s">
        <v>147</v>
      </c>
      <c r="D80" s="14" t="s">
        <v>148</v>
      </c>
      <c r="F80" s="14" t="s">
        <v>149</v>
      </c>
      <c r="I80" s="25" t="str">
        <f>IFERROR(__xludf.DUMMYFUNCTION("IF($F80&lt;&gt;""player"","""",IFERROR(INDEX(FILTER(group_setup!$D$2:$D947,group_setup!$B$2:$B947=$C80,group_setup!$G$2:$G947=TRUE,group_setup!$H$2:$H947=""completed""),1),""""))"),"")</f>
        <v/>
      </c>
      <c r="J80" s="25" t="str">
        <f>IFERROR(__xludf.DUMMYFUNCTION("IFERROR(FILTER(market_event_log!$D$2:$D947,market_event_log!$C$2:$C947=$B80,market_event_log!$N$2:$N947=""active""),"""")"),"T04")</f>
        <v>T04</v>
      </c>
      <c r="K80" s="25" t="str">
        <f>IFERROR(__xludf.DUMMYFUNCTION("IFERROR(FILTER(market_event_log!$G$2:$G947,market_event_log!$C$2:$C947=$B80,market_event_log!$N$2:$N947=""active""),"""")"),"C04")</f>
        <v>C04</v>
      </c>
      <c r="L80" s="25" t="str">
        <f>IFERROR(__xludf.DUMMYFUNCTION("IF($F80&lt;&gt;""player"","""",IFERROR(INDEX(FILTER(group_setup!$E$2:$E947,group_setup!$B$2:$B947=$C80,group_setup!$G$2:$G947=TRUE,group_setup!$H$2:$H947=""completed""),1),""""))"),"")</f>
        <v/>
      </c>
      <c r="M80" s="25" t="str">
        <f>IFERROR(__xludf.DUMMYFUNCTION("IF($F80=""market"","""",IF($E80=""HUMAN"",IFERROR(FILTER(turn_log!$G$2:$G947,turn_log!$C$2:$C947=$B80,turn_log!$D$2:$D947=$C80,turn_log!$F$2:$F947=$E80),""""),IFERROR(FILTER(turn_log!$I$2:$I947,turn_log!$C$2:$C947=$B80,turn_log!$D$2:$D947=$C80,turn_log!$F"&amp;"$2:$F947=$E80),"""")))"),"")</f>
        <v/>
      </c>
      <c r="N80" s="25" t="str">
        <f>IFERROR(__xludf.DUMMYFUNCTION("IF($F80=""market"","""",IF($E80=""HUMAN"",IFERROR(FILTER(turn_log!$H$2:$H947,turn_log!$C$2:$C947=$B80,turn_log!$D$2:$D947=$C80,turn_log!$F$2:$F947=$E80),""""),IFERROR(FILTER(turn_log!$J$2:$J947,turn_log!$C$2:$C947=$B80,turn_log!$D$2:$D947=$C80,turn_log!$F"&amp;"$2:$F947=$E80),"""")))"),"")</f>
        <v/>
      </c>
      <c r="O80" s="25">
        <f>IFERROR(__xludf.DUMMYFUNCTION("IF($A80="""","""",
 IF($F80=""market"",
  IFERROR(XLOOKUP(REGEXEXTRACT($J80,""^[^｜]+""),tr_mst!$A:$A,tr_mst!$D:$D),0)
  +IFERROR(XLOOKUP(REGEXEXTRACT($K80,""^[^｜]+""),tc_mst!$A:$A,tc_mst!$D:$D),0),
  IF($B80=0,
   IFERROR(XLOOKUP(REGEXEXTRACT($I80,""^[^｜]"&amp;"+""),ms_mst!$A:$A,ms_mst!$D:$D),0),
   IFERROR(XLOOKUP(""T""&amp;($B80-1)&amp;""_""&amp;$D80,$A:$A,$O:$O),0)
  )
  +IFERROR(XLOOKUP(REGEXEXTRACT($J80,""^[^｜]+""),tr_mst!$A:$A,tr_mst!$D:$D),0)
  +IFERROR(XLOOKUP(REGEXEXTRACT($K80,""^[^｜]+""),tc_mst!$A:$A,tc_mst!$D:$D)"&amp;",0)
  +
  (
   IFERROR(XLOOKUP(REGEXEXTRACT($M80,""^[^｜]+""),ac_mst!$A:$A,ac_mst!$G:$G),0)
   +IFERROR(XLOOKUP(REGEXEXTRACT($N80,""^[^｜]+""),ac_mst!$A:$A,ac_mst!$G:$G),0)
   +IFERROR(
    XLOOKUP(
     IF(
      OR(
       IFERROR(REGEXEXTRACT($M80,""^[^｜"&amp;"]+""),"""")="""",
       IFERROR(REGEXEXTRACT($N80,""^[^｜]+""),"""")=""""
      ),
      """",
      IF(
       IFERROR(REGEXEXTRACT($M80,""^[^｜]+""),"""")&lt;IFERROR(REGEXEXTRACT($N80,""^[^｜]+""),""""),
       IFERROR(REGEXEXTRACT($M80,""^[^｜]+""),"""")&amp;""_"&amp;"""&amp;IFERROR(REGEXEXTRACT($N80,""^[^｜]+""),""""),
       IFERROR(REGEXEXTRACT($N80,""^[^｜]+""),"""")&amp;""_""&amp;IFERROR(REGEXEXTRACT($M80,""^[^｜]+""),"""")
      )
     ),
     sy_mst!$A:$A,
     sy_mst!$D:$D
    ),
    0
   )
  )
  *
  IFERROR(XLOOKUP(REGEXEXTR"&amp;"ACT($I80,""^[^｜]+""),ms_mst!$A:$A,ms_mst!$L:$L),1)
  *
  IF(
   $B80&gt;=IFERROR(XLOOKUP(REGEXEXTRACT($L80,""^[^｜]+""),sk_mst!$A:$A,sk_mst!$M:$M),999),
   IFERROR(XLOOKUP(REGEXEXTRACT($L80,""^[^｜]+""),sk_mst!$A:$A,sk_mst!$F:$F),1),
   1
  )
 )
)"),-1400.0)</f>
        <v>-1400</v>
      </c>
      <c r="P80" s="25">
        <f>IFERROR(__xludf.DUMMYFUNCTION("IF($A80="""","""",
 IF($F80=""market"",
  IFERROR(XLOOKUP(REGEXEXTRACT($J80,""^[^｜]+""),tr_mst!$A:$A,tr_mst!$E:$E),0)
  +IFERROR(XLOOKUP(REGEXEXTRACT($K80,""^[^｜]+""),tc_mst!$A:$A,tc_mst!$E:$E),0),
  IF($B80=0,
   IFERROR(XLOOKUP(REGEXEXTRACT($I80,""^[^｜]"&amp;"+""),ms_mst!$A:$A,ms_mst!$E:$E),0),
   IFERROR(XLOOKUP(""T""&amp;($B80-1)&amp;""_""&amp;$D80,$A:$A,$P:$P),0)
  )
  +IFERROR(XLOOKUP(REGEXEXTRACT($J80,""^[^｜]+""),tr_mst!$A:$A,tr_mst!$E:$E),0)
  +IFERROR(XLOOKUP(REGEXEXTRACT($K80,""^[^｜]+""),tc_mst!$A:$A,tc_mst!$E:$E)"&amp;",0)
  +
  (
   IFERROR(XLOOKUP(REGEXEXTRACT($M80,""^[^｜]+""),ac_mst!$A:$A,ac_mst!$H:$H),0)
   +IFERROR(XLOOKUP(REGEXEXTRACT($N80,""^[^｜]+""),ac_mst!$A:$A,ac_mst!$H:$H),0)
   +IFERROR(
    XLOOKUP(
     IF(
      OR(
       IFERROR(REGEXEXTRACT($M80,""^[^｜"&amp;"]+""),"""")="""",
       IFERROR(REGEXEXTRACT($N80,""^[^｜]+""),"""")=""""
      ),
      """",
      IF(
       IFERROR(REGEXEXTRACT($M80,""^[^｜]+""),"""")&lt;IFERROR(REGEXEXTRACT($N80,""^[^｜]+""),""""),
       IFERROR(REGEXEXTRACT($M80,""^[^｜]+""),"""")&amp;""_"&amp;"""&amp;IFERROR(REGEXEXTRACT($N80,""^[^｜]+""),""""),
       IFERROR(REGEXEXTRACT($N80,""^[^｜]+""),"""")&amp;""_""&amp;IFERROR(REGEXEXTRACT($M80,""^[^｜]+""),"""")
      )
     ),
     sy_mst!$A:$A,
     sy_mst!$E:$E
    ),
    0
   )
  )
  *
  IFERROR(XLOOKUP(REGEXEXTR"&amp;"ACT($I80,""^[^｜]+""),ms_mst!$A:$A,ms_mst!$M:$M),1)
  *
  IF(
   $B80&gt;=IFERROR(XLOOKUP(REGEXEXTRACT($L80,""^[^｜]+""),sk_mst!$A:$A,sk_mst!$M:$M),999),
   IFERROR(XLOOKUP(REGEXEXTRACT($L80,""^[^｜]+""),sk_mst!$A:$A,sk_mst!$G:$G),1),
   1
  )
 )
)"),-430.0)</f>
        <v>-430</v>
      </c>
      <c r="Q80" s="25">
        <f>IFERROR(__xludf.DUMMYFUNCTION("IF($A80="""","""",
 IF($F80=""market"",
  IFERROR(XLOOKUP(REGEXEXTRACT($J80,""^[^｜]+""),tr_mst!$A:$A,tr_mst!$F:$F),0)
  +IFERROR(XLOOKUP(REGEXEXTRACT($K80,""^[^｜]+""),tc_mst!$A:$A,tc_mst!$F:$F),0),
  IF($B80=0,
   IFERROR(XLOOKUP(REGEXEXTRACT($I80,""^[^｜]"&amp;"+""),ms_mst!$A:$A,ms_mst!$F:$F),0),
   IFERROR(XLOOKUP(""T""&amp;($B80-1)&amp;""_""&amp;$D80,$A:$A,$Q:$Q),0)
  )
  +IFERROR(XLOOKUP(REGEXEXTRACT($J80,""^[^｜]+""),tr_mst!$A:$A,tr_mst!$F:$F),0)
  +IFERROR(XLOOKUP(REGEXEXTRACT($K80,""^[^｜]+""),tc_mst!$A:$A,tc_mst!$F:$F)"&amp;",0)
  +
  (
   IFERROR(XLOOKUP(REGEXEXTRACT($M80,""^[^｜]+""),ac_mst!$A:$A,ac_mst!$I:$I),0)
   +IFERROR(XLOOKUP(REGEXEXTRACT($N80,""^[^｜]+""),ac_mst!$A:$A,ac_mst!$I:$I),0)
   +IFERROR(
    XLOOKUP(
     IF(
      OR(
       IFERROR(REGEXEXTRACT($M80,""^[^｜"&amp;"]+""),"""")="""",
       IFERROR(REGEXEXTRACT($N80,""^[^｜]+""),"""")=""""
      ),
      """",
      IF(
       IFERROR(REGEXEXTRACT($M80,""^[^｜]+""),"""")&lt;IFERROR(REGEXEXTRACT($N80,""^[^｜]+""),""""),
       IFERROR(REGEXEXTRACT($M80,""^[^｜]+""),"""")&amp;""_"&amp;"""&amp;IFERROR(REGEXEXTRACT($N80,""^[^｜]+""),""""),
       IFERROR(REGEXEXTRACT($N80,""^[^｜]+""),"""")&amp;""_""&amp;IFERROR(REGEXEXTRACT($M80,""^[^｜]+""),"""")
      )
     ),
     sy_mst!$A:$A,
     sy_mst!$F:$F
    ),
    0
   )
  )
  *
  IFERROR(XLOOKUP(REGEXEXTR"&amp;"ACT($I80,""^[^｜]+""),ms_mst!$A:$A,ms_mst!$N:$N),1)
  *
  IF(
   $B80&gt;=IFERROR(XLOOKUP(REGEXEXTRACT($L80,""^[^｜]+""),sk_mst!$A:$A,sk_mst!$M:$M),999),
   IFERROR(XLOOKUP(REGEXEXTRACT($L80,""^[^｜]+""),sk_mst!$A:$A,sk_mst!$H:$H),1),
   1
  )
 )
)"),0.02)</f>
        <v>0.02</v>
      </c>
      <c r="R80" s="25">
        <f>IFERROR(__xludf.DUMMYFUNCTION("IF($A80="""","""",
 IF($F80=""market"",
  IFERROR(XLOOKUP(REGEXEXTRACT($J80,""^[^｜]+""),tr_mst!$A:$A,tr_mst!$G:$G),0)
  +IFERROR(XLOOKUP(REGEXEXTRACT($K80,""^[^｜]+""),tc_mst!$A:$A,tc_mst!$G:$G),0),
  IF($B80=0,
   IFERROR(XLOOKUP(REGEXEXTRACT($I80,""^[^｜]"&amp;"+""),ms_mst!$A:$A,ms_mst!$G:$G),0),
   IFERROR(XLOOKUP(""T""&amp;($B80-1)&amp;""_""&amp;$D80,$A:$A,$R:$R),0)
  )
  +IFERROR(XLOOKUP(REGEXEXTRACT($J80,""^[^｜]+""),tr_mst!$A:$A,tr_mst!$G:$G),0)
  +IFERROR(XLOOKUP(REGEXEXTRACT($K80,""^[^｜]+""),tc_mst!$A:$A,tc_mst!$G:$G)"&amp;",0)
  +
  (
   IFERROR(XLOOKUP(REGEXEXTRACT($M80,""^[^｜]+""),ac_mst!$A:$A,ac_mst!$J:$J),0)
   +IFERROR(XLOOKUP(REGEXEXTRACT($N80,""^[^｜]+""),ac_mst!$A:$A,ac_mst!$J:$J),0)
   +IFERROR(
    XLOOKUP(
     IF(
      OR(
       IFERROR(REGEXEXTRACT($M80,""^[^｜"&amp;"]+""),"""")="""",
       IFERROR(REGEXEXTRACT($N80,""^[^｜]+""),"""")=""""
      ),
      """",
      IF(
       IFERROR(REGEXEXTRACT($M80,""^[^｜]+""),"""")&lt;IFERROR(REGEXEXTRACT($N80,""^[^｜]+""),""""),
       IFERROR(REGEXEXTRACT($M80,""^[^｜]+""),"""")&amp;""_"&amp;"""&amp;IFERROR(REGEXEXTRACT($N80,""^[^｜]+""),""""),
       IFERROR(REGEXEXTRACT($N80,""^[^｜]+""),"""")&amp;""_""&amp;IFERROR(REGEXEXTRACT($M80,""^[^｜]+""),"""")
      )
     ),
     sy_mst!$A:$A,
     sy_mst!$G:$G
    ),
    0
   )
  )
  *
  IFERROR(XLOOKUP(REGEXEXTR"&amp;"ACT($I80,""^[^｜]+""),ms_mst!$A:$A,ms_mst!$O:$O),1)
  *
  IF(
   $B80&gt;=IFERROR(XLOOKUP(REGEXEXTRACT($L80,""^[^｜]+""),sk_mst!$A:$A,sk_mst!$M:$M),999),
   IFERROR(XLOOKUP(REGEXEXTRACT($L80,""^[^｜]+""),sk_mst!$A:$A,sk_mst!$I:$I),1),
   1
  )
 )
)"),-0.01)</f>
        <v>-0.01</v>
      </c>
      <c r="S80" s="25">
        <f>IFERROR(__xludf.DUMMYFUNCTION("IF($A80="""","""",
 IF($F80=""market"",
  IFERROR(XLOOKUP(REGEXEXTRACT($J80,""^[^｜]+""),tr_mst!$A:$A,tr_mst!$H:$H),0)
  +IFERROR(XLOOKUP(REGEXEXTRACT($K80,""^[^｜]+""),tc_mst!$A:$A,tc_mst!$H:$H),0),
  IF($B80=0,
   IFERROR(XLOOKUP(REGEXEXTRACT($I80,""^[^｜]"&amp;"+""),ms_mst!$A:$A,ms_mst!$H:$H),0),
   IFERROR(XLOOKUP(""T""&amp;($B80-1)&amp;""_""&amp;$D80,$A:$A,$S:$S),0)
  )
  +IFERROR(XLOOKUP(REGEXEXTRACT($J80,""^[^｜]+""),tr_mst!$A:$A,tr_mst!$H:$H),0)
  +IFERROR(XLOOKUP(REGEXEXTRACT($K80,""^[^｜]+""),tc_mst!$A:$A,tc_mst!$H:$H)"&amp;",0)
  +
  (
   IFERROR(XLOOKUP(REGEXEXTRACT($M80,""^[^｜]+""),ac_mst!$A:$A,ac_mst!$K:$K),0)
   +IFERROR(XLOOKUP(REGEXEXTRACT($N80,""^[^｜]+""),ac_mst!$A:$A,ac_mst!$K:$K),0)
   +IFERROR(
    XLOOKUP(
     IF(
      OR(
       IFERROR(REGEXEXTRACT($M80,""^[^｜"&amp;"]+""),"""")="""",
       IFERROR(REGEXEXTRACT($N80,""^[^｜]+""),"""")=""""
      ),
      """",
      IF(
       IFERROR(REGEXEXTRACT($M80,""^[^｜]+""),"""")&lt;IFERROR(REGEXEXTRACT($N80,""^[^｜]+""),""""),
       IFERROR(REGEXEXTRACT($M80,""^[^｜]+""),"""")&amp;""_"&amp;"""&amp;IFERROR(REGEXEXTRACT($N80,""^[^｜]+""),""""),
       IFERROR(REGEXEXTRACT($N80,""^[^｜]+""),"""")&amp;""_""&amp;IFERROR(REGEXEXTRACT($M80,""^[^｜]+""),"""")
      )
     ),
     sy_mst!$A:$A,
     sy_mst!$H:$H
    ),
    0
   )
  )
  *
  IFERROR(XLOOKUP(REGEXEXTR"&amp;"ACT($I80,""^[^｜]+""),ms_mst!$A:$A,ms_mst!$P:$P),1)
  *
  IF(
   $B80&gt;=IFERROR(XLOOKUP(REGEXEXTRACT($L80,""^[^｜]+""),sk_mst!$A:$A,sk_mst!$M:$M),999),
   IFERROR(XLOOKUP(REGEXEXTRACT($L80,""^[^｜]+""),sk_mst!$A:$A,sk_mst!$J:$J),1),
   1
  )
 )
)"),-5.0E-4)</f>
        <v>-0.0005</v>
      </c>
      <c r="T80" s="25">
        <f>IFERROR(__xludf.DUMMYFUNCTION("IF($A80="""","""",
 IF($F80=""market"",
  IFERROR(XLOOKUP(REGEXEXTRACT($J80,""^[^｜]+""),tr_mst!$A:$A,tr_mst!$I:$I),0)
  +IFERROR(XLOOKUP(REGEXEXTRACT($K80,""^[^｜]+""),tc_mst!$A:$A,tc_mst!$I:$I),0),
  IF($B80=0,
   IFERROR(XLOOKUP(REGEXEXTRACT($I80,""^[^｜]"&amp;"+""),ms_mst!$A:$A,ms_mst!$I:$I),0),
   IFERROR(XLOOKUP(""T""&amp;($B80-1)&amp;""_""&amp;$D80,$A:$A,$T:$T),0)
  )
  +IFERROR(XLOOKUP(REGEXEXTRACT($J80,""^[^｜]+""),tr_mst!$A:$A,tr_mst!$I:$I),0)
  +IFERROR(XLOOKUP(REGEXEXTRACT($K80,""^[^｜]+""),tc_mst!$A:$A,tc_mst!$I:$I)"&amp;",0)
  +
  (
   IFERROR(XLOOKUP(REGEXEXTRACT($M80,""^[^｜]+""),ac_mst!$A:$A,ac_mst!$L:$L),0)
   +IFERROR(XLOOKUP(REGEXEXTRACT($N80,""^[^｜]+""),ac_mst!$A:$A,ac_mst!$L:$L),0)
   +IFERROR(
    XLOOKUP(
     IF(
      OR(
       IFERROR(REGEXEXTRACT($M80,""^[^｜"&amp;"]+""),"""")="""",
       IFERROR(REGEXEXTRACT($N80,""^[^｜]+""),"""")=""""
      ),
      """",
      IF(
       IFERROR(REGEXEXTRACT($M80,""^[^｜]+""),"""")&lt;IFERROR(REGEXEXTRACT($N80,""^[^｜]+""),""""),
       IFERROR(REGEXEXTRACT($M80,""^[^｜]+""),"""")&amp;""_"&amp;"""&amp;IFERROR(REGEXEXTRACT($N80,""^[^｜]+""),""""),
       IFERROR(REGEXEXTRACT($N80,""^[^｜]+""),"""")&amp;""_""&amp;IFERROR(REGEXEXTRACT($M80,""^[^｜]+""),"""")
      )
     ),
     sy_mst!$A:$A,
     sy_mst!$I:$I
    ),
    0
   )
  )
  *
  IFERROR(XLOOKUP(REGEXEXTR"&amp;"ACT($I80,""^[^｜]+""),ms_mst!$A:$A,ms_mst!$Q:$Q),1)
  *
  IF(
   $B80&gt;=IFERROR(XLOOKUP(REGEXEXTRACT($L80,""^[^｜]+""),sk_mst!$A:$A,sk_mst!$M:$M),999),
   IFERROR(XLOOKUP(REGEXEXTRACT($L80,""^[^｜]+""),sk_mst!$A:$A,sk_mst!$K:$K),1),
   1
  )
 )
)"),0.0)</f>
        <v>0</v>
      </c>
      <c r="U80" s="25">
        <f>IFERROR(__xludf.DUMMYFUNCTION("IF($A80="""","""",
 IF($F80=""market"",
  IFERROR(XLOOKUP(REGEXEXTRACT($J80,""^[^｜]+""),tr_mst!$A:$A,tr_mst!$J:$J),0)
  +IFERROR(XLOOKUP(REGEXEXTRACT($K80,""^[^｜]+""),tc_mst!$A:$A,tc_mst!$J:$J),0),
  IF($B80=0,
   IFERROR(XLOOKUP(REGEXEXTRACT($I80,""^[^｜]"&amp;"+""),ms_mst!$A:$A,ms_mst!$J:$J),0),
   IFERROR(XLOOKUP(""T""&amp;($B80-1)&amp;""_""&amp;$D80,$A:$A,$U:$U),0)
  )
  +IFERROR(XLOOKUP(REGEXEXTRACT($J80,""^[^｜]+""),tr_mst!$A:$A,tr_mst!$J:$J),0)
  +IFERROR(XLOOKUP(REGEXEXTRACT($K80,""^[^｜]+""),tc_mst!$A:$A,tc_mst!$J:$J)"&amp;",0)
  +
  (
   IFERROR(XLOOKUP(REGEXEXTRACT($M80,""^[^｜]+""),ac_mst!$A:$A,ac_mst!$M:$M),0)
   +IFERROR(XLOOKUP(REGEXEXTRACT($N80,""^[^｜]+""),ac_mst!$A:$A,ac_mst!$M:$M),0)
   +IFERROR(
    XLOOKUP(
     IF(
      OR(
       IFERROR(REGEXEXTRACT($M80,""^[^｜"&amp;"]+""),"""")="""",
       IFERROR(REGEXEXTRACT($N80,""^[^｜]+""),"""")=""""
      ),
      """",
      IF(
       IFERROR(REGEXEXTRACT($M80,""^[^｜]+""),"""")&lt;IFERROR(REGEXEXTRACT($N80,""^[^｜]+""),""""),
       IFERROR(REGEXEXTRACT($M80,""^[^｜]+""),"""")&amp;""_"&amp;"""&amp;IFERROR(REGEXEXTRACT($N80,""^[^｜]+""),""""),
       IFERROR(REGEXEXTRACT($N80,""^[^｜]+""),"""")&amp;""_""&amp;IFERROR(REGEXEXTRACT($M80,""^[^｜]+""),"""")
      )
     ),
     sy_mst!$A:$A,
     sy_mst!$J:$J
    ),
    0
   )
  )
  *
  IFERROR(XLOOKUP(REGEXEXTR"&amp;"ACT($I80,""^[^｜]+""),ms_mst!$A:$A,ms_mst!$R:$R),1)
  *
  IF(
   $B80&gt;=IFERROR(XLOOKUP(REGEXEXTRACT($L80,""^[^｜]+""),sk_mst!$A:$A,sk_mst!$M:$M),999),
   IFERROR(XLOOKUP(REGEXEXTRACT($L80,""^[^｜]+""),sk_mst!$A:$A,sk_mst!$L:$L),1),
   1
  )
 )
)"),0.0)</f>
        <v>0</v>
      </c>
      <c r="V80" s="25" t="str">
        <f t="shared" si="1"/>
        <v/>
      </c>
      <c r="W80" s="25" t="str">
        <f t="shared" si="2"/>
        <v/>
      </c>
      <c r="X80" s="25" t="str">
        <f t="shared" si="3"/>
        <v/>
      </c>
      <c r="Y80" s="25" t="str">
        <f t="shared" si="4"/>
        <v/>
      </c>
      <c r="Z80" s="25" t="str">
        <f>IFERROR(__xludf.DUMMYFUNCTION("IF($A80="""","""",
 IF($F80&lt;&gt;""player"","""",
  IFERROR(
   RANK(
    $X80,
    FILTER($X:$X,$B:$B=$B80,$F:$F=""player"",$X:$X&lt;&gt;""""),
    0
   ),
   """"
  )
 )
)"),"")</f>
        <v/>
      </c>
      <c r="AA80" s="25" t="str">
        <f t="shared" si="5"/>
        <v/>
      </c>
      <c r="AB80" s="26" t="str">
        <f t="shared" si="6"/>
        <v/>
      </c>
    </row>
    <row r="81">
      <c r="A81" s="25" t="s">
        <v>254</v>
      </c>
      <c r="B81" s="14">
        <v>6.0</v>
      </c>
      <c r="C81" s="14" t="s">
        <v>151</v>
      </c>
      <c r="D81" s="14" t="s">
        <v>152</v>
      </c>
      <c r="E81" s="25" t="s">
        <v>153</v>
      </c>
      <c r="F81" s="25" t="s">
        <v>154</v>
      </c>
      <c r="I81" s="25" t="str">
        <f>IFERROR(__xludf.DUMMYFUNCTION("IF($F81&lt;&gt;""player"","""",IFERROR(INDEX(FILTER(group_setup!$D$2:$D947,group_setup!$B$2:$B947=$C81,group_setup!$G$2:$G947=TRUE,group_setup!$H$2:$H947=""completed""),1),""""))"),"M03")</f>
        <v>M03</v>
      </c>
      <c r="J81" s="25" t="str">
        <f>IFERROR(__xludf.DUMMYFUNCTION("IFERROR(FILTER(market_event_log!$D$2:$D947,market_event_log!$C$2:$C947=$B81,market_event_log!$N$2:$N947=""active""),"""")"),"T04")</f>
        <v>T04</v>
      </c>
      <c r="K81" s="25" t="str">
        <f>IFERROR(__xludf.DUMMYFUNCTION("IFERROR(FILTER(market_event_log!$G$2:$G947,market_event_log!$C$2:$C947=$B81,market_event_log!$N$2:$N947=""active""),"""")"),"C04")</f>
        <v>C04</v>
      </c>
      <c r="L81" s="25" t="str">
        <f>IFERROR(__xludf.DUMMYFUNCTION("IF($F81&lt;&gt;""player"","""",IFERROR(INDEX(FILTER(group_setup!$E$2:$E947,group_setup!$B$2:$B947=$C81,group_setup!$G$2:$G947=TRUE,group_setup!$H$2:$H947=""completed""),1),""""))"),"S02")</f>
        <v>S02</v>
      </c>
      <c r="M81" s="25" t="str">
        <f>IFERROR(__xludf.DUMMYFUNCTION("IF($F81=""market"","""",IF($E81=""HUMAN"",IFERROR(FILTER(turn_log!$G$2:$G947,turn_log!$C$2:$C947=$B81,turn_log!$D$2:$D947=$C81,turn_log!$F$2:$F947=$E81),""""),IFERROR(FILTER(turn_log!$I$2:$I947,turn_log!$C$2:$C947=$B81,turn_log!$D$2:$D947=$C81,turn_log!$F"&amp;"$2:$F947=$E81),"""")))"),"A21")</f>
        <v>A21</v>
      </c>
      <c r="N81" s="25" t="str">
        <f>IFERROR(__xludf.DUMMYFUNCTION("IF($F81=""market"","""",IF($E81=""HUMAN"",IFERROR(FILTER(turn_log!$H$2:$H947,turn_log!$C$2:$C947=$B81,turn_log!$D$2:$D947=$C81,turn_log!$F$2:$F947=$E81),""""),IFERROR(FILTER(turn_log!$J$2:$J947,turn_log!$C$2:$C947=$B81,turn_log!$D$2:$D947=$C81,turn_log!$F"&amp;"$2:$F947=$E81),"""")))"),"A03")</f>
        <v>A03</v>
      </c>
      <c r="O81" s="25">
        <f>IFERROR(__xludf.DUMMYFUNCTION("IF($A81="""","""",
 IF($F81=""market"",
  IFERROR(XLOOKUP(REGEXEXTRACT($J81,""^[^｜]+""),tr_mst!$A:$A,tr_mst!$D:$D),0)
  +IFERROR(XLOOKUP(REGEXEXTRACT($K81,""^[^｜]+""),tc_mst!$A:$A,tc_mst!$D:$D),0),
  IF($B81=0,
   IFERROR(XLOOKUP(REGEXEXTRACT($I81,""^[^｜]"&amp;"+""),ms_mst!$A:$A,ms_mst!$D:$D),0),
   IFERROR(XLOOKUP(""T""&amp;($B81-1)&amp;""_""&amp;$D81,$A:$A,$O:$O),0)
  )
  +IFERROR(XLOOKUP(REGEXEXTRACT($J81,""^[^｜]+""),tr_mst!$A:$A,tr_mst!$D:$D),0)
  +IFERROR(XLOOKUP(REGEXEXTRACT($K81,""^[^｜]+""),tc_mst!$A:$A,tc_mst!$D:$D)"&amp;",0)
  +
  (
   IFERROR(XLOOKUP(REGEXEXTRACT($M81,""^[^｜]+""),ac_mst!$A:$A,ac_mst!$G:$G),0)
   +IFERROR(XLOOKUP(REGEXEXTRACT($N81,""^[^｜]+""),ac_mst!$A:$A,ac_mst!$G:$G),0)
   +IFERROR(
    XLOOKUP(
     IF(
      OR(
       IFERROR(REGEXEXTRACT($M81,""^[^｜"&amp;"]+""),"""")="""",
       IFERROR(REGEXEXTRACT($N81,""^[^｜]+""),"""")=""""
      ),
      """",
      IF(
       IFERROR(REGEXEXTRACT($M81,""^[^｜]+""),"""")&lt;IFERROR(REGEXEXTRACT($N81,""^[^｜]+""),""""),
       IFERROR(REGEXEXTRACT($M81,""^[^｜]+""),"""")&amp;""_"&amp;"""&amp;IFERROR(REGEXEXTRACT($N81,""^[^｜]+""),""""),
       IFERROR(REGEXEXTRACT($N81,""^[^｜]+""),"""")&amp;""_""&amp;IFERROR(REGEXEXTRACT($M81,""^[^｜]+""),"""")
      )
     ),
     sy_mst!$A:$A,
     sy_mst!$D:$D
    ),
    0
   )
  )
  *
  IFERROR(XLOOKUP(REGEXEXTR"&amp;"ACT($I81,""^[^｜]+""),ms_mst!$A:$A,ms_mst!$L:$L),1)
  *
  IF(
   $B81&gt;=IFERROR(XLOOKUP(REGEXEXTRACT($L81,""^[^｜]+""),sk_mst!$A:$A,sk_mst!$M:$M),999),
   IFERROR(XLOOKUP(REGEXEXTRACT($L81,""^[^｜]+""),sk_mst!$A:$A,sk_mst!$F:$F),1),
   1
  )
 )
)"),11795.0)</f>
        <v>11795</v>
      </c>
      <c r="P81" s="25">
        <f>IFERROR(__xludf.DUMMYFUNCTION("IF($A81="""","""",
 IF($F81=""market"",
  IFERROR(XLOOKUP(REGEXEXTRACT($J81,""^[^｜]+""),tr_mst!$A:$A,tr_mst!$E:$E),0)
  +IFERROR(XLOOKUP(REGEXEXTRACT($K81,""^[^｜]+""),tc_mst!$A:$A,tc_mst!$E:$E),0),
  IF($B81=0,
   IFERROR(XLOOKUP(REGEXEXTRACT($I81,""^[^｜]"&amp;"+""),ms_mst!$A:$A,ms_mst!$E:$E),0),
   IFERROR(XLOOKUP(""T""&amp;($B81-1)&amp;""_""&amp;$D81,$A:$A,$P:$P),0)
  )
  +IFERROR(XLOOKUP(REGEXEXTRACT($J81,""^[^｜]+""),tr_mst!$A:$A,tr_mst!$E:$E),0)
  +IFERROR(XLOOKUP(REGEXEXTRACT($K81,""^[^｜]+""),tc_mst!$A:$A,tc_mst!$E:$E)"&amp;",0)
  +
  (
   IFERROR(XLOOKUP(REGEXEXTRACT($M81,""^[^｜]+""),ac_mst!$A:$A,ac_mst!$H:$H),0)
   +IFERROR(XLOOKUP(REGEXEXTRACT($N81,""^[^｜]+""),ac_mst!$A:$A,ac_mst!$H:$H),0)
   +IFERROR(
    XLOOKUP(
     IF(
      OR(
       IFERROR(REGEXEXTRACT($M81,""^[^｜"&amp;"]+""),"""")="""",
       IFERROR(REGEXEXTRACT($N81,""^[^｜]+""),"""")=""""
      ),
      """",
      IF(
       IFERROR(REGEXEXTRACT($M81,""^[^｜]+""),"""")&lt;IFERROR(REGEXEXTRACT($N81,""^[^｜]+""),""""),
       IFERROR(REGEXEXTRACT($M81,""^[^｜]+""),"""")&amp;""_"&amp;"""&amp;IFERROR(REGEXEXTRACT($N81,""^[^｜]+""),""""),
       IFERROR(REGEXEXTRACT($N81,""^[^｜]+""),"""")&amp;""_""&amp;IFERROR(REGEXEXTRACT($M81,""^[^｜]+""),"""")
      )
     ),
     sy_mst!$A:$A,
     sy_mst!$E:$E
    ),
    0
   )
  )
  *
  IFERROR(XLOOKUP(REGEXEXTR"&amp;"ACT($I81,""^[^｜]+""),ms_mst!$A:$A,ms_mst!$M:$M),1)
  *
  IF(
   $B81&gt;=IFERROR(XLOOKUP(REGEXEXTRACT($L81,""^[^｜]+""),sk_mst!$A:$A,sk_mst!$M:$M),999),
   IFERROR(XLOOKUP(REGEXEXTRACT($L81,""^[^｜]+""),sk_mst!$A:$A,sk_mst!$G:$G),1),
   1
  )
 )
)"),3475.0)</f>
        <v>3475</v>
      </c>
      <c r="Q81" s="25">
        <f>IFERROR(__xludf.DUMMYFUNCTION("IF($A81="""","""",
 IF($F81=""market"",
  IFERROR(XLOOKUP(REGEXEXTRACT($J81,""^[^｜]+""),tr_mst!$A:$A,tr_mst!$F:$F),0)
  +IFERROR(XLOOKUP(REGEXEXTRACT($K81,""^[^｜]+""),tc_mst!$A:$A,tc_mst!$F:$F),0),
  IF($B81=0,
   IFERROR(XLOOKUP(REGEXEXTRACT($I81,""^[^｜]"&amp;"+""),ms_mst!$A:$A,ms_mst!$F:$F),0),
   IFERROR(XLOOKUP(""T""&amp;($B81-1)&amp;""_""&amp;$D81,$A:$A,$Q:$Q),0)
  )
  +IFERROR(XLOOKUP(REGEXEXTRACT($J81,""^[^｜]+""),tr_mst!$A:$A,tr_mst!$F:$F),0)
  +IFERROR(XLOOKUP(REGEXEXTRACT($K81,""^[^｜]+""),tc_mst!$A:$A,tc_mst!$F:$F)"&amp;",0)
  +
  (
   IFERROR(XLOOKUP(REGEXEXTRACT($M81,""^[^｜]+""),ac_mst!$A:$A,ac_mst!$I:$I),0)
   +IFERROR(XLOOKUP(REGEXEXTRACT($N81,""^[^｜]+""),ac_mst!$A:$A,ac_mst!$I:$I),0)
   +IFERROR(
    XLOOKUP(
     IF(
      OR(
       IFERROR(REGEXEXTRACT($M81,""^[^｜"&amp;"]+""),"""")="""",
       IFERROR(REGEXEXTRACT($N81,""^[^｜]+""),"""")=""""
      ),
      """",
      IF(
       IFERROR(REGEXEXTRACT($M81,""^[^｜]+""),"""")&lt;IFERROR(REGEXEXTRACT($N81,""^[^｜]+""),""""),
       IFERROR(REGEXEXTRACT($M81,""^[^｜]+""),"""")&amp;""_"&amp;"""&amp;IFERROR(REGEXEXTRACT($N81,""^[^｜]+""),""""),
       IFERROR(REGEXEXTRACT($N81,""^[^｜]+""),"""")&amp;""_""&amp;IFERROR(REGEXEXTRACT($M81,""^[^｜]+""),"""")
      )
     ),
     sy_mst!$A:$A,
     sy_mst!$F:$F
    ),
    0
   )
  )
  *
  IFERROR(XLOOKUP(REGEXEXTR"&amp;"ACT($I81,""^[^｜]+""),ms_mst!$A:$A,ms_mst!$N:$N),1)
  *
  IF(
   $B81&gt;=IFERROR(XLOOKUP(REGEXEXTRACT($L81,""^[^｜]+""),sk_mst!$A:$A,sk_mst!$M:$M),999),
   IFERROR(XLOOKUP(REGEXEXTRACT($L81,""^[^｜]+""),sk_mst!$A:$A,sk_mst!$H:$H),1),
   1
  )
 )
)"),0.51)</f>
        <v>0.51</v>
      </c>
      <c r="R81" s="25">
        <f>IFERROR(__xludf.DUMMYFUNCTION("IF($A81="""","""",
 IF($F81=""market"",
  IFERROR(XLOOKUP(REGEXEXTRACT($J81,""^[^｜]+""),tr_mst!$A:$A,tr_mst!$G:$G),0)
  +IFERROR(XLOOKUP(REGEXEXTRACT($K81,""^[^｜]+""),tc_mst!$A:$A,tc_mst!$G:$G),0),
  IF($B81=0,
   IFERROR(XLOOKUP(REGEXEXTRACT($I81,""^[^｜]"&amp;"+""),ms_mst!$A:$A,ms_mst!$G:$G),0),
   IFERROR(XLOOKUP(""T""&amp;($B81-1)&amp;""_""&amp;$D81,$A:$A,$R:$R),0)
  )
  +IFERROR(XLOOKUP(REGEXEXTRACT($J81,""^[^｜]+""),tr_mst!$A:$A,tr_mst!$G:$G),0)
  +IFERROR(XLOOKUP(REGEXEXTRACT($K81,""^[^｜]+""),tc_mst!$A:$A,tc_mst!$G:$G)"&amp;",0)
  +
  (
   IFERROR(XLOOKUP(REGEXEXTRACT($M81,""^[^｜]+""),ac_mst!$A:$A,ac_mst!$J:$J),0)
   +IFERROR(XLOOKUP(REGEXEXTRACT($N81,""^[^｜]+""),ac_mst!$A:$A,ac_mst!$J:$J),0)
   +IFERROR(
    XLOOKUP(
     IF(
      OR(
       IFERROR(REGEXEXTRACT($M81,""^[^｜"&amp;"]+""),"""")="""",
       IFERROR(REGEXEXTRACT($N81,""^[^｜]+""),"""")=""""
      ),
      """",
      IF(
       IFERROR(REGEXEXTRACT($M81,""^[^｜]+""),"""")&lt;IFERROR(REGEXEXTRACT($N81,""^[^｜]+""),""""),
       IFERROR(REGEXEXTRACT($M81,""^[^｜]+""),"""")&amp;""_"&amp;"""&amp;IFERROR(REGEXEXTRACT($N81,""^[^｜]+""),""""),
       IFERROR(REGEXEXTRACT($N81,""^[^｜]+""),"""")&amp;""_""&amp;IFERROR(REGEXEXTRACT($M81,""^[^｜]+""),"""")
      )
     ),
     sy_mst!$A:$A,
     sy_mst!$G:$G
    ),
    0
   )
  )
  *
  IFERROR(XLOOKUP(REGEXEXTR"&amp;"ACT($I81,""^[^｜]+""),ms_mst!$A:$A,ms_mst!$O:$O),1)
  *
  IF(
   $B81&gt;=IFERROR(XLOOKUP(REGEXEXTRACT($L81,""^[^｜]+""),sk_mst!$A:$A,sk_mst!$M:$M),999),
   IFERROR(XLOOKUP(REGEXEXTRACT($L81,""^[^｜]+""),sk_mst!$A:$A,sk_mst!$I:$I),1),
   1
  )
 )
)"),1.8864999999999998)</f>
        <v>1.8865</v>
      </c>
      <c r="S81" s="25">
        <f>IFERROR(__xludf.DUMMYFUNCTION("IF($A81="""","""",
 IF($F81=""market"",
  IFERROR(XLOOKUP(REGEXEXTRACT($J81,""^[^｜]+""),tr_mst!$A:$A,tr_mst!$H:$H),0)
  +IFERROR(XLOOKUP(REGEXEXTRACT($K81,""^[^｜]+""),tc_mst!$A:$A,tc_mst!$H:$H),0),
  IF($B81=0,
   IFERROR(XLOOKUP(REGEXEXTRACT($I81,""^[^｜]"&amp;"+""),ms_mst!$A:$A,ms_mst!$H:$H),0),
   IFERROR(XLOOKUP(""T""&amp;($B81-1)&amp;""_""&amp;$D81,$A:$A,$S:$S),0)
  )
  +IFERROR(XLOOKUP(REGEXEXTRACT($J81,""^[^｜]+""),tr_mst!$A:$A,tr_mst!$H:$H),0)
  +IFERROR(XLOOKUP(REGEXEXTRACT($K81,""^[^｜]+""),tc_mst!$A:$A,tc_mst!$H:$H)"&amp;",0)
  +
  (
   IFERROR(XLOOKUP(REGEXEXTRACT($M81,""^[^｜]+""),ac_mst!$A:$A,ac_mst!$K:$K),0)
   +IFERROR(XLOOKUP(REGEXEXTRACT($N81,""^[^｜]+""),ac_mst!$A:$A,ac_mst!$K:$K),0)
   +IFERROR(
    XLOOKUP(
     IF(
      OR(
       IFERROR(REGEXEXTRACT($M81,""^[^｜"&amp;"]+""),"""")="""",
       IFERROR(REGEXEXTRACT($N81,""^[^｜]+""),"""")=""""
      ),
      """",
      IF(
       IFERROR(REGEXEXTRACT($M81,""^[^｜]+""),"""")&lt;IFERROR(REGEXEXTRACT($N81,""^[^｜]+""),""""),
       IFERROR(REGEXEXTRACT($M81,""^[^｜]+""),"""")&amp;""_"&amp;"""&amp;IFERROR(REGEXEXTRACT($N81,""^[^｜]+""),""""),
       IFERROR(REGEXEXTRACT($N81,""^[^｜]+""),"""")&amp;""_""&amp;IFERROR(REGEXEXTRACT($M81,""^[^｜]+""),"""")
      )
     ),
     sy_mst!$A:$A,
     sy_mst!$H:$H
    ),
    0
   )
  )
  *
  IFERROR(XLOOKUP(REGEXEXTR"&amp;"ACT($I81,""^[^｜]+""),ms_mst!$A:$A,ms_mst!$P:$P),1)
  *
  IF(
   $B81&gt;=IFERROR(XLOOKUP(REGEXEXTRACT($L81,""^[^｜]+""),sk_mst!$A:$A,sk_mst!$M:$M),999),
   IFERROR(XLOOKUP(REGEXEXTRACT($L81,""^[^｜]+""),sk_mst!$A:$A,sk_mst!$J:$J),1),
   1
  )
 )
)"),0.0186)</f>
        <v>0.0186</v>
      </c>
      <c r="T81" s="25">
        <f>IFERROR(__xludf.DUMMYFUNCTION("IF($A81="""","""",
 IF($F81=""market"",
  IFERROR(XLOOKUP(REGEXEXTRACT($J81,""^[^｜]+""),tr_mst!$A:$A,tr_mst!$I:$I),0)
  +IFERROR(XLOOKUP(REGEXEXTRACT($K81,""^[^｜]+""),tc_mst!$A:$A,tc_mst!$I:$I),0),
  IF($B81=0,
   IFERROR(XLOOKUP(REGEXEXTRACT($I81,""^[^｜]"&amp;"+""),ms_mst!$A:$A,ms_mst!$I:$I),0),
   IFERROR(XLOOKUP(""T""&amp;($B81-1)&amp;""_""&amp;$D81,$A:$A,$T:$T),0)
  )
  +IFERROR(XLOOKUP(REGEXEXTRACT($J81,""^[^｜]+""),tr_mst!$A:$A,tr_mst!$I:$I),0)
  +IFERROR(XLOOKUP(REGEXEXTRACT($K81,""^[^｜]+""),tc_mst!$A:$A,tc_mst!$I:$I)"&amp;",0)
  +
  (
   IFERROR(XLOOKUP(REGEXEXTRACT($M81,""^[^｜]+""),ac_mst!$A:$A,ac_mst!$L:$L),0)
   +IFERROR(XLOOKUP(REGEXEXTRACT($N81,""^[^｜]+""),ac_mst!$A:$A,ac_mst!$L:$L),0)
   +IFERROR(
    XLOOKUP(
     IF(
      OR(
       IFERROR(REGEXEXTRACT($M81,""^[^｜"&amp;"]+""),"""")="""",
       IFERROR(REGEXEXTRACT($N81,""^[^｜]+""),"""")=""""
      ),
      """",
      IF(
       IFERROR(REGEXEXTRACT($M81,""^[^｜]+""),"""")&lt;IFERROR(REGEXEXTRACT($N81,""^[^｜]+""),""""),
       IFERROR(REGEXEXTRACT($M81,""^[^｜]+""),"""")&amp;""_"&amp;"""&amp;IFERROR(REGEXEXTRACT($N81,""^[^｜]+""),""""),
       IFERROR(REGEXEXTRACT($N81,""^[^｜]+""),"""")&amp;""_""&amp;IFERROR(REGEXEXTRACT($M81,""^[^｜]+""),"""")
      )
     ),
     sy_mst!$A:$A,
     sy_mst!$I:$I
    ),
    0
   )
  )
  *
  IFERROR(XLOOKUP(REGEXEXTR"&amp;"ACT($I81,""^[^｜]+""),ms_mst!$A:$A,ms_mst!$Q:$Q),1)
  *
  IF(
   $B81&gt;=IFERROR(XLOOKUP(REGEXEXTRACT($L81,""^[^｜]+""),sk_mst!$A:$A,sk_mst!$M:$M),999),
   IFERROR(XLOOKUP(REGEXEXTRACT($L81,""^[^｜]+""),sk_mst!$A:$A,sk_mst!$K:$K),1),
   1
  )
 )
)"),4950.0)</f>
        <v>4950</v>
      </c>
      <c r="U81" s="25">
        <f>IFERROR(__xludf.DUMMYFUNCTION("IF($A81="""","""",
 IF($F81=""market"",
  IFERROR(XLOOKUP(REGEXEXTRACT($J81,""^[^｜]+""),tr_mst!$A:$A,tr_mst!$J:$J),0)
  +IFERROR(XLOOKUP(REGEXEXTRACT($K81,""^[^｜]+""),tc_mst!$A:$A,tc_mst!$J:$J),0),
  IF($B81=0,
   IFERROR(XLOOKUP(REGEXEXTRACT($I81,""^[^｜]"&amp;"+""),ms_mst!$A:$A,ms_mst!$J:$J),0),
   IFERROR(XLOOKUP(""T""&amp;($B81-1)&amp;""_""&amp;$D81,$A:$A,$U:$U),0)
  )
  +IFERROR(XLOOKUP(REGEXEXTRACT($J81,""^[^｜]+""),tr_mst!$A:$A,tr_mst!$J:$J),0)
  +IFERROR(XLOOKUP(REGEXEXTRACT($K81,""^[^｜]+""),tc_mst!$A:$A,tc_mst!$J:$J)"&amp;",0)
  +
  (
   IFERROR(XLOOKUP(REGEXEXTRACT($M81,""^[^｜]+""),ac_mst!$A:$A,ac_mst!$M:$M),0)
   +IFERROR(XLOOKUP(REGEXEXTRACT($N81,""^[^｜]+""),ac_mst!$A:$A,ac_mst!$M:$M),0)
   +IFERROR(
    XLOOKUP(
     IF(
      OR(
       IFERROR(REGEXEXTRACT($M81,""^[^｜"&amp;"]+""),"""")="""",
       IFERROR(REGEXEXTRACT($N81,""^[^｜]+""),"""")=""""
      ),
      """",
      IF(
       IFERROR(REGEXEXTRACT($M81,""^[^｜]+""),"""")&lt;IFERROR(REGEXEXTRACT($N81,""^[^｜]+""),""""),
       IFERROR(REGEXEXTRACT($M81,""^[^｜]+""),"""")&amp;""_"&amp;"""&amp;IFERROR(REGEXEXTRACT($N81,""^[^｜]+""),""""),
       IFERROR(REGEXEXTRACT($N81,""^[^｜]+""),"""")&amp;""_""&amp;IFERROR(REGEXEXTRACT($M81,""^[^｜]+""),"""")
      )
     ),
     sy_mst!$A:$A,
     sy_mst!$J:$J
    ),
    0
   )
  )
  *
  IFERROR(XLOOKUP(REGEXEXTR"&amp;"ACT($I81,""^[^｜]+""),ms_mst!$A:$A,ms_mst!$R:$R),1)
  *
  IF(
   $B81&gt;=IFERROR(XLOOKUP(REGEXEXTRACT($L81,""^[^｜]+""),sk_mst!$A:$A,sk_mst!$M:$M),999),
   IFERROR(XLOOKUP(REGEXEXTRACT($L81,""^[^｜]+""),sk_mst!$A:$A,sk_mst!$L:$L),1),
   1
  )
 )
)"),45.0)</f>
        <v>45</v>
      </c>
      <c r="V81" s="25">
        <f t="shared" si="1"/>
        <v>1299601</v>
      </c>
      <c r="W81" s="25">
        <f t="shared" si="2"/>
        <v>156375</v>
      </c>
      <c r="X81" s="25">
        <f t="shared" si="3"/>
        <v>1143226</v>
      </c>
      <c r="Y81" s="25">
        <f t="shared" si="4"/>
        <v>8.31</v>
      </c>
      <c r="Z81" s="25">
        <f>IFERROR(__xludf.DUMMYFUNCTION("IF($A81="""","""",
 IF($F81&lt;&gt;""player"","""",
  IFERROR(
   RANK(
    $X81,
    FILTER($X:$X,$B:$B=$B81,$F:$F=""player"",$X:$X&lt;&gt;""""),
    0
   ),
   """"
  )
 )
)"),2.0)</f>
        <v>2</v>
      </c>
      <c r="AA81" s="25" t="str">
        <f t="shared" si="5"/>
        <v>2位</v>
      </c>
      <c r="AB81" s="26">
        <f t="shared" si="6"/>
        <v>2.502530637</v>
      </c>
    </row>
    <row r="82">
      <c r="A82" s="25" t="s">
        <v>255</v>
      </c>
      <c r="B82" s="14">
        <v>6.0</v>
      </c>
      <c r="C82" s="14" t="s">
        <v>156</v>
      </c>
      <c r="D82" s="14" t="s">
        <v>157</v>
      </c>
      <c r="E82" s="25" t="s">
        <v>153</v>
      </c>
      <c r="F82" s="25" t="s">
        <v>154</v>
      </c>
      <c r="I82" s="25" t="str">
        <f>IFERROR(__xludf.DUMMYFUNCTION("IF($F82&lt;&gt;""player"","""",IFERROR(INDEX(FILTER(group_setup!$D$2:$D947,group_setup!$B$2:$B947=$C82,group_setup!$G$2:$G947=TRUE,group_setup!$H$2:$H947=""completed""),1),""""))"),"M12")</f>
        <v>M12</v>
      </c>
      <c r="J82" s="25" t="str">
        <f>IFERROR(__xludf.DUMMYFUNCTION("IFERROR(FILTER(market_event_log!$D$2:$D947,market_event_log!$C$2:$C947=$B82,market_event_log!$N$2:$N947=""active""),"""")"),"T04")</f>
        <v>T04</v>
      </c>
      <c r="K82" s="25" t="str">
        <f>IFERROR(__xludf.DUMMYFUNCTION("IFERROR(FILTER(market_event_log!$G$2:$G947,market_event_log!$C$2:$C947=$B82,market_event_log!$N$2:$N947=""active""),"""")"),"C04")</f>
        <v>C04</v>
      </c>
      <c r="L82" s="25" t="str">
        <f>IFERROR(__xludf.DUMMYFUNCTION("IF($F82&lt;&gt;""player"","""",IFERROR(INDEX(FILTER(group_setup!$E$2:$E947,group_setup!$B$2:$B947=$C82,group_setup!$G$2:$G947=TRUE,group_setup!$H$2:$H947=""completed""),1),""""))"),"S02")</f>
        <v>S02</v>
      </c>
      <c r="M82" s="25" t="str">
        <f>IFERROR(__xludf.DUMMYFUNCTION("IF($F82=""market"","""",IF($E82=""HUMAN"",IFERROR(FILTER(turn_log!$G$2:$G947,turn_log!$C$2:$C947=$B82,turn_log!$D$2:$D947=$C82,turn_log!$F$2:$F947=$E82),""""),IFERROR(FILTER(turn_log!$I$2:$I947,turn_log!$C$2:$C947=$B82,turn_log!$D$2:$D947=$C82,turn_log!$F"&amp;"$2:$F947=$E82),"""")))"),"A05")</f>
        <v>A05</v>
      </c>
      <c r="N82" s="25" t="str">
        <f>IFERROR(__xludf.DUMMYFUNCTION("IF($F82=""market"","""",IF($E82=""HUMAN"",IFERROR(FILTER(turn_log!$H$2:$H947,turn_log!$C$2:$C947=$B82,turn_log!$D$2:$D947=$C82,turn_log!$F$2:$F947=$E82),""""),IFERROR(FILTER(turn_log!$J$2:$J947,turn_log!$C$2:$C947=$B82,turn_log!$D$2:$D947=$C82,turn_log!$F"&amp;"$2:$F947=$E82),"""")))"),"A07")</f>
        <v>A07</v>
      </c>
      <c r="O82" s="25">
        <f>IFERROR(__xludf.DUMMYFUNCTION("IF($A82="""","""",
 IF($F82=""market"",
  IFERROR(XLOOKUP(REGEXEXTRACT($J82,""^[^｜]+""),tr_mst!$A:$A,tr_mst!$D:$D),0)
  +IFERROR(XLOOKUP(REGEXEXTRACT($K82,""^[^｜]+""),tc_mst!$A:$A,tc_mst!$D:$D),0),
  IF($B82=0,
   IFERROR(XLOOKUP(REGEXEXTRACT($I82,""^[^｜]"&amp;"+""),ms_mst!$A:$A,ms_mst!$D:$D),0),
   IFERROR(XLOOKUP(""T""&amp;($B82-1)&amp;""_""&amp;$D82,$A:$A,$O:$O),0)
  )
  +IFERROR(XLOOKUP(REGEXEXTRACT($J82,""^[^｜]+""),tr_mst!$A:$A,tr_mst!$D:$D),0)
  +IFERROR(XLOOKUP(REGEXEXTRACT($K82,""^[^｜]+""),tc_mst!$A:$A,tc_mst!$D:$D)"&amp;",0)
  +
  (
   IFERROR(XLOOKUP(REGEXEXTRACT($M82,""^[^｜]+""),ac_mst!$A:$A,ac_mst!$G:$G),0)
   +IFERROR(XLOOKUP(REGEXEXTRACT($N82,""^[^｜]+""),ac_mst!$A:$A,ac_mst!$G:$G),0)
   +IFERROR(
    XLOOKUP(
     IF(
      OR(
       IFERROR(REGEXEXTRACT($M82,""^[^｜"&amp;"]+""),"""")="""",
       IFERROR(REGEXEXTRACT($N82,""^[^｜]+""),"""")=""""
      ),
      """",
      IF(
       IFERROR(REGEXEXTRACT($M82,""^[^｜]+""),"""")&lt;IFERROR(REGEXEXTRACT($N82,""^[^｜]+""),""""),
       IFERROR(REGEXEXTRACT($M82,""^[^｜]+""),"""")&amp;""_"&amp;"""&amp;IFERROR(REGEXEXTRACT($N82,""^[^｜]+""),""""),
       IFERROR(REGEXEXTRACT($N82,""^[^｜]+""),"""")&amp;""_""&amp;IFERROR(REGEXEXTRACT($M82,""^[^｜]+""),"""")
      )
     ),
     sy_mst!$A:$A,
     sy_mst!$D:$D
    ),
    0
   )
  )
  *
  IFERROR(XLOOKUP(REGEXEXTR"&amp;"ACT($I82,""^[^｜]+""),ms_mst!$A:$A,ms_mst!$L:$L),1)
  *
  IF(
   $B82&gt;=IFERROR(XLOOKUP(REGEXEXTRACT($L82,""^[^｜]+""),sk_mst!$A:$A,sk_mst!$M:$M),999),
   IFERROR(XLOOKUP(REGEXEXTRACT($L82,""^[^｜]+""),sk_mst!$A:$A,sk_mst!$F:$F),1),
   1
  )
 )
)"),10850.0)</f>
        <v>10850</v>
      </c>
      <c r="P82" s="25">
        <f>IFERROR(__xludf.DUMMYFUNCTION("IF($A82="""","""",
 IF($F82=""market"",
  IFERROR(XLOOKUP(REGEXEXTRACT($J82,""^[^｜]+""),tr_mst!$A:$A,tr_mst!$E:$E),0)
  +IFERROR(XLOOKUP(REGEXEXTRACT($K82,""^[^｜]+""),tc_mst!$A:$A,tc_mst!$E:$E),0),
  IF($B82=0,
   IFERROR(XLOOKUP(REGEXEXTRACT($I82,""^[^｜]"&amp;"+""),ms_mst!$A:$A,ms_mst!$E:$E),0),
   IFERROR(XLOOKUP(""T""&amp;($B82-1)&amp;""_""&amp;$D82,$A:$A,$P:$P),0)
  )
  +IFERROR(XLOOKUP(REGEXEXTRACT($J82,""^[^｜]+""),tr_mst!$A:$A,tr_mst!$E:$E),0)
  +IFERROR(XLOOKUP(REGEXEXTRACT($K82,""^[^｜]+""),tc_mst!$A:$A,tc_mst!$E:$E)"&amp;",0)
  +
  (
   IFERROR(XLOOKUP(REGEXEXTRACT($M82,""^[^｜]+""),ac_mst!$A:$A,ac_mst!$H:$H),0)
   +IFERROR(XLOOKUP(REGEXEXTRACT($N82,""^[^｜]+""),ac_mst!$A:$A,ac_mst!$H:$H),0)
   +IFERROR(
    XLOOKUP(
     IF(
      OR(
       IFERROR(REGEXEXTRACT($M82,""^[^｜"&amp;"]+""),"""")="""",
       IFERROR(REGEXEXTRACT($N82,""^[^｜]+""),"""")=""""
      ),
      """",
      IF(
       IFERROR(REGEXEXTRACT($M82,""^[^｜]+""),"""")&lt;IFERROR(REGEXEXTRACT($N82,""^[^｜]+""),""""),
       IFERROR(REGEXEXTRACT($M82,""^[^｜]+""),"""")&amp;""_"&amp;"""&amp;IFERROR(REGEXEXTRACT($N82,""^[^｜]+""),""""),
       IFERROR(REGEXEXTRACT($N82,""^[^｜]+""),"""")&amp;""_""&amp;IFERROR(REGEXEXTRACT($M82,""^[^｜]+""),"""")
      )
     ),
     sy_mst!$A:$A,
     sy_mst!$E:$E
    ),
    0
   )
  )
  *
  IFERROR(XLOOKUP(REGEXEXTR"&amp;"ACT($I82,""^[^｜]+""),ms_mst!$A:$A,ms_mst!$M:$M),1)
  *
  IF(
   $B82&gt;=IFERROR(XLOOKUP(REGEXEXTRACT($L82,""^[^｜]+""),sk_mst!$A:$A,sk_mst!$M:$M),999),
   IFERROR(XLOOKUP(REGEXEXTRACT($L82,""^[^｜]+""),sk_mst!$A:$A,sk_mst!$G:$G),1),
   1
  )
 )
)"),2230.0)</f>
        <v>2230</v>
      </c>
      <c r="Q82" s="25">
        <f>IFERROR(__xludf.DUMMYFUNCTION("IF($A82="""","""",
 IF($F82=""market"",
  IFERROR(XLOOKUP(REGEXEXTRACT($J82,""^[^｜]+""),tr_mst!$A:$A,tr_mst!$F:$F),0)
  +IFERROR(XLOOKUP(REGEXEXTRACT($K82,""^[^｜]+""),tc_mst!$A:$A,tc_mst!$F:$F),0),
  IF($B82=0,
   IFERROR(XLOOKUP(REGEXEXTRACT($I82,""^[^｜]"&amp;"+""),ms_mst!$A:$A,ms_mst!$F:$F),0),
   IFERROR(XLOOKUP(""T""&amp;($B82-1)&amp;""_""&amp;$D82,$A:$A,$Q:$Q),0)
  )
  +IFERROR(XLOOKUP(REGEXEXTRACT($J82,""^[^｜]+""),tr_mst!$A:$A,tr_mst!$F:$F),0)
  +IFERROR(XLOOKUP(REGEXEXTRACT($K82,""^[^｜]+""),tc_mst!$A:$A,tc_mst!$F:$F)"&amp;",0)
  +
  (
   IFERROR(XLOOKUP(REGEXEXTRACT($M82,""^[^｜]+""),ac_mst!$A:$A,ac_mst!$I:$I),0)
   +IFERROR(XLOOKUP(REGEXEXTRACT($N82,""^[^｜]+""),ac_mst!$A:$A,ac_mst!$I:$I),0)
   +IFERROR(
    XLOOKUP(
     IF(
      OR(
       IFERROR(REGEXEXTRACT($M82,""^[^｜"&amp;"]+""),"""")="""",
       IFERROR(REGEXEXTRACT($N82,""^[^｜]+""),"""")=""""
      ),
      """",
      IF(
       IFERROR(REGEXEXTRACT($M82,""^[^｜]+""),"""")&lt;IFERROR(REGEXEXTRACT($N82,""^[^｜]+""),""""),
       IFERROR(REGEXEXTRACT($M82,""^[^｜]+""),"""")&amp;""_"&amp;"""&amp;IFERROR(REGEXEXTRACT($N82,""^[^｜]+""),""""),
       IFERROR(REGEXEXTRACT($N82,""^[^｜]+""),"""")&amp;""_""&amp;IFERROR(REGEXEXTRACT($M82,""^[^｜]+""),"""")
      )
     ),
     sy_mst!$A:$A,
     sy_mst!$F:$F
    ),
    0
   )
  )
  *
  IFERROR(XLOOKUP(REGEXEXTR"&amp;"ACT($I82,""^[^｜]+""),ms_mst!$A:$A,ms_mst!$N:$N),1)
  *
  IF(
   $B82&gt;=IFERROR(XLOOKUP(REGEXEXTRACT($L82,""^[^｜]+""),sk_mst!$A:$A,sk_mst!$M:$M),999),
   IFERROR(XLOOKUP(REGEXEXTRACT($L82,""^[^｜]+""),sk_mst!$A:$A,sk_mst!$H:$H),1),
   1
  )
 )
)"),0.4514999999999999)</f>
        <v>0.4515</v>
      </c>
      <c r="R82" s="25">
        <f>IFERROR(__xludf.DUMMYFUNCTION("IF($A82="""","""",
 IF($F82=""market"",
  IFERROR(XLOOKUP(REGEXEXTRACT($J82,""^[^｜]+""),tr_mst!$A:$A,tr_mst!$G:$G),0)
  +IFERROR(XLOOKUP(REGEXEXTRACT($K82,""^[^｜]+""),tc_mst!$A:$A,tc_mst!$G:$G),0),
  IF($B82=0,
   IFERROR(XLOOKUP(REGEXEXTRACT($I82,""^[^｜]"&amp;"+""),ms_mst!$A:$A,ms_mst!$G:$G),0),
   IFERROR(XLOOKUP(""T""&amp;($B82-1)&amp;""_""&amp;$D82,$A:$A,$R:$R),0)
  )
  +IFERROR(XLOOKUP(REGEXEXTRACT($J82,""^[^｜]+""),tr_mst!$A:$A,tr_mst!$G:$G),0)
  +IFERROR(XLOOKUP(REGEXEXTRACT($K82,""^[^｜]+""),tc_mst!$A:$A,tc_mst!$G:$G)"&amp;",0)
  +
  (
   IFERROR(XLOOKUP(REGEXEXTRACT($M82,""^[^｜]+""),ac_mst!$A:$A,ac_mst!$J:$J),0)
   +IFERROR(XLOOKUP(REGEXEXTRACT($N82,""^[^｜]+""),ac_mst!$A:$A,ac_mst!$J:$J),0)
   +IFERROR(
    XLOOKUP(
     IF(
      OR(
       IFERROR(REGEXEXTRACT($M82,""^[^｜"&amp;"]+""),"""")="""",
       IFERROR(REGEXEXTRACT($N82,""^[^｜]+""),"""")=""""
      ),
      """",
      IF(
       IFERROR(REGEXEXTRACT($M82,""^[^｜]+""),"""")&lt;IFERROR(REGEXEXTRACT($N82,""^[^｜]+""),""""),
       IFERROR(REGEXEXTRACT($M82,""^[^｜]+""),"""")&amp;""_"&amp;"""&amp;IFERROR(REGEXEXTRACT($N82,""^[^｜]+""),""""),
       IFERROR(REGEXEXTRACT($N82,""^[^｜]+""),"""")&amp;""_""&amp;IFERROR(REGEXEXTRACT($M82,""^[^｜]+""),"""")
      )
     ),
     sy_mst!$A:$A,
     sy_mst!$G:$G
    ),
    0
   )
  )
  *
  IFERROR(XLOOKUP(REGEXEXTR"&amp;"ACT($I82,""^[^｜]+""),ms_mst!$A:$A,ms_mst!$O:$O),1)
  *
  IF(
   $B82&gt;=IFERROR(XLOOKUP(REGEXEXTRACT($L82,""^[^｜]+""),sk_mst!$A:$A,sk_mst!$M:$M),999),
   IFERROR(XLOOKUP(REGEXEXTRACT($L82,""^[^｜]+""),sk_mst!$A:$A,sk_mst!$I:$I),1),
   1
  )
 )
)"),1.6545)</f>
        <v>1.6545</v>
      </c>
      <c r="S82" s="25">
        <f>IFERROR(__xludf.DUMMYFUNCTION("IF($A82="""","""",
 IF($F82=""market"",
  IFERROR(XLOOKUP(REGEXEXTRACT($J82,""^[^｜]+""),tr_mst!$A:$A,tr_mst!$H:$H),0)
  +IFERROR(XLOOKUP(REGEXEXTRACT($K82,""^[^｜]+""),tc_mst!$A:$A,tc_mst!$H:$H),0),
  IF($B82=0,
   IFERROR(XLOOKUP(REGEXEXTRACT($I82,""^[^｜]"&amp;"+""),ms_mst!$A:$A,ms_mst!$H:$H),0),
   IFERROR(XLOOKUP(""T""&amp;($B82-1)&amp;""_""&amp;$D82,$A:$A,$S:$S),0)
  )
  +IFERROR(XLOOKUP(REGEXEXTRACT($J82,""^[^｜]+""),tr_mst!$A:$A,tr_mst!$H:$H),0)
  +IFERROR(XLOOKUP(REGEXEXTRACT($K82,""^[^｜]+""),tc_mst!$A:$A,tc_mst!$H:$H)"&amp;",0)
  +
  (
   IFERROR(XLOOKUP(REGEXEXTRACT($M82,""^[^｜]+""),ac_mst!$A:$A,ac_mst!$K:$K),0)
   +IFERROR(XLOOKUP(REGEXEXTRACT($N82,""^[^｜]+""),ac_mst!$A:$A,ac_mst!$K:$K),0)
   +IFERROR(
    XLOOKUP(
     IF(
      OR(
       IFERROR(REGEXEXTRACT($M82,""^[^｜"&amp;"]+""),"""")="""",
       IFERROR(REGEXEXTRACT($N82,""^[^｜]+""),"""")=""""
      ),
      """",
      IF(
       IFERROR(REGEXEXTRACT($M82,""^[^｜]+""),"""")&lt;IFERROR(REGEXEXTRACT($N82,""^[^｜]+""),""""),
       IFERROR(REGEXEXTRACT($M82,""^[^｜]+""),"""")&amp;""_"&amp;"""&amp;IFERROR(REGEXEXTRACT($N82,""^[^｜]+""),""""),
       IFERROR(REGEXEXTRACT($N82,""^[^｜]+""),"""")&amp;""_""&amp;IFERROR(REGEXEXTRACT($M82,""^[^｜]+""),"""")
      )
     ),
     sy_mst!$A:$A,
     sy_mst!$H:$H
    ),
    0
   )
  )
  *
  IFERROR(XLOOKUP(REGEXEXTR"&amp;"ACT($I82,""^[^｜]+""),ms_mst!$A:$A,ms_mst!$P:$P),1)
  *
  IF(
   $B82&gt;=IFERROR(XLOOKUP(REGEXEXTRACT($L82,""^[^｜]+""),sk_mst!$A:$A,sk_mst!$M:$M),999),
   IFERROR(XLOOKUP(REGEXEXTRACT($L82,""^[^｜]+""),sk_mst!$A:$A,sk_mst!$J:$J),1),
   1
  )
 )
)"),0.016538999999999998)</f>
        <v>0.016539</v>
      </c>
      <c r="T82" s="25">
        <f>IFERROR(__xludf.DUMMYFUNCTION("IF($A82="""","""",
 IF($F82=""market"",
  IFERROR(XLOOKUP(REGEXEXTRACT($J82,""^[^｜]+""),tr_mst!$A:$A,tr_mst!$I:$I),0)
  +IFERROR(XLOOKUP(REGEXEXTRACT($K82,""^[^｜]+""),tc_mst!$A:$A,tc_mst!$I:$I),0),
  IF($B82=0,
   IFERROR(XLOOKUP(REGEXEXTRACT($I82,""^[^｜]"&amp;"+""),ms_mst!$A:$A,ms_mst!$I:$I),0),
   IFERROR(XLOOKUP(""T""&amp;($B82-1)&amp;""_""&amp;$D82,$A:$A,$T:$T),0)
  )
  +IFERROR(XLOOKUP(REGEXEXTRACT($J82,""^[^｜]+""),tr_mst!$A:$A,tr_mst!$I:$I),0)
  +IFERROR(XLOOKUP(REGEXEXTRACT($K82,""^[^｜]+""),tc_mst!$A:$A,tc_mst!$I:$I)"&amp;",0)
  +
  (
   IFERROR(XLOOKUP(REGEXEXTRACT($M82,""^[^｜]+""),ac_mst!$A:$A,ac_mst!$L:$L),0)
   +IFERROR(XLOOKUP(REGEXEXTRACT($N82,""^[^｜]+""),ac_mst!$A:$A,ac_mst!$L:$L),0)
   +IFERROR(
    XLOOKUP(
     IF(
      OR(
       IFERROR(REGEXEXTRACT($M82,""^[^｜"&amp;"]+""),"""")="""",
       IFERROR(REGEXEXTRACT($N82,""^[^｜]+""),"""")=""""
      ),
      """",
      IF(
       IFERROR(REGEXEXTRACT($M82,""^[^｜]+""),"""")&lt;IFERROR(REGEXEXTRACT($N82,""^[^｜]+""),""""),
       IFERROR(REGEXEXTRACT($M82,""^[^｜]+""),"""")&amp;""_"&amp;"""&amp;IFERROR(REGEXEXTRACT($N82,""^[^｜]+""),""""),
       IFERROR(REGEXEXTRACT($N82,""^[^｜]+""),"""")&amp;""_""&amp;IFERROR(REGEXEXTRACT($M82,""^[^｜]+""),"""")
      )
     ),
     sy_mst!$A:$A,
     sy_mst!$I:$I
    ),
    0
   )
  )
  *
  IFERROR(XLOOKUP(REGEXEXTR"&amp;"ACT($I82,""^[^｜]+""),ms_mst!$A:$A,ms_mst!$Q:$Q),1)
  *
  IF(
   $B82&gt;=IFERROR(XLOOKUP(REGEXEXTRACT($L82,""^[^｜]+""),sk_mst!$A:$A,sk_mst!$M:$M),999),
   IFERROR(XLOOKUP(REGEXEXTRACT($L82,""^[^｜]+""),sk_mst!$A:$A,sk_mst!$K:$K),1),
   1
  )
 )
)"),5010.0)</f>
        <v>5010</v>
      </c>
      <c r="U82" s="25">
        <f>IFERROR(__xludf.DUMMYFUNCTION("IF($A82="""","""",
 IF($F82=""market"",
  IFERROR(XLOOKUP(REGEXEXTRACT($J82,""^[^｜]+""),tr_mst!$A:$A,tr_mst!$J:$J),0)
  +IFERROR(XLOOKUP(REGEXEXTRACT($K82,""^[^｜]+""),tc_mst!$A:$A,tc_mst!$J:$J),0),
  IF($B82=0,
   IFERROR(XLOOKUP(REGEXEXTRACT($I82,""^[^｜]"&amp;"+""),ms_mst!$A:$A,ms_mst!$J:$J),0),
   IFERROR(XLOOKUP(""T""&amp;($B82-1)&amp;""_""&amp;$D82,$A:$A,$U:$U),0)
  )
  +IFERROR(XLOOKUP(REGEXEXTRACT($J82,""^[^｜]+""),tr_mst!$A:$A,tr_mst!$J:$J),0)
  +IFERROR(XLOOKUP(REGEXEXTRACT($K82,""^[^｜]+""),tc_mst!$A:$A,tc_mst!$J:$J)"&amp;",0)
  +
  (
   IFERROR(XLOOKUP(REGEXEXTRACT($M82,""^[^｜]+""),ac_mst!$A:$A,ac_mst!$M:$M),0)
   +IFERROR(XLOOKUP(REGEXEXTRACT($N82,""^[^｜]+""),ac_mst!$A:$A,ac_mst!$M:$M),0)
   +IFERROR(
    XLOOKUP(
     IF(
      OR(
       IFERROR(REGEXEXTRACT($M82,""^[^｜"&amp;"]+""),"""")="""",
       IFERROR(REGEXEXTRACT($N82,""^[^｜]+""),"""")=""""
      ),
      """",
      IF(
       IFERROR(REGEXEXTRACT($M82,""^[^｜]+""),"""")&lt;IFERROR(REGEXEXTRACT($N82,""^[^｜]+""),""""),
       IFERROR(REGEXEXTRACT($M82,""^[^｜]+""),"""")&amp;""_"&amp;"""&amp;IFERROR(REGEXEXTRACT($N82,""^[^｜]+""),""""),
       IFERROR(REGEXEXTRACT($N82,""^[^｜]+""),"""")&amp;""_""&amp;IFERROR(REGEXEXTRACT($M82,""^[^｜]+""),"""")
      )
     ),
     sy_mst!$A:$A,
     sy_mst!$J:$J
    ),
    0
   )
  )
  *
  IFERROR(XLOOKUP(REGEXEXTR"&amp;"ACT($I82,""^[^｜]+""),ms_mst!$A:$A,ms_mst!$R:$R),1)
  *
  IF(
   $B82&gt;=IFERROR(XLOOKUP(REGEXEXTRACT($L82,""^[^｜]+""),sk_mst!$A:$A,sk_mst!$M:$M),999),
   IFERROR(XLOOKUP(REGEXEXTRACT($L82,""^[^｜]+""),sk_mst!$A:$A,sk_mst!$L:$L),1),
   1
  )
 )
)"),49.75)</f>
        <v>49.75</v>
      </c>
      <c r="V82" s="25">
        <f t="shared" si="1"/>
        <v>983554</v>
      </c>
      <c r="W82" s="25">
        <f t="shared" si="2"/>
        <v>110943</v>
      </c>
      <c r="X82" s="25">
        <f t="shared" si="3"/>
        <v>872611</v>
      </c>
      <c r="Y82" s="25">
        <f t="shared" si="4"/>
        <v>8.87</v>
      </c>
      <c r="Z82" s="25">
        <f>IFERROR(__xludf.DUMMYFUNCTION("IF($A82="""","""",
 IF($F82&lt;&gt;""player"","""",
  IFERROR(
   RANK(
    $X82,
    FILTER($X:$X,$B:$B=$B82,$F:$F=""player"",$X:$X&lt;&gt;""""),
    0
   ),
   """"
  )
 )
)"),3.0)</f>
        <v>3</v>
      </c>
      <c r="AA82" s="25" t="str">
        <f t="shared" si="5"/>
        <v>3位</v>
      </c>
      <c r="AB82" s="26">
        <f t="shared" si="6"/>
        <v>3.400037314</v>
      </c>
    </row>
    <row r="83">
      <c r="A83" s="25" t="s">
        <v>256</v>
      </c>
      <c r="B83" s="14">
        <v>6.0</v>
      </c>
      <c r="C83" s="14" t="s">
        <v>159</v>
      </c>
      <c r="D83" s="14" t="s">
        <v>160</v>
      </c>
      <c r="E83" s="25" t="s">
        <v>153</v>
      </c>
      <c r="F83" s="25" t="s">
        <v>154</v>
      </c>
      <c r="I83" s="25" t="str">
        <f>IFERROR(__xludf.DUMMYFUNCTION("IF($F83&lt;&gt;""player"","""",IFERROR(INDEX(FILTER(group_setup!$D$2:$D947,group_setup!$B$2:$B947=$C83,group_setup!$G$2:$G947=TRUE,group_setup!$H$2:$H947=""completed""),1),""""))"),"M03")</f>
        <v>M03</v>
      </c>
      <c r="J83" s="25" t="str">
        <f>IFERROR(__xludf.DUMMYFUNCTION("IFERROR(FILTER(market_event_log!$D$2:$D947,market_event_log!$C$2:$C947=$B83,market_event_log!$N$2:$N947=""active""),"""")"),"T04")</f>
        <v>T04</v>
      </c>
      <c r="K83" s="25" t="str">
        <f>IFERROR(__xludf.DUMMYFUNCTION("IFERROR(FILTER(market_event_log!$G$2:$G947,market_event_log!$C$2:$C947=$B83,market_event_log!$N$2:$N947=""active""),"""")"),"C04")</f>
        <v>C04</v>
      </c>
      <c r="L83" s="25" t="str">
        <f>IFERROR(__xludf.DUMMYFUNCTION("IF($F83&lt;&gt;""player"","""",IFERROR(INDEX(FILTER(group_setup!$E$2:$E947,group_setup!$B$2:$B947=$C83,group_setup!$G$2:$G947=TRUE,group_setup!$H$2:$H947=""completed""),1),""""))"),"S02")</f>
        <v>S02</v>
      </c>
      <c r="M83" s="25" t="str">
        <f>IFERROR(__xludf.DUMMYFUNCTION("IF($F83=""market"","""",IF($E83=""HUMAN"",IFERROR(FILTER(turn_log!$G$2:$G947,turn_log!$C$2:$C947=$B83,turn_log!$D$2:$D947=$C83,turn_log!$F$2:$F947=$E83),""""),IFERROR(FILTER(turn_log!$I$2:$I947,turn_log!$C$2:$C947=$B83,turn_log!$D$2:$D947=$C83,turn_log!$F"&amp;"$2:$F947=$E83),"""")))"),"A14")</f>
        <v>A14</v>
      </c>
      <c r="N83" s="25" t="str">
        <f>IFERROR(__xludf.DUMMYFUNCTION("IF($F83=""market"","""",IF($E83=""HUMAN"",IFERROR(FILTER(turn_log!$H$2:$H947,turn_log!$C$2:$C947=$B83,turn_log!$D$2:$D947=$C83,turn_log!$F$2:$F947=$E83),""""),IFERROR(FILTER(turn_log!$J$2:$J947,turn_log!$C$2:$C947=$B83,turn_log!$D$2:$D947=$C83,turn_log!$F"&amp;"$2:$F947=$E83),"""")))"),"A16")</f>
        <v>A16</v>
      </c>
      <c r="O83" s="25">
        <f>IFERROR(__xludf.DUMMYFUNCTION("IF($A83="""","""",
 IF($F83=""market"",
  IFERROR(XLOOKUP(REGEXEXTRACT($J83,""^[^｜]+""),tr_mst!$A:$A,tr_mst!$D:$D),0)
  +IFERROR(XLOOKUP(REGEXEXTRACT($K83,""^[^｜]+""),tc_mst!$A:$A,tc_mst!$D:$D),0),
  IF($B83=0,
   IFERROR(XLOOKUP(REGEXEXTRACT($I83,""^[^｜]"&amp;"+""),ms_mst!$A:$A,ms_mst!$D:$D),0),
   IFERROR(XLOOKUP(""T""&amp;($B83-1)&amp;""_""&amp;$D83,$A:$A,$O:$O),0)
  )
  +IFERROR(XLOOKUP(REGEXEXTRACT($J83,""^[^｜]+""),tr_mst!$A:$A,tr_mst!$D:$D),0)
  +IFERROR(XLOOKUP(REGEXEXTRACT($K83,""^[^｜]+""),tc_mst!$A:$A,tc_mst!$D:$D)"&amp;",0)
  +
  (
   IFERROR(XLOOKUP(REGEXEXTRACT($M83,""^[^｜]+""),ac_mst!$A:$A,ac_mst!$G:$G),0)
   +IFERROR(XLOOKUP(REGEXEXTRACT($N83,""^[^｜]+""),ac_mst!$A:$A,ac_mst!$G:$G),0)
   +IFERROR(
    XLOOKUP(
     IF(
      OR(
       IFERROR(REGEXEXTRACT($M83,""^[^｜"&amp;"]+""),"""")="""",
       IFERROR(REGEXEXTRACT($N83,""^[^｜]+""),"""")=""""
      ),
      """",
      IF(
       IFERROR(REGEXEXTRACT($M83,""^[^｜]+""),"""")&lt;IFERROR(REGEXEXTRACT($N83,""^[^｜]+""),""""),
       IFERROR(REGEXEXTRACT($M83,""^[^｜]+""),"""")&amp;""_"&amp;"""&amp;IFERROR(REGEXEXTRACT($N83,""^[^｜]+""),""""),
       IFERROR(REGEXEXTRACT($N83,""^[^｜]+""),"""")&amp;""_""&amp;IFERROR(REGEXEXTRACT($M83,""^[^｜]+""),"""")
      )
     ),
     sy_mst!$A:$A,
     sy_mst!$D:$D
    ),
    0
   )
  )
  *
  IFERROR(XLOOKUP(REGEXEXTR"&amp;"ACT($I83,""^[^｜]+""),ms_mst!$A:$A,ms_mst!$L:$L),1)
  *
  IF(
   $B83&gt;=IFERROR(XLOOKUP(REGEXEXTRACT($L83,""^[^｜]+""),sk_mst!$A:$A,sk_mst!$M:$M),999),
   IFERROR(XLOOKUP(REGEXEXTRACT($L83,""^[^｜]+""),sk_mst!$A:$A,sk_mst!$F:$F),1),
   1
  )
 )
)"),12600.0)</f>
        <v>12600</v>
      </c>
      <c r="P83" s="25">
        <f>IFERROR(__xludf.DUMMYFUNCTION("IF($A83="""","""",
 IF($F83=""market"",
  IFERROR(XLOOKUP(REGEXEXTRACT($J83,""^[^｜]+""),tr_mst!$A:$A,tr_mst!$E:$E),0)
  +IFERROR(XLOOKUP(REGEXEXTRACT($K83,""^[^｜]+""),tc_mst!$A:$A,tc_mst!$E:$E),0),
  IF($B83=0,
   IFERROR(XLOOKUP(REGEXEXTRACT($I83,""^[^｜]"&amp;"+""),ms_mst!$A:$A,ms_mst!$E:$E),0),
   IFERROR(XLOOKUP(""T""&amp;($B83-1)&amp;""_""&amp;$D83,$A:$A,$P:$P),0)
  )
  +IFERROR(XLOOKUP(REGEXEXTRACT($J83,""^[^｜]+""),tr_mst!$A:$A,tr_mst!$E:$E),0)
  +IFERROR(XLOOKUP(REGEXEXTRACT($K83,""^[^｜]+""),tc_mst!$A:$A,tc_mst!$E:$E)"&amp;",0)
  +
  (
   IFERROR(XLOOKUP(REGEXEXTRACT($M83,""^[^｜]+""),ac_mst!$A:$A,ac_mst!$H:$H),0)
   +IFERROR(XLOOKUP(REGEXEXTRACT($N83,""^[^｜]+""),ac_mst!$A:$A,ac_mst!$H:$H),0)
   +IFERROR(
    XLOOKUP(
     IF(
      OR(
       IFERROR(REGEXEXTRACT($M83,""^[^｜"&amp;"]+""),"""")="""",
       IFERROR(REGEXEXTRACT($N83,""^[^｜]+""),"""")=""""
      ),
      """",
      IF(
       IFERROR(REGEXEXTRACT($M83,""^[^｜]+""),"""")&lt;IFERROR(REGEXEXTRACT($N83,""^[^｜]+""),""""),
       IFERROR(REGEXEXTRACT($M83,""^[^｜]+""),"""")&amp;""_"&amp;"""&amp;IFERROR(REGEXEXTRACT($N83,""^[^｜]+""),""""),
       IFERROR(REGEXEXTRACT($N83,""^[^｜]+""),"""")&amp;""_""&amp;IFERROR(REGEXEXTRACT($M83,""^[^｜]+""),"""")
      )
     ),
     sy_mst!$A:$A,
     sy_mst!$E:$E
    ),
    0
   )
  )
  *
  IFERROR(XLOOKUP(REGEXEXTR"&amp;"ACT($I83,""^[^｜]+""),ms_mst!$A:$A,ms_mst!$M:$M),1)
  *
  IF(
   $B83&gt;=IFERROR(XLOOKUP(REGEXEXTRACT($L83,""^[^｜]+""),sk_mst!$A:$A,sk_mst!$M:$M),999),
   IFERROR(XLOOKUP(REGEXEXTRACT($L83,""^[^｜]+""),sk_mst!$A:$A,sk_mst!$G:$G),1),
   1
  )
 )
)"),1010.0)</f>
        <v>1010</v>
      </c>
      <c r="Q83" s="25">
        <f>IFERROR(__xludf.DUMMYFUNCTION("IF($A83="""","""",
 IF($F83=""market"",
  IFERROR(XLOOKUP(REGEXEXTRACT($J83,""^[^｜]+""),tr_mst!$A:$A,tr_mst!$F:$F),0)
  +IFERROR(XLOOKUP(REGEXEXTRACT($K83,""^[^｜]+""),tc_mst!$A:$A,tc_mst!$F:$F),0),
  IF($B83=0,
   IFERROR(XLOOKUP(REGEXEXTRACT($I83,""^[^｜]"&amp;"+""),ms_mst!$A:$A,ms_mst!$F:$F),0),
   IFERROR(XLOOKUP(""T""&amp;($B83-1)&amp;""_""&amp;$D83,$A:$A,$Q:$Q),0)
  )
  +IFERROR(XLOOKUP(REGEXEXTRACT($J83,""^[^｜]+""),tr_mst!$A:$A,tr_mst!$F:$F),0)
  +IFERROR(XLOOKUP(REGEXEXTRACT($K83,""^[^｜]+""),tc_mst!$A:$A,tc_mst!$F:$F)"&amp;",0)
  +
  (
   IFERROR(XLOOKUP(REGEXEXTRACT($M83,""^[^｜]+""),ac_mst!$A:$A,ac_mst!$I:$I),0)
   +IFERROR(XLOOKUP(REGEXEXTRACT($N83,""^[^｜]+""),ac_mst!$A:$A,ac_mst!$I:$I),0)
   +IFERROR(
    XLOOKUP(
     IF(
      OR(
       IFERROR(REGEXEXTRACT($M83,""^[^｜"&amp;"]+""),"""")="""",
       IFERROR(REGEXEXTRACT($N83,""^[^｜]+""),"""")=""""
      ),
      """",
      IF(
       IFERROR(REGEXEXTRACT($M83,""^[^｜]+""),"""")&lt;IFERROR(REGEXEXTRACT($N83,""^[^｜]+""),""""),
       IFERROR(REGEXEXTRACT($M83,""^[^｜]+""),"""")&amp;""_"&amp;"""&amp;IFERROR(REGEXEXTRACT($N83,""^[^｜]+""),""""),
       IFERROR(REGEXEXTRACT($N83,""^[^｜]+""),"""")&amp;""_""&amp;IFERROR(REGEXEXTRACT($M83,""^[^｜]+""),"""")
      )
     ),
     sy_mst!$A:$A,
     sy_mst!$F:$F
    ),
    0
   )
  )
  *
  IFERROR(XLOOKUP(REGEXEXTR"&amp;"ACT($I83,""^[^｜]+""),ms_mst!$A:$A,ms_mst!$N:$N),1)
  *
  IF(
   $B83&gt;=IFERROR(XLOOKUP(REGEXEXTRACT($L83,""^[^｜]+""),sk_mst!$A:$A,sk_mst!$M:$M),999),
   IFERROR(XLOOKUP(REGEXEXTRACT($L83,""^[^｜]+""),sk_mst!$A:$A,sk_mst!$H:$H),1),
   1
  )
 )
)"),0.4900000000000001)</f>
        <v>0.49</v>
      </c>
      <c r="R83" s="25">
        <f>IFERROR(__xludf.DUMMYFUNCTION("IF($A83="""","""",
 IF($F83=""market"",
  IFERROR(XLOOKUP(REGEXEXTRACT($J83,""^[^｜]+""),tr_mst!$A:$A,tr_mst!$G:$G),0)
  +IFERROR(XLOOKUP(REGEXEXTRACT($K83,""^[^｜]+""),tc_mst!$A:$A,tc_mst!$G:$G),0),
  IF($B83=0,
   IFERROR(XLOOKUP(REGEXEXTRACT($I83,""^[^｜]"&amp;"+""),ms_mst!$A:$A,ms_mst!$G:$G),0),
   IFERROR(XLOOKUP(""T""&amp;($B83-1)&amp;""_""&amp;$D83,$A:$A,$R:$R),0)
  )
  +IFERROR(XLOOKUP(REGEXEXTRACT($J83,""^[^｜]+""),tr_mst!$A:$A,tr_mst!$G:$G),0)
  +IFERROR(XLOOKUP(REGEXEXTRACT($K83,""^[^｜]+""),tc_mst!$A:$A,tc_mst!$G:$G)"&amp;",0)
  +
  (
   IFERROR(XLOOKUP(REGEXEXTRACT($M83,""^[^｜]+""),ac_mst!$A:$A,ac_mst!$J:$J),0)
   +IFERROR(XLOOKUP(REGEXEXTRACT($N83,""^[^｜]+""),ac_mst!$A:$A,ac_mst!$J:$J),0)
   +IFERROR(
    XLOOKUP(
     IF(
      OR(
       IFERROR(REGEXEXTRACT($M83,""^[^｜"&amp;"]+""),"""")="""",
       IFERROR(REGEXEXTRACT($N83,""^[^｜]+""),"""")=""""
      ),
      """",
      IF(
       IFERROR(REGEXEXTRACT($M83,""^[^｜]+""),"""")&lt;IFERROR(REGEXEXTRACT($N83,""^[^｜]+""),""""),
       IFERROR(REGEXEXTRACT($M83,""^[^｜]+""),"""")&amp;""_"&amp;"""&amp;IFERROR(REGEXEXTRACT($N83,""^[^｜]+""),""""),
       IFERROR(REGEXEXTRACT($N83,""^[^｜]+""),"""")&amp;""_""&amp;IFERROR(REGEXEXTRACT($M83,""^[^｜]+""),"""")
      )
     ),
     sy_mst!$A:$A,
     sy_mst!$G:$G
    ),
    0
   )
  )
  *
  IFERROR(XLOOKUP(REGEXEXTR"&amp;"ACT($I83,""^[^｜]+""),ms_mst!$A:$A,ms_mst!$O:$O),1)
  *
  IF(
   $B83&gt;=IFERROR(XLOOKUP(REGEXEXTRACT($L83,""^[^｜]+""),sk_mst!$A:$A,sk_mst!$M:$M),999),
   IFERROR(XLOOKUP(REGEXEXTRACT($L83,""^[^｜]+""),sk_mst!$A:$A,sk_mst!$I:$I),1),
   1
  )
 )
)"),1.8865)</f>
        <v>1.8865</v>
      </c>
      <c r="S83" s="25">
        <f>IFERROR(__xludf.DUMMYFUNCTION("IF($A83="""","""",
 IF($F83=""market"",
  IFERROR(XLOOKUP(REGEXEXTRACT($J83,""^[^｜]+""),tr_mst!$A:$A,tr_mst!$H:$H),0)
  +IFERROR(XLOOKUP(REGEXEXTRACT($K83,""^[^｜]+""),tc_mst!$A:$A,tc_mst!$H:$H),0),
  IF($B83=0,
   IFERROR(XLOOKUP(REGEXEXTRACT($I83,""^[^｜]"&amp;"+""),ms_mst!$A:$A,ms_mst!$H:$H),0),
   IFERROR(XLOOKUP(""T""&amp;($B83-1)&amp;""_""&amp;$D83,$A:$A,$S:$S),0)
  )
  +IFERROR(XLOOKUP(REGEXEXTRACT($J83,""^[^｜]+""),tr_mst!$A:$A,tr_mst!$H:$H),0)
  +IFERROR(XLOOKUP(REGEXEXTRACT($K83,""^[^｜]+""),tc_mst!$A:$A,tc_mst!$H:$H)"&amp;",0)
  +
  (
   IFERROR(XLOOKUP(REGEXEXTRACT($M83,""^[^｜]+""),ac_mst!$A:$A,ac_mst!$K:$K),0)
   +IFERROR(XLOOKUP(REGEXEXTRACT($N83,""^[^｜]+""),ac_mst!$A:$A,ac_mst!$K:$K),0)
   +IFERROR(
    XLOOKUP(
     IF(
      OR(
       IFERROR(REGEXEXTRACT($M83,""^[^｜"&amp;"]+""),"""")="""",
       IFERROR(REGEXEXTRACT($N83,""^[^｜]+""),"""")=""""
      ),
      """",
      IF(
       IFERROR(REGEXEXTRACT($M83,""^[^｜]+""),"""")&lt;IFERROR(REGEXEXTRACT($N83,""^[^｜]+""),""""),
       IFERROR(REGEXEXTRACT($M83,""^[^｜]+""),"""")&amp;""_"&amp;"""&amp;IFERROR(REGEXEXTRACT($N83,""^[^｜]+""),""""),
       IFERROR(REGEXEXTRACT($N83,""^[^｜]+""),"""")&amp;""_""&amp;IFERROR(REGEXEXTRACT($M83,""^[^｜]+""),"""")
      )
     ),
     sy_mst!$A:$A,
     sy_mst!$H:$H
    ),
    0
   )
  )
  *
  IFERROR(XLOOKUP(REGEXEXTR"&amp;"ACT($I83,""^[^｜]+""),ms_mst!$A:$A,ms_mst!$P:$P),1)
  *
  IF(
   $B83&gt;=IFERROR(XLOOKUP(REGEXEXTRACT($L83,""^[^｜]+""),sk_mst!$A:$A,sk_mst!$M:$M),999),
   IFERROR(XLOOKUP(REGEXEXTRACT($L83,""^[^｜]+""),sk_mst!$A:$A,sk_mst!$J:$J),1),
   1
  )
 )
)"),0.018730000000000004)</f>
        <v>0.01873</v>
      </c>
      <c r="T83" s="25">
        <f>IFERROR(__xludf.DUMMYFUNCTION("IF($A83="""","""",
 IF($F83=""market"",
  IFERROR(XLOOKUP(REGEXEXTRACT($J83,""^[^｜]+""),tr_mst!$A:$A,tr_mst!$I:$I),0)
  +IFERROR(XLOOKUP(REGEXEXTRACT($K83,""^[^｜]+""),tc_mst!$A:$A,tc_mst!$I:$I),0),
  IF($B83=0,
   IFERROR(XLOOKUP(REGEXEXTRACT($I83,""^[^｜]"&amp;"+""),ms_mst!$A:$A,ms_mst!$I:$I),0),
   IFERROR(XLOOKUP(""T""&amp;($B83-1)&amp;""_""&amp;$D83,$A:$A,$T:$T),0)
  )
  +IFERROR(XLOOKUP(REGEXEXTRACT($J83,""^[^｜]+""),tr_mst!$A:$A,tr_mst!$I:$I),0)
  +IFERROR(XLOOKUP(REGEXEXTRACT($K83,""^[^｜]+""),tc_mst!$A:$A,tc_mst!$I:$I)"&amp;",0)
  +
  (
   IFERROR(XLOOKUP(REGEXEXTRACT($M83,""^[^｜]+""),ac_mst!$A:$A,ac_mst!$L:$L),0)
   +IFERROR(XLOOKUP(REGEXEXTRACT($N83,""^[^｜]+""),ac_mst!$A:$A,ac_mst!$L:$L),0)
   +IFERROR(
    XLOOKUP(
     IF(
      OR(
       IFERROR(REGEXEXTRACT($M83,""^[^｜"&amp;"]+""),"""")="""",
       IFERROR(REGEXEXTRACT($N83,""^[^｜]+""),"""")=""""
      ),
      """",
      IF(
       IFERROR(REGEXEXTRACT($M83,""^[^｜]+""),"""")&lt;IFERROR(REGEXEXTRACT($N83,""^[^｜]+""),""""),
       IFERROR(REGEXEXTRACT($M83,""^[^｜]+""),"""")&amp;""_"&amp;"""&amp;IFERROR(REGEXEXTRACT($N83,""^[^｜]+""),""""),
       IFERROR(REGEXEXTRACT($N83,""^[^｜]+""),"""")&amp;""_""&amp;IFERROR(REGEXEXTRACT($M83,""^[^｜]+""),"""")
      )
     ),
     sy_mst!$A:$A,
     sy_mst!$I:$I
    ),
    0
   )
  )
  *
  IFERROR(XLOOKUP(REGEXEXTR"&amp;"ACT($I83,""^[^｜]+""),ms_mst!$A:$A,ms_mst!$Q:$Q),1)
  *
  IF(
   $B83&gt;=IFERROR(XLOOKUP(REGEXEXTRACT($L83,""^[^｜]+""),sk_mst!$A:$A,sk_mst!$M:$M),999),
   IFERROR(XLOOKUP(REGEXEXTRACT($L83,""^[^｜]+""),sk_mst!$A:$A,sk_mst!$K:$K),1),
   1
  )
 )
)"),4900.0)</f>
        <v>4900</v>
      </c>
      <c r="U83" s="25">
        <f>IFERROR(__xludf.DUMMYFUNCTION("IF($A83="""","""",
 IF($F83=""market"",
  IFERROR(XLOOKUP(REGEXEXTRACT($J83,""^[^｜]+""),tr_mst!$A:$A,tr_mst!$J:$J),0)
  +IFERROR(XLOOKUP(REGEXEXTRACT($K83,""^[^｜]+""),tc_mst!$A:$A,tc_mst!$J:$J),0),
  IF($B83=0,
   IFERROR(XLOOKUP(REGEXEXTRACT($I83,""^[^｜]"&amp;"+""),ms_mst!$A:$A,ms_mst!$J:$J),0),
   IFERROR(XLOOKUP(""T""&amp;($B83-1)&amp;""_""&amp;$D83,$A:$A,$U:$U),0)
  )
  +IFERROR(XLOOKUP(REGEXEXTRACT($J83,""^[^｜]+""),tr_mst!$A:$A,tr_mst!$J:$J),0)
  +IFERROR(XLOOKUP(REGEXEXTRACT($K83,""^[^｜]+""),tc_mst!$A:$A,tc_mst!$J:$J)"&amp;",0)
  +
  (
   IFERROR(XLOOKUP(REGEXEXTRACT($M83,""^[^｜]+""),ac_mst!$A:$A,ac_mst!$M:$M),0)
   +IFERROR(XLOOKUP(REGEXEXTRACT($N83,""^[^｜]+""),ac_mst!$A:$A,ac_mst!$M:$M),0)
   +IFERROR(
    XLOOKUP(
     IF(
      OR(
       IFERROR(REGEXEXTRACT($M83,""^[^｜"&amp;"]+""),"""")="""",
       IFERROR(REGEXEXTRACT($N83,""^[^｜]+""),"""")=""""
      ),
      """",
      IF(
       IFERROR(REGEXEXTRACT($M83,""^[^｜]+""),"""")&lt;IFERROR(REGEXEXTRACT($N83,""^[^｜]+""),""""),
       IFERROR(REGEXEXTRACT($M83,""^[^｜]+""),"""")&amp;""_"&amp;"""&amp;IFERROR(REGEXEXTRACT($N83,""^[^｜]+""),""""),
       IFERROR(REGEXEXTRACT($N83,""^[^｜]+""),"""")&amp;""_""&amp;IFERROR(REGEXEXTRACT($M83,""^[^｜]+""),"""")
      )
     ),
     sy_mst!$A:$A,
     sy_mst!$J:$J
    ),
    0
   )
  )
  *
  IFERROR(XLOOKUP(REGEXEXTR"&amp;"ACT($I83,""^[^｜]+""),ms_mst!$A:$A,ms_mst!$R:$R),1)
  *
  IF(
   $B83&gt;=IFERROR(XLOOKUP(REGEXEXTRACT($L83,""^[^｜]+""),sk_mst!$A:$A,sk_mst!$M:$M),999),
   IFERROR(XLOOKUP(REGEXEXTRACT($L83,""^[^｜]+""),sk_mst!$A:$A,sk_mst!$L:$L),1),
   1
  )
 )
)"),43.3)</f>
        <v>43.3</v>
      </c>
      <c r="V83" s="25">
        <f t="shared" si="1"/>
        <v>1201763</v>
      </c>
      <c r="W83" s="25">
        <f t="shared" si="2"/>
        <v>43733</v>
      </c>
      <c r="X83" s="25">
        <f t="shared" si="3"/>
        <v>1158030</v>
      </c>
      <c r="Y83" s="25">
        <f t="shared" si="4"/>
        <v>27.48</v>
      </c>
      <c r="Z83" s="25">
        <f>IFERROR(__xludf.DUMMYFUNCTION("IF($A83="""","""",
 IF($F83&lt;&gt;""player"","""",
  IFERROR(
   RANK(
    $X83,
    FILTER($X:$X,$B:$B=$B83,$F:$F=""player"",$X:$X&lt;&gt;""""),
    0
   ),
   """"
  )
 )
)"),1.0)</f>
        <v>1</v>
      </c>
      <c r="AA83" s="25" t="str">
        <f t="shared" si="5"/>
        <v>1位</v>
      </c>
      <c r="AB83" s="26">
        <f t="shared" si="6"/>
        <v>2.547886029</v>
      </c>
    </row>
    <row r="84">
      <c r="A84" s="25" t="s">
        <v>257</v>
      </c>
      <c r="B84" s="14">
        <v>6.0</v>
      </c>
      <c r="C84" s="14" t="s">
        <v>162</v>
      </c>
      <c r="D84" s="14" t="s">
        <v>163</v>
      </c>
      <c r="E84" s="25" t="s">
        <v>153</v>
      </c>
      <c r="F84" s="25" t="s">
        <v>154</v>
      </c>
      <c r="I84" s="25" t="str">
        <f>IFERROR(__xludf.DUMMYFUNCTION("IF($F84&lt;&gt;""player"","""",IFERROR(INDEX(FILTER(group_setup!$D$2:$D947,group_setup!$B$2:$B947=$C84,group_setup!$G$2:$G947=TRUE,group_setup!$H$2:$H947=""completed""),1),""""))"),"M01")</f>
        <v>M01</v>
      </c>
      <c r="J84" s="25" t="str">
        <f>IFERROR(__xludf.DUMMYFUNCTION("IFERROR(FILTER(market_event_log!$D$2:$D947,market_event_log!$C$2:$C947=$B84,market_event_log!$N$2:$N947=""active""),"""")"),"T04")</f>
        <v>T04</v>
      </c>
      <c r="K84" s="25" t="str">
        <f>IFERROR(__xludf.DUMMYFUNCTION("IFERROR(FILTER(market_event_log!$G$2:$G947,market_event_log!$C$2:$C947=$B84,market_event_log!$N$2:$N947=""active""),"""")"),"C04")</f>
        <v>C04</v>
      </c>
      <c r="L84" s="25" t="str">
        <f>IFERROR(__xludf.DUMMYFUNCTION("IF($F84&lt;&gt;""player"","""",IFERROR(INDEX(FILTER(group_setup!$E$2:$E947,group_setup!$B$2:$B947=$C84,group_setup!$G$2:$G947=TRUE,group_setup!$H$2:$H947=""completed""),1),""""))"),"S01")</f>
        <v>S01</v>
      </c>
      <c r="M84" s="25" t="str">
        <f>IFERROR(__xludf.DUMMYFUNCTION("IF($F84=""market"","""",IF($E84=""HUMAN"",IFERROR(FILTER(turn_log!$G$2:$G947,turn_log!$C$2:$C947=$B84,turn_log!$D$2:$D947=$C84,turn_log!$F$2:$F947=$E84),""""),IFERROR(FILTER(turn_log!$I$2:$I947,turn_log!$C$2:$C947=$B84,turn_log!$D$2:$D947=$C84,turn_log!$F"&amp;"$2:$F947=$E84),"""")))"),"A05")</f>
        <v>A05</v>
      </c>
      <c r="N84" s="25" t="str">
        <f>IFERROR(__xludf.DUMMYFUNCTION("IF($F84=""market"","""",IF($E84=""HUMAN"",IFERROR(FILTER(turn_log!$H$2:$H947,turn_log!$C$2:$C947=$B84,turn_log!$D$2:$D947=$C84,turn_log!$F$2:$F947=$E84),""""),IFERROR(FILTER(turn_log!$J$2:$J947,turn_log!$C$2:$C947=$B84,turn_log!$D$2:$D947=$C84,turn_log!$F"&amp;"$2:$F947=$E84),"""")))"),"A23")</f>
        <v>A23</v>
      </c>
      <c r="O84" s="25">
        <f>IFERROR(__xludf.DUMMYFUNCTION("IF($A84="""","""",
 IF($F84=""market"",
  IFERROR(XLOOKUP(REGEXEXTRACT($J84,""^[^｜]+""),tr_mst!$A:$A,tr_mst!$D:$D),0)
  +IFERROR(XLOOKUP(REGEXEXTRACT($K84,""^[^｜]+""),tc_mst!$A:$A,tc_mst!$D:$D),0),
  IF($B84=0,
   IFERROR(XLOOKUP(REGEXEXTRACT($I84,""^[^｜]"&amp;"+""),ms_mst!$A:$A,ms_mst!$D:$D),0),
   IFERROR(XLOOKUP(""T""&amp;($B84-1)&amp;""_""&amp;$D84,$A:$A,$O:$O),0)
  )
  +IFERROR(XLOOKUP(REGEXEXTRACT($J84,""^[^｜]+""),tr_mst!$A:$A,tr_mst!$D:$D),0)
  +IFERROR(XLOOKUP(REGEXEXTRACT($K84,""^[^｜]+""),tc_mst!$A:$A,tc_mst!$D:$D)"&amp;",0)
  +
  (
   IFERROR(XLOOKUP(REGEXEXTRACT($M84,""^[^｜]+""),ac_mst!$A:$A,ac_mst!$G:$G),0)
   +IFERROR(XLOOKUP(REGEXEXTRACT($N84,""^[^｜]+""),ac_mst!$A:$A,ac_mst!$G:$G),0)
   +IFERROR(
    XLOOKUP(
     IF(
      OR(
       IFERROR(REGEXEXTRACT($M84,""^[^｜"&amp;"]+""),"""")="""",
       IFERROR(REGEXEXTRACT($N84,""^[^｜]+""),"""")=""""
      ),
      """",
      IF(
       IFERROR(REGEXEXTRACT($M84,""^[^｜]+""),"""")&lt;IFERROR(REGEXEXTRACT($N84,""^[^｜]+""),""""),
       IFERROR(REGEXEXTRACT($M84,""^[^｜]+""),"""")&amp;""_"&amp;"""&amp;IFERROR(REGEXEXTRACT($N84,""^[^｜]+""),""""),
       IFERROR(REGEXEXTRACT($N84,""^[^｜]+""),"""")&amp;""_""&amp;IFERROR(REGEXEXTRACT($M84,""^[^｜]+""),"""")
      )
     ),
     sy_mst!$A:$A,
     sy_mst!$D:$D
    ),
    0
   )
  )
  *
  IFERROR(XLOOKUP(REGEXEXTR"&amp;"ACT($I84,""^[^｜]+""),ms_mst!$A:$A,ms_mst!$L:$L),1)
  *
  IF(
   $B84&gt;=IFERROR(XLOOKUP(REGEXEXTRACT($L84,""^[^｜]+""),sk_mst!$A:$A,sk_mst!$M:$M),999),
   IFERROR(XLOOKUP(REGEXEXTRACT($L84,""^[^｜]+""),sk_mst!$A:$A,sk_mst!$F:$F),1),
   1
  )
 )
)"),8960.0)</f>
        <v>8960</v>
      </c>
      <c r="P84" s="25">
        <f>IFERROR(__xludf.DUMMYFUNCTION("IF($A84="""","""",
 IF($F84=""market"",
  IFERROR(XLOOKUP(REGEXEXTRACT($J84,""^[^｜]+""),tr_mst!$A:$A,tr_mst!$E:$E),0)
  +IFERROR(XLOOKUP(REGEXEXTRACT($K84,""^[^｜]+""),tc_mst!$A:$A,tc_mst!$E:$E),0),
  IF($B84=0,
   IFERROR(XLOOKUP(REGEXEXTRACT($I84,""^[^｜]"&amp;"+""),ms_mst!$A:$A,ms_mst!$E:$E),0),
   IFERROR(XLOOKUP(""T""&amp;($B84-1)&amp;""_""&amp;$D84,$A:$A,$P:$P),0)
  )
  +IFERROR(XLOOKUP(REGEXEXTRACT($J84,""^[^｜]+""),tr_mst!$A:$A,tr_mst!$E:$E),0)
  +IFERROR(XLOOKUP(REGEXEXTRACT($K84,""^[^｜]+""),tc_mst!$A:$A,tc_mst!$E:$E)"&amp;",0)
  +
  (
   IFERROR(XLOOKUP(REGEXEXTRACT($M84,""^[^｜]+""),ac_mst!$A:$A,ac_mst!$H:$H),0)
   +IFERROR(XLOOKUP(REGEXEXTRACT($N84,""^[^｜]+""),ac_mst!$A:$A,ac_mst!$H:$H),0)
   +IFERROR(
    XLOOKUP(
     IF(
      OR(
       IFERROR(REGEXEXTRACT($M84,""^[^｜"&amp;"]+""),"""")="""",
       IFERROR(REGEXEXTRACT($N84,""^[^｜]+""),"""")=""""
      ),
      """",
      IF(
       IFERROR(REGEXEXTRACT($M84,""^[^｜]+""),"""")&lt;IFERROR(REGEXEXTRACT($N84,""^[^｜]+""),""""),
       IFERROR(REGEXEXTRACT($M84,""^[^｜]+""),"""")&amp;""_"&amp;"""&amp;IFERROR(REGEXEXTRACT($N84,""^[^｜]+""),""""),
       IFERROR(REGEXEXTRACT($N84,""^[^｜]+""),"""")&amp;""_""&amp;IFERROR(REGEXEXTRACT($M84,""^[^｜]+""),"""")
      )
     ),
     sy_mst!$A:$A,
     sy_mst!$E:$E
    ),
    0
   )
  )
  *
  IFERROR(XLOOKUP(REGEXEXTR"&amp;"ACT($I84,""^[^｜]+""),ms_mst!$A:$A,ms_mst!$M:$M),1)
  *
  IF(
   $B84&gt;=IFERROR(XLOOKUP(REGEXEXTRACT($L84,""^[^｜]+""),sk_mst!$A:$A,sk_mst!$M:$M),999),
   IFERROR(XLOOKUP(REGEXEXTRACT($L84,""^[^｜]+""),sk_mst!$A:$A,sk_mst!$G:$G),1),
   1
  )
 )
)"),3885.0)</f>
        <v>3885</v>
      </c>
      <c r="Q84" s="25">
        <f>IFERROR(__xludf.DUMMYFUNCTION("IF($A84="""","""",
 IF($F84=""market"",
  IFERROR(XLOOKUP(REGEXEXTRACT($J84,""^[^｜]+""),tr_mst!$A:$A,tr_mst!$F:$F),0)
  +IFERROR(XLOOKUP(REGEXEXTRACT($K84,""^[^｜]+""),tc_mst!$A:$A,tc_mst!$F:$F),0),
  IF($B84=0,
   IFERROR(XLOOKUP(REGEXEXTRACT($I84,""^[^｜]"&amp;"+""),ms_mst!$A:$A,ms_mst!$F:$F),0),
   IFERROR(XLOOKUP(""T""&amp;($B84-1)&amp;""_""&amp;$D84,$A:$A,$Q:$Q),0)
  )
  +IFERROR(XLOOKUP(REGEXEXTRACT($J84,""^[^｜]+""),tr_mst!$A:$A,tr_mst!$F:$F),0)
  +IFERROR(XLOOKUP(REGEXEXTRACT($K84,""^[^｜]+""),tc_mst!$A:$A,tc_mst!$F:$F)"&amp;",0)
  +
  (
   IFERROR(XLOOKUP(REGEXEXTRACT($M84,""^[^｜]+""),ac_mst!$A:$A,ac_mst!$I:$I),0)
   +IFERROR(XLOOKUP(REGEXEXTRACT($N84,""^[^｜]+""),ac_mst!$A:$A,ac_mst!$I:$I),0)
   +IFERROR(
    XLOOKUP(
     IF(
      OR(
       IFERROR(REGEXEXTRACT($M84,""^[^｜"&amp;"]+""),"""")="""",
       IFERROR(REGEXEXTRACT($N84,""^[^｜]+""),"""")=""""
      ),
      """",
      IF(
       IFERROR(REGEXEXTRACT($M84,""^[^｜]+""),"""")&lt;IFERROR(REGEXEXTRACT($N84,""^[^｜]+""),""""),
       IFERROR(REGEXEXTRACT($M84,""^[^｜]+""),"""")&amp;""_"&amp;"""&amp;IFERROR(REGEXEXTRACT($N84,""^[^｜]+""),""""),
       IFERROR(REGEXEXTRACT($N84,""^[^｜]+""),"""")&amp;""_""&amp;IFERROR(REGEXEXTRACT($M84,""^[^｜]+""),"""")
      )
     ),
     sy_mst!$A:$A,
     sy_mst!$F:$F
    ),
    0
   )
  )
  *
  IFERROR(XLOOKUP(REGEXEXTR"&amp;"ACT($I84,""^[^｜]+""),ms_mst!$A:$A,ms_mst!$N:$N),1)
  *
  IF(
   $B84&gt;=IFERROR(XLOOKUP(REGEXEXTRACT($L84,""^[^｜]+""),sk_mst!$A:$A,sk_mst!$M:$M),999),
   IFERROR(XLOOKUP(REGEXEXTRACT($L84,""^[^｜]+""),sk_mst!$A:$A,sk_mst!$H:$H),1),
   1
  )
 )
)"),0.48999999999999994)</f>
        <v>0.49</v>
      </c>
      <c r="R84" s="25">
        <f>IFERROR(__xludf.DUMMYFUNCTION("IF($A84="""","""",
 IF($F84=""market"",
  IFERROR(XLOOKUP(REGEXEXTRACT($J84,""^[^｜]+""),tr_mst!$A:$A,tr_mst!$G:$G),0)
  +IFERROR(XLOOKUP(REGEXEXTRACT($K84,""^[^｜]+""),tc_mst!$A:$A,tc_mst!$G:$G),0),
  IF($B84=0,
   IFERROR(XLOOKUP(REGEXEXTRACT($I84,""^[^｜]"&amp;"+""),ms_mst!$A:$A,ms_mst!$G:$G),0),
   IFERROR(XLOOKUP(""T""&amp;($B84-1)&amp;""_""&amp;$D84,$A:$A,$R:$R),0)
  )
  +IFERROR(XLOOKUP(REGEXEXTRACT($J84,""^[^｜]+""),tr_mst!$A:$A,tr_mst!$G:$G),0)
  +IFERROR(XLOOKUP(REGEXEXTRACT($K84,""^[^｜]+""),tc_mst!$A:$A,tc_mst!$G:$G)"&amp;",0)
  +
  (
   IFERROR(XLOOKUP(REGEXEXTRACT($M84,""^[^｜]+""),ac_mst!$A:$A,ac_mst!$J:$J),0)
   +IFERROR(XLOOKUP(REGEXEXTRACT($N84,""^[^｜]+""),ac_mst!$A:$A,ac_mst!$J:$J),0)
   +IFERROR(
    XLOOKUP(
     IF(
      OR(
       IFERROR(REGEXEXTRACT($M84,""^[^｜"&amp;"]+""),"""")="""",
       IFERROR(REGEXEXTRACT($N84,""^[^｜]+""),"""")=""""
      ),
      """",
      IF(
       IFERROR(REGEXEXTRACT($M84,""^[^｜]+""),"""")&lt;IFERROR(REGEXEXTRACT($N84,""^[^｜]+""),""""),
       IFERROR(REGEXEXTRACT($M84,""^[^｜]+""),"""")&amp;""_"&amp;"""&amp;IFERROR(REGEXEXTRACT($N84,""^[^｜]+""),""""),
       IFERROR(REGEXEXTRACT($N84,""^[^｜]+""),"""")&amp;""_""&amp;IFERROR(REGEXEXTRACT($M84,""^[^｜]+""),"""")
      )
     ),
     sy_mst!$A:$A,
     sy_mst!$G:$G
    ),
    0
   )
  )
  *
  IFERROR(XLOOKUP(REGEXEXTR"&amp;"ACT($I84,""^[^｜]+""),ms_mst!$A:$A,ms_mst!$O:$O),1)
  *
  IF(
   $B84&gt;=IFERROR(XLOOKUP(REGEXEXTRACT($L84,""^[^｜]+""),sk_mst!$A:$A,sk_mst!$M:$M),999),
   IFERROR(XLOOKUP(REGEXEXTRACT($L84,""^[^｜]+""),sk_mst!$A:$A,sk_mst!$I:$I),1),
   1
  )
 )
)"),1.54075)</f>
        <v>1.54075</v>
      </c>
      <c r="S84" s="25">
        <f>IFERROR(__xludf.DUMMYFUNCTION("IF($A84="""","""",
 IF($F84=""market"",
  IFERROR(XLOOKUP(REGEXEXTRACT($J84,""^[^｜]+""),tr_mst!$A:$A,tr_mst!$H:$H),0)
  +IFERROR(XLOOKUP(REGEXEXTRACT($K84,""^[^｜]+""),tc_mst!$A:$A,tc_mst!$H:$H),0),
  IF($B84=0,
   IFERROR(XLOOKUP(REGEXEXTRACT($I84,""^[^｜]"&amp;"+""),ms_mst!$A:$A,ms_mst!$H:$H),0),
   IFERROR(XLOOKUP(""T""&amp;($B84-1)&amp;""_""&amp;$D84,$A:$A,$S:$S),0)
  )
  +IFERROR(XLOOKUP(REGEXEXTRACT($J84,""^[^｜]+""),tr_mst!$A:$A,tr_mst!$H:$H),0)
  +IFERROR(XLOOKUP(REGEXEXTRACT($K84,""^[^｜]+""),tc_mst!$A:$A,tc_mst!$H:$H)"&amp;",0)
  +
  (
   IFERROR(XLOOKUP(REGEXEXTRACT($M84,""^[^｜]+""),ac_mst!$A:$A,ac_mst!$K:$K),0)
   +IFERROR(XLOOKUP(REGEXEXTRACT($N84,""^[^｜]+""),ac_mst!$A:$A,ac_mst!$K:$K),0)
   +IFERROR(
    XLOOKUP(
     IF(
      OR(
       IFERROR(REGEXEXTRACT($M84,""^[^｜"&amp;"]+""),"""")="""",
       IFERROR(REGEXEXTRACT($N84,""^[^｜]+""),"""")=""""
      ),
      """",
      IF(
       IFERROR(REGEXEXTRACT($M84,""^[^｜]+""),"""")&lt;IFERROR(REGEXEXTRACT($N84,""^[^｜]+""),""""),
       IFERROR(REGEXEXTRACT($M84,""^[^｜]+""),"""")&amp;""_"&amp;"""&amp;IFERROR(REGEXEXTRACT($N84,""^[^｜]+""),""""),
       IFERROR(REGEXEXTRACT($N84,""^[^｜]+""),"""")&amp;""_""&amp;IFERROR(REGEXEXTRACT($M84,""^[^｜]+""),"""")
      )
     ),
     sy_mst!$A:$A,
     sy_mst!$H:$H
    ),
    0
   )
  )
  *
  IFERROR(XLOOKUP(REGEXEXTR"&amp;"ACT($I84,""^[^｜]+""),ms_mst!$A:$A,ms_mst!$P:$P),1)
  *
  IF(
   $B84&gt;=IFERROR(XLOOKUP(REGEXEXTRACT($L84,""^[^｜]+""),sk_mst!$A:$A,sk_mst!$M:$M),999),
   IFERROR(XLOOKUP(REGEXEXTRACT($L84,""^[^｜]+""),sk_mst!$A:$A,sk_mst!$J:$J),1),
   1
  )
 )
)"),0.0201)</f>
        <v>0.0201</v>
      </c>
      <c r="T84" s="25">
        <f>IFERROR(__xludf.DUMMYFUNCTION("IF($A84="""","""",
 IF($F84=""market"",
  IFERROR(XLOOKUP(REGEXEXTRACT($J84,""^[^｜]+""),tr_mst!$A:$A,tr_mst!$I:$I),0)
  +IFERROR(XLOOKUP(REGEXEXTRACT($K84,""^[^｜]+""),tc_mst!$A:$A,tc_mst!$I:$I),0),
  IF($B84=0,
   IFERROR(XLOOKUP(REGEXEXTRACT($I84,""^[^｜]"&amp;"+""),ms_mst!$A:$A,ms_mst!$I:$I),0),
   IFERROR(XLOOKUP(""T""&amp;($B84-1)&amp;""_""&amp;$D84,$A:$A,$T:$T),0)
  )
  +IFERROR(XLOOKUP(REGEXEXTRACT($J84,""^[^｜]+""),tr_mst!$A:$A,tr_mst!$I:$I),0)
  +IFERROR(XLOOKUP(REGEXEXTRACT($K84,""^[^｜]+""),tc_mst!$A:$A,tc_mst!$I:$I)"&amp;",0)
  +
  (
   IFERROR(XLOOKUP(REGEXEXTRACT($M84,""^[^｜]+""),ac_mst!$A:$A,ac_mst!$L:$L),0)
   +IFERROR(XLOOKUP(REGEXEXTRACT($N84,""^[^｜]+""),ac_mst!$A:$A,ac_mst!$L:$L),0)
   +IFERROR(
    XLOOKUP(
     IF(
      OR(
       IFERROR(REGEXEXTRACT($M84,""^[^｜"&amp;"]+""),"""")="""",
       IFERROR(REGEXEXTRACT($N84,""^[^｜]+""),"""")=""""
      ),
      """",
      IF(
       IFERROR(REGEXEXTRACT($M84,""^[^｜]+""),"""")&lt;IFERROR(REGEXEXTRACT($N84,""^[^｜]+""),""""),
       IFERROR(REGEXEXTRACT($M84,""^[^｜]+""),"""")&amp;""_"&amp;"""&amp;IFERROR(REGEXEXTRACT($N84,""^[^｜]+""),""""),
       IFERROR(REGEXEXTRACT($N84,""^[^｜]+""),"""")&amp;""_""&amp;IFERROR(REGEXEXTRACT($M84,""^[^｜]+""),"""")
      )
     ),
     sy_mst!$A:$A,
     sy_mst!$I:$I
    ),
    0
   )
  )
  *
  IFERROR(XLOOKUP(REGEXEXTR"&amp;"ACT($I84,""^[^｜]+""),ms_mst!$A:$A,ms_mst!$Q:$Q),1)
  *
  IF(
   $B84&gt;=IFERROR(XLOOKUP(REGEXEXTRACT($L84,""^[^｜]+""),sk_mst!$A:$A,sk_mst!$M:$M),999),
   IFERROR(XLOOKUP(REGEXEXTRACT($L84,""^[^｜]+""),sk_mst!$A:$A,sk_mst!$K:$K),1),
   1
  )
 )
)"),4650.0)</f>
        <v>4650</v>
      </c>
      <c r="U84" s="25">
        <f>IFERROR(__xludf.DUMMYFUNCTION("IF($A84="""","""",
 IF($F84=""market"",
  IFERROR(XLOOKUP(REGEXEXTRACT($J84,""^[^｜]+""),tr_mst!$A:$A,tr_mst!$J:$J),0)
  +IFERROR(XLOOKUP(REGEXEXTRACT($K84,""^[^｜]+""),tc_mst!$A:$A,tc_mst!$J:$J),0),
  IF($B84=0,
   IFERROR(XLOOKUP(REGEXEXTRACT($I84,""^[^｜]"&amp;"+""),ms_mst!$A:$A,ms_mst!$J:$J),0),
   IFERROR(XLOOKUP(""T""&amp;($B84-1)&amp;""_""&amp;$D84,$A:$A,$U:$U),0)
  )
  +IFERROR(XLOOKUP(REGEXEXTRACT($J84,""^[^｜]+""),tr_mst!$A:$A,tr_mst!$J:$J),0)
  +IFERROR(XLOOKUP(REGEXEXTRACT($K84,""^[^｜]+""),tc_mst!$A:$A,tc_mst!$J:$J)"&amp;",0)
  +
  (
   IFERROR(XLOOKUP(REGEXEXTRACT($M84,""^[^｜]+""),ac_mst!$A:$A,ac_mst!$M:$M),0)
   +IFERROR(XLOOKUP(REGEXEXTRACT($N84,""^[^｜]+""),ac_mst!$A:$A,ac_mst!$M:$M),0)
   +IFERROR(
    XLOOKUP(
     IF(
      OR(
       IFERROR(REGEXEXTRACT($M84,""^[^｜"&amp;"]+""),"""")="""",
       IFERROR(REGEXEXTRACT($N84,""^[^｜]+""),"""")=""""
      ),
      """",
      IF(
       IFERROR(REGEXEXTRACT($M84,""^[^｜]+""),"""")&lt;IFERROR(REGEXEXTRACT($N84,""^[^｜]+""),""""),
       IFERROR(REGEXEXTRACT($M84,""^[^｜]+""),"""")&amp;""_"&amp;"""&amp;IFERROR(REGEXEXTRACT($N84,""^[^｜]+""),""""),
       IFERROR(REGEXEXTRACT($N84,""^[^｜]+""),"""")&amp;""_""&amp;IFERROR(REGEXEXTRACT($M84,""^[^｜]+""),"""")
      )
     ),
     sy_mst!$A:$A,
     sy_mst!$J:$J
    ),
    0
   )
  )
  *
  IFERROR(XLOOKUP(REGEXEXTR"&amp;"ACT($I84,""^[^｜]+""),ms_mst!$A:$A,ms_mst!$R:$R),1)
  *
  IF(
   $B84&gt;=IFERROR(XLOOKUP(REGEXEXTRACT($L84,""^[^｜]+""),sk_mst!$A:$A,sk_mst!$M:$M),999),
   IFERROR(XLOOKUP(REGEXEXTRACT($L84,""^[^｜]+""),sk_mst!$A:$A,sk_mst!$L:$L),1),
   1
  )
 )
)"),53.0)</f>
        <v>53</v>
      </c>
      <c r="V84" s="25">
        <f t="shared" si="1"/>
        <v>943377</v>
      </c>
      <c r="W84" s="25">
        <f t="shared" si="2"/>
        <v>205905</v>
      </c>
      <c r="X84" s="25">
        <f t="shared" si="3"/>
        <v>737472</v>
      </c>
      <c r="Y84" s="25">
        <f t="shared" si="4"/>
        <v>4.58</v>
      </c>
      <c r="Z84" s="25">
        <f>IFERROR(__xludf.DUMMYFUNCTION("IF($A84="""","""",
 IF($F84&lt;&gt;""player"","""",
  IFERROR(
   RANK(
    $X84,
    FILTER($X:$X,$B:$B=$B84,$F:$F=""player"",$X:$X&lt;&gt;""""),
    0
   ),
   """"
  )
 )
)"),5.0)</f>
        <v>5</v>
      </c>
      <c r="AA84" s="25" t="str">
        <f t="shared" si="5"/>
        <v>5位</v>
      </c>
      <c r="AB84" s="26">
        <f t="shared" si="6"/>
        <v>5.559154704</v>
      </c>
    </row>
    <row r="85">
      <c r="A85" s="25" t="s">
        <v>258</v>
      </c>
      <c r="B85" s="14">
        <v>6.0</v>
      </c>
      <c r="C85" s="14" t="s">
        <v>165</v>
      </c>
      <c r="D85" s="14" t="s">
        <v>166</v>
      </c>
      <c r="E85" s="25" t="s">
        <v>153</v>
      </c>
      <c r="F85" s="25" t="s">
        <v>154</v>
      </c>
      <c r="I85" s="25" t="str">
        <f>IFERROR(__xludf.DUMMYFUNCTION("IF($F85&lt;&gt;""player"","""",IFERROR(INDEX(FILTER(group_setup!$D$2:$D947,group_setup!$B$2:$B947=$C85,group_setup!$G$2:$G947=TRUE,group_setup!$H$2:$H947=""completed""),1),""""))"),"M10")</f>
        <v>M10</v>
      </c>
      <c r="J85" s="25" t="str">
        <f>IFERROR(__xludf.DUMMYFUNCTION("IFERROR(FILTER(market_event_log!$D$2:$D947,market_event_log!$C$2:$C947=$B85,market_event_log!$N$2:$N947=""active""),"""")"),"T04")</f>
        <v>T04</v>
      </c>
      <c r="K85" s="25" t="str">
        <f>IFERROR(__xludf.DUMMYFUNCTION("IFERROR(FILTER(market_event_log!$G$2:$G947,market_event_log!$C$2:$C947=$B85,market_event_log!$N$2:$N947=""active""),"""")"),"C04")</f>
        <v>C04</v>
      </c>
      <c r="L85" s="25" t="str">
        <f>IFERROR(__xludf.DUMMYFUNCTION("IF($F85&lt;&gt;""player"","""",IFERROR(INDEX(FILTER(group_setup!$E$2:$E947,group_setup!$B$2:$B947=$C85,group_setup!$G$2:$G947=TRUE,group_setup!$H$2:$H947=""completed""),1),""""))"),"S06")</f>
        <v>S06</v>
      </c>
      <c r="M85" s="25" t="str">
        <f>IFERROR(__xludf.DUMMYFUNCTION("IF($F85=""market"","""",IF($E85=""HUMAN"",IFERROR(FILTER(turn_log!$G$2:$G947,turn_log!$C$2:$C947=$B85,turn_log!$D$2:$D947=$C85,turn_log!$F$2:$F947=$E85),""""),IFERROR(FILTER(turn_log!$I$2:$I947,turn_log!$C$2:$C947=$B85,turn_log!$D$2:$D947=$C85,turn_log!$F"&amp;"$2:$F947=$E85),"""")))"),"A09")</f>
        <v>A09</v>
      </c>
      <c r="N85" s="25" t="str">
        <f>IFERROR(__xludf.DUMMYFUNCTION("IF($F85=""market"","""",IF($E85=""HUMAN"",IFERROR(FILTER(turn_log!$H$2:$H947,turn_log!$C$2:$C947=$B85,turn_log!$D$2:$D947=$C85,turn_log!$F$2:$F947=$E85),""""),IFERROR(FILTER(turn_log!$J$2:$J947,turn_log!$C$2:$C947=$B85,turn_log!$D$2:$D947=$C85,turn_log!$F"&amp;"$2:$F947=$E85),"""")))"),"A01")</f>
        <v>A01</v>
      </c>
      <c r="O85" s="25">
        <f>IFERROR(__xludf.DUMMYFUNCTION("IF($A85="""","""",
 IF($F85=""market"",
  IFERROR(XLOOKUP(REGEXEXTRACT($J85,""^[^｜]+""),tr_mst!$A:$A,tr_mst!$D:$D),0)
  +IFERROR(XLOOKUP(REGEXEXTRACT($K85,""^[^｜]+""),tc_mst!$A:$A,tc_mst!$D:$D),0),
  IF($B85=0,
   IFERROR(XLOOKUP(REGEXEXTRACT($I85,""^[^｜]"&amp;"+""),ms_mst!$A:$A,ms_mst!$D:$D),0),
   IFERROR(XLOOKUP(""T""&amp;($B85-1)&amp;""_""&amp;$D85,$A:$A,$O:$O),0)
  )
  +IFERROR(XLOOKUP(REGEXEXTRACT($J85,""^[^｜]+""),tr_mst!$A:$A,tr_mst!$D:$D),0)
  +IFERROR(XLOOKUP(REGEXEXTRACT($K85,""^[^｜]+""),tc_mst!$A:$A,tc_mst!$D:$D)"&amp;",0)
  +
  (
   IFERROR(XLOOKUP(REGEXEXTRACT($M85,""^[^｜]+""),ac_mst!$A:$A,ac_mst!$G:$G),0)
   +IFERROR(XLOOKUP(REGEXEXTRACT($N85,""^[^｜]+""),ac_mst!$A:$A,ac_mst!$G:$G),0)
   +IFERROR(
    XLOOKUP(
     IF(
      OR(
       IFERROR(REGEXEXTRACT($M85,""^[^｜"&amp;"]+""),"""")="""",
       IFERROR(REGEXEXTRACT($N85,""^[^｜]+""),"""")=""""
      ),
      """",
      IF(
       IFERROR(REGEXEXTRACT($M85,""^[^｜]+""),"""")&lt;IFERROR(REGEXEXTRACT($N85,""^[^｜]+""),""""),
       IFERROR(REGEXEXTRACT($M85,""^[^｜]+""),"""")&amp;""_"&amp;"""&amp;IFERROR(REGEXEXTRACT($N85,""^[^｜]+""),""""),
       IFERROR(REGEXEXTRACT($N85,""^[^｜]+""),"""")&amp;""_""&amp;IFERROR(REGEXEXTRACT($M85,""^[^｜]+""),"""")
      )
     ),
     sy_mst!$A:$A,
     sy_mst!$D:$D
    ),
    0
   )
  )
  *
  IFERROR(XLOOKUP(REGEXEXTR"&amp;"ACT($I85,""^[^｜]+""),ms_mst!$A:$A,ms_mst!$L:$L),1)
  *
  IF(
   $B85&gt;=IFERROR(XLOOKUP(REGEXEXTRACT($L85,""^[^｜]+""),sk_mst!$A:$A,sk_mst!$M:$M),999),
   IFERROR(XLOOKUP(REGEXEXTRACT($L85,""^[^｜]+""),sk_mst!$A:$A,sk_mst!$F:$F),1),
   1
  )
 )
)"),9300.0)</f>
        <v>9300</v>
      </c>
      <c r="P85" s="25">
        <f>IFERROR(__xludf.DUMMYFUNCTION("IF($A85="""","""",
 IF($F85=""market"",
  IFERROR(XLOOKUP(REGEXEXTRACT($J85,""^[^｜]+""),tr_mst!$A:$A,tr_mst!$E:$E),0)
  +IFERROR(XLOOKUP(REGEXEXTRACT($K85,""^[^｜]+""),tc_mst!$A:$A,tc_mst!$E:$E),0),
  IF($B85=0,
   IFERROR(XLOOKUP(REGEXEXTRACT($I85,""^[^｜]"&amp;"+""),ms_mst!$A:$A,ms_mst!$E:$E),0),
   IFERROR(XLOOKUP(""T""&amp;($B85-1)&amp;""_""&amp;$D85,$A:$A,$P:$P),0)
  )
  +IFERROR(XLOOKUP(REGEXEXTRACT($J85,""^[^｜]+""),tr_mst!$A:$A,tr_mst!$E:$E),0)
  +IFERROR(XLOOKUP(REGEXEXTRACT($K85,""^[^｜]+""),tc_mst!$A:$A,tc_mst!$E:$E)"&amp;",0)
  +
  (
   IFERROR(XLOOKUP(REGEXEXTRACT($M85,""^[^｜]+""),ac_mst!$A:$A,ac_mst!$H:$H),0)
   +IFERROR(XLOOKUP(REGEXEXTRACT($N85,""^[^｜]+""),ac_mst!$A:$A,ac_mst!$H:$H),0)
   +IFERROR(
    XLOOKUP(
     IF(
      OR(
       IFERROR(REGEXEXTRACT($M85,""^[^｜"&amp;"]+""),"""")="""",
       IFERROR(REGEXEXTRACT($N85,""^[^｜]+""),"""")=""""
      ),
      """",
      IF(
       IFERROR(REGEXEXTRACT($M85,""^[^｜]+""),"""")&lt;IFERROR(REGEXEXTRACT($N85,""^[^｜]+""),""""),
       IFERROR(REGEXEXTRACT($M85,""^[^｜]+""),"""")&amp;""_"&amp;"""&amp;IFERROR(REGEXEXTRACT($N85,""^[^｜]+""),""""),
       IFERROR(REGEXEXTRACT($N85,""^[^｜]+""),"""")&amp;""_""&amp;IFERROR(REGEXEXTRACT($M85,""^[^｜]+""),"""")
      )
     ),
     sy_mst!$A:$A,
     sy_mst!$E:$E
    ),
    0
   )
  )
  *
  IFERROR(XLOOKUP(REGEXEXTR"&amp;"ACT($I85,""^[^｜]+""),ms_mst!$A:$A,ms_mst!$M:$M),1)
  *
  IF(
   $B85&gt;=IFERROR(XLOOKUP(REGEXEXTRACT($L85,""^[^｜]+""),sk_mst!$A:$A,sk_mst!$M:$M),999),
   IFERROR(XLOOKUP(REGEXEXTRACT($L85,""^[^｜]+""),sk_mst!$A:$A,sk_mst!$G:$G),1),
   1
  )
 )
)"),4385.0)</f>
        <v>4385</v>
      </c>
      <c r="Q85" s="25">
        <f>IFERROR(__xludf.DUMMYFUNCTION("IF($A85="""","""",
 IF($F85=""market"",
  IFERROR(XLOOKUP(REGEXEXTRACT($J85,""^[^｜]+""),tr_mst!$A:$A,tr_mst!$F:$F),0)
  +IFERROR(XLOOKUP(REGEXEXTRACT($K85,""^[^｜]+""),tc_mst!$A:$A,tc_mst!$F:$F),0),
  IF($B85=0,
   IFERROR(XLOOKUP(REGEXEXTRACT($I85,""^[^｜]"&amp;"+""),ms_mst!$A:$A,ms_mst!$F:$F),0),
   IFERROR(XLOOKUP(""T""&amp;($B85-1)&amp;""_""&amp;$D85,$A:$A,$Q:$Q),0)
  )
  +IFERROR(XLOOKUP(REGEXEXTRACT($J85,""^[^｜]+""),tr_mst!$A:$A,tr_mst!$F:$F),0)
  +IFERROR(XLOOKUP(REGEXEXTRACT($K85,""^[^｜]+""),tc_mst!$A:$A,tc_mst!$F:$F)"&amp;",0)
  +
  (
   IFERROR(XLOOKUP(REGEXEXTRACT($M85,""^[^｜]+""),ac_mst!$A:$A,ac_mst!$I:$I),0)
   +IFERROR(XLOOKUP(REGEXEXTRACT($N85,""^[^｜]+""),ac_mst!$A:$A,ac_mst!$I:$I),0)
   +IFERROR(
    XLOOKUP(
     IF(
      OR(
       IFERROR(REGEXEXTRACT($M85,""^[^｜"&amp;"]+""),"""")="""",
       IFERROR(REGEXEXTRACT($N85,""^[^｜]+""),"""")=""""
      ),
      """",
      IF(
       IFERROR(REGEXEXTRACT($M85,""^[^｜]+""),"""")&lt;IFERROR(REGEXEXTRACT($N85,""^[^｜]+""),""""),
       IFERROR(REGEXEXTRACT($M85,""^[^｜]+""),"""")&amp;""_"&amp;"""&amp;IFERROR(REGEXEXTRACT($N85,""^[^｜]+""),""""),
       IFERROR(REGEXEXTRACT($N85,""^[^｜]+""),"""")&amp;""_""&amp;IFERROR(REGEXEXTRACT($M85,""^[^｜]+""),"""")
      )
     ),
     sy_mst!$A:$A,
     sy_mst!$F:$F
    ),
    0
   )
  )
  *
  IFERROR(XLOOKUP(REGEXEXTR"&amp;"ACT($I85,""^[^｜]+""),ms_mst!$A:$A,ms_mst!$N:$N),1)
  *
  IF(
   $B85&gt;=IFERROR(XLOOKUP(REGEXEXTRACT($L85,""^[^｜]+""),sk_mst!$A:$A,sk_mst!$M:$M),999),
   IFERROR(XLOOKUP(REGEXEXTRACT($L85,""^[^｜]+""),sk_mst!$A:$A,sk_mst!$H:$H),1),
   1
  )
 )
)"),0.57)</f>
        <v>0.57</v>
      </c>
      <c r="R85" s="25">
        <f>IFERROR(__xludf.DUMMYFUNCTION("IF($A85="""","""",
 IF($F85=""market"",
  IFERROR(XLOOKUP(REGEXEXTRACT($J85,""^[^｜]+""),tr_mst!$A:$A,tr_mst!$G:$G),0)
  +IFERROR(XLOOKUP(REGEXEXTRACT($K85,""^[^｜]+""),tc_mst!$A:$A,tc_mst!$G:$G),0),
  IF($B85=0,
   IFERROR(XLOOKUP(REGEXEXTRACT($I85,""^[^｜]"&amp;"+""),ms_mst!$A:$A,ms_mst!$G:$G),0),
   IFERROR(XLOOKUP(""T""&amp;($B85-1)&amp;""_""&amp;$D85,$A:$A,$R:$R),0)
  )
  +IFERROR(XLOOKUP(REGEXEXTRACT($J85,""^[^｜]+""),tr_mst!$A:$A,tr_mst!$G:$G),0)
  +IFERROR(XLOOKUP(REGEXEXTRACT($K85,""^[^｜]+""),tc_mst!$A:$A,tc_mst!$G:$G)"&amp;",0)
  +
  (
   IFERROR(XLOOKUP(REGEXEXTRACT($M85,""^[^｜]+""),ac_mst!$A:$A,ac_mst!$J:$J),0)
   +IFERROR(XLOOKUP(REGEXEXTRACT($N85,""^[^｜]+""),ac_mst!$A:$A,ac_mst!$J:$J),0)
   +IFERROR(
    XLOOKUP(
     IF(
      OR(
       IFERROR(REGEXEXTRACT($M85,""^[^｜"&amp;"]+""),"""")="""",
       IFERROR(REGEXEXTRACT($N85,""^[^｜]+""),"""")=""""
      ),
      """",
      IF(
       IFERROR(REGEXEXTRACT($M85,""^[^｜]+""),"""")&lt;IFERROR(REGEXEXTRACT($N85,""^[^｜]+""),""""),
       IFERROR(REGEXEXTRACT($M85,""^[^｜]+""),"""")&amp;""_"&amp;"""&amp;IFERROR(REGEXEXTRACT($N85,""^[^｜]+""),""""),
       IFERROR(REGEXEXTRACT($N85,""^[^｜]+""),"""")&amp;""_""&amp;IFERROR(REGEXEXTRACT($M85,""^[^｜]+""),"""")
      )
     ),
     sy_mst!$A:$A,
     sy_mst!$G:$G
    ),
    0
   )
  )
  *
  IFERROR(XLOOKUP(REGEXEXTR"&amp;"ACT($I85,""^[^｜]+""),ms_mst!$A:$A,ms_mst!$O:$O),1)
  *
  IF(
   $B85&gt;=IFERROR(XLOOKUP(REGEXEXTRACT($L85,""^[^｜]+""),sk_mst!$A:$A,sk_mst!$M:$M),999),
   IFERROR(XLOOKUP(REGEXEXTRACT($L85,""^[^｜]+""),sk_mst!$A:$A,sk_mst!$I:$I),1),
   1
  )
 )
)"),1.4649999999999999)</f>
        <v>1.465</v>
      </c>
      <c r="S85" s="25">
        <f>IFERROR(__xludf.DUMMYFUNCTION("IF($A85="""","""",
 IF($F85=""market"",
  IFERROR(XLOOKUP(REGEXEXTRACT($J85,""^[^｜]+""),tr_mst!$A:$A,tr_mst!$H:$H),0)
  +IFERROR(XLOOKUP(REGEXEXTRACT($K85,""^[^｜]+""),tc_mst!$A:$A,tc_mst!$H:$H),0),
  IF($B85=0,
   IFERROR(XLOOKUP(REGEXEXTRACT($I85,""^[^｜]"&amp;"+""),ms_mst!$A:$A,ms_mst!$H:$H),0),
   IFERROR(XLOOKUP(""T""&amp;($B85-1)&amp;""_""&amp;$D85,$A:$A,$S:$S),0)
  )
  +IFERROR(XLOOKUP(REGEXEXTRACT($J85,""^[^｜]+""),tr_mst!$A:$A,tr_mst!$H:$H),0)
  +IFERROR(XLOOKUP(REGEXEXTRACT($K85,""^[^｜]+""),tc_mst!$A:$A,tc_mst!$H:$H)"&amp;",0)
  +
  (
   IFERROR(XLOOKUP(REGEXEXTRACT($M85,""^[^｜]+""),ac_mst!$A:$A,ac_mst!$K:$K),0)
   +IFERROR(XLOOKUP(REGEXEXTRACT($N85,""^[^｜]+""),ac_mst!$A:$A,ac_mst!$K:$K),0)
   +IFERROR(
    XLOOKUP(
     IF(
      OR(
       IFERROR(REGEXEXTRACT($M85,""^[^｜"&amp;"]+""),"""")="""",
       IFERROR(REGEXEXTRACT($N85,""^[^｜]+""),"""")=""""
      ),
      """",
      IF(
       IFERROR(REGEXEXTRACT($M85,""^[^｜]+""),"""")&lt;IFERROR(REGEXEXTRACT($N85,""^[^｜]+""),""""),
       IFERROR(REGEXEXTRACT($M85,""^[^｜]+""),"""")&amp;""_"&amp;"""&amp;IFERROR(REGEXEXTRACT($N85,""^[^｜]+""),""""),
       IFERROR(REGEXEXTRACT($N85,""^[^｜]+""),"""")&amp;""_""&amp;IFERROR(REGEXEXTRACT($M85,""^[^｜]+""),"""")
      )
     ),
     sy_mst!$A:$A,
     sy_mst!$H:$H
    ),
    0
   )
  )
  *
  IFERROR(XLOOKUP(REGEXEXTR"&amp;"ACT($I85,""^[^｜]+""),ms_mst!$A:$A,ms_mst!$P:$P),1)
  *
  IF(
   $B85&gt;=IFERROR(XLOOKUP(REGEXEXTRACT($L85,""^[^｜]+""),sk_mst!$A:$A,sk_mst!$M:$M),999),
   IFERROR(XLOOKUP(REGEXEXTRACT($L85,""^[^｜]+""),sk_mst!$A:$A,sk_mst!$J:$J),1),
   1
  )
 )
)"),0.016300000000000002)</f>
        <v>0.0163</v>
      </c>
      <c r="T85" s="25">
        <f>IFERROR(__xludf.DUMMYFUNCTION("IF($A85="""","""",
 IF($F85=""market"",
  IFERROR(XLOOKUP(REGEXEXTRACT($J85,""^[^｜]+""),tr_mst!$A:$A,tr_mst!$I:$I),0)
  +IFERROR(XLOOKUP(REGEXEXTRACT($K85,""^[^｜]+""),tc_mst!$A:$A,tc_mst!$I:$I),0),
  IF($B85=0,
   IFERROR(XLOOKUP(REGEXEXTRACT($I85,""^[^｜]"&amp;"+""),ms_mst!$A:$A,ms_mst!$I:$I),0),
   IFERROR(XLOOKUP(""T""&amp;($B85-1)&amp;""_""&amp;$D85,$A:$A,$T:$T),0)
  )
  +IFERROR(XLOOKUP(REGEXEXTRACT($J85,""^[^｜]+""),tr_mst!$A:$A,tr_mst!$I:$I),0)
  +IFERROR(XLOOKUP(REGEXEXTRACT($K85,""^[^｜]+""),tc_mst!$A:$A,tc_mst!$I:$I)"&amp;",0)
  +
  (
   IFERROR(XLOOKUP(REGEXEXTRACT($M85,""^[^｜]+""),ac_mst!$A:$A,ac_mst!$L:$L),0)
   +IFERROR(XLOOKUP(REGEXEXTRACT($N85,""^[^｜]+""),ac_mst!$A:$A,ac_mst!$L:$L),0)
   +IFERROR(
    XLOOKUP(
     IF(
      OR(
       IFERROR(REGEXEXTRACT($M85,""^[^｜"&amp;"]+""),"""")="""",
       IFERROR(REGEXEXTRACT($N85,""^[^｜]+""),"""")=""""
      ),
      """",
      IF(
       IFERROR(REGEXEXTRACT($M85,""^[^｜]+""),"""")&lt;IFERROR(REGEXEXTRACT($N85,""^[^｜]+""),""""),
       IFERROR(REGEXEXTRACT($M85,""^[^｜]+""),"""")&amp;""_"&amp;"""&amp;IFERROR(REGEXEXTRACT($N85,""^[^｜]+""),""""),
       IFERROR(REGEXEXTRACT($N85,""^[^｜]+""),"""")&amp;""_""&amp;IFERROR(REGEXEXTRACT($M85,""^[^｜]+""),"""")
      )
     ),
     sy_mst!$A:$A,
     sy_mst!$I:$I
    ),
    0
   )
  )
  *
  IFERROR(XLOOKUP(REGEXEXTR"&amp;"ACT($I85,""^[^｜]+""),ms_mst!$A:$A,ms_mst!$Q:$Q),1)
  *
  IF(
   $B85&gt;=IFERROR(XLOOKUP(REGEXEXTRACT($L85,""^[^｜]+""),sk_mst!$A:$A,sk_mst!$M:$M),999),
   IFERROR(XLOOKUP(REGEXEXTRACT($L85,""^[^｜]+""),sk_mst!$A:$A,sk_mst!$K:$K),1),
   1
  )
 )
)"),4500.0)</f>
        <v>4500</v>
      </c>
      <c r="U85" s="25">
        <f>IFERROR(__xludf.DUMMYFUNCTION("IF($A85="""","""",
 IF($F85=""market"",
  IFERROR(XLOOKUP(REGEXEXTRACT($J85,""^[^｜]+""),tr_mst!$A:$A,tr_mst!$J:$J),0)
  +IFERROR(XLOOKUP(REGEXEXTRACT($K85,""^[^｜]+""),tc_mst!$A:$A,tc_mst!$J:$J),0),
  IF($B85=0,
   IFERROR(XLOOKUP(REGEXEXTRACT($I85,""^[^｜]"&amp;"+""),ms_mst!$A:$A,ms_mst!$J:$J),0),
   IFERROR(XLOOKUP(""T""&amp;($B85-1)&amp;""_""&amp;$D85,$A:$A,$U:$U),0)
  )
  +IFERROR(XLOOKUP(REGEXEXTRACT($J85,""^[^｜]+""),tr_mst!$A:$A,tr_mst!$J:$J),0)
  +IFERROR(XLOOKUP(REGEXEXTRACT($K85,""^[^｜]+""),tc_mst!$A:$A,tc_mst!$J:$J)"&amp;",0)
  +
  (
   IFERROR(XLOOKUP(REGEXEXTRACT($M85,""^[^｜]+""),ac_mst!$A:$A,ac_mst!$M:$M),0)
   +IFERROR(XLOOKUP(REGEXEXTRACT($N85,""^[^｜]+""),ac_mst!$A:$A,ac_mst!$M:$M),0)
   +IFERROR(
    XLOOKUP(
     IF(
      OR(
       IFERROR(REGEXEXTRACT($M85,""^[^｜"&amp;"]+""),"""")="""",
       IFERROR(REGEXEXTRACT($N85,""^[^｜]+""),"""")=""""
      ),
      """",
      IF(
       IFERROR(REGEXEXTRACT($M85,""^[^｜]+""),"""")&lt;IFERROR(REGEXEXTRACT($N85,""^[^｜]+""),""""),
       IFERROR(REGEXEXTRACT($M85,""^[^｜]+""),"""")&amp;""_"&amp;"""&amp;IFERROR(REGEXEXTRACT($N85,""^[^｜]+""),""""),
       IFERROR(REGEXEXTRACT($N85,""^[^｜]+""),"""")&amp;""_""&amp;IFERROR(REGEXEXTRACT($M85,""^[^｜]+""),"""")
      )
     ),
     sy_mst!$A:$A,
     sy_mst!$J:$J
    ),
    0
   )
  )
  *
  IFERROR(XLOOKUP(REGEXEXTR"&amp;"ACT($I85,""^[^｜]+""),ms_mst!$A:$A,ms_mst!$R:$R),1)
  *
  IF(
   $B85&gt;=IFERROR(XLOOKUP(REGEXEXTRACT($L85,""^[^｜]+""),sk_mst!$A:$A,sk_mst!$M:$M),999),
   IFERROR(XLOOKUP(REGEXEXTRACT($L85,""^[^｜]+""),sk_mst!$A:$A,sk_mst!$L:$L),1),
   1
  )
 )
)"),62.32000000000001)</f>
        <v>62.32</v>
      </c>
      <c r="V85" s="25">
        <f t="shared" si="1"/>
        <v>632341</v>
      </c>
      <c r="W85" s="25">
        <f t="shared" si="2"/>
        <v>273273</v>
      </c>
      <c r="X85" s="25">
        <f t="shared" si="3"/>
        <v>359068</v>
      </c>
      <c r="Y85" s="25">
        <f t="shared" si="4"/>
        <v>2.31</v>
      </c>
      <c r="Z85" s="25">
        <f>IFERROR(__xludf.DUMMYFUNCTION("IF($A85="""","""",
 IF($F85&lt;&gt;""player"","""",
  IFERROR(
   RANK(
    $X85,
    FILTER($X:$X,$B:$B=$B85,$F:$F=""player"",$X:$X&lt;&gt;""""),
    0
   ),
   """"
  )
 )
)"),7.0)</f>
        <v>7</v>
      </c>
      <c r="AA85" s="25" t="str">
        <f t="shared" si="5"/>
        <v>7位</v>
      </c>
      <c r="AB85" s="26">
        <f t="shared" si="6"/>
        <v>10.97965536</v>
      </c>
    </row>
    <row r="86">
      <c r="A86" s="25" t="s">
        <v>259</v>
      </c>
      <c r="B86" s="14">
        <v>6.0</v>
      </c>
      <c r="C86" s="14" t="s">
        <v>168</v>
      </c>
      <c r="D86" s="14" t="s">
        <v>169</v>
      </c>
      <c r="E86" s="25" t="s">
        <v>153</v>
      </c>
      <c r="F86" s="25" t="s">
        <v>154</v>
      </c>
      <c r="I86" s="25" t="str">
        <f>IFERROR(__xludf.DUMMYFUNCTION("IF($F86&lt;&gt;""player"","""",IFERROR(INDEX(FILTER(group_setup!$D$2:$D947,group_setup!$B$2:$B947=$C86,group_setup!$G$2:$G947=TRUE,group_setup!$H$2:$H947=""completed""),1),""""))"),"M02")</f>
        <v>M02</v>
      </c>
      <c r="J86" s="25" t="str">
        <f>IFERROR(__xludf.DUMMYFUNCTION("IFERROR(FILTER(market_event_log!$D$2:$D947,market_event_log!$C$2:$C947=$B86,market_event_log!$N$2:$N947=""active""),"""")"),"T04")</f>
        <v>T04</v>
      </c>
      <c r="K86" s="25" t="str">
        <f>IFERROR(__xludf.DUMMYFUNCTION("IFERROR(FILTER(market_event_log!$G$2:$G947,market_event_log!$C$2:$C947=$B86,market_event_log!$N$2:$N947=""active""),"""")"),"C04")</f>
        <v>C04</v>
      </c>
      <c r="L86" s="25" t="str">
        <f>IFERROR(__xludf.DUMMYFUNCTION("IF($F86&lt;&gt;""player"","""",IFERROR(INDEX(FILTER(group_setup!$E$2:$E947,group_setup!$B$2:$B947=$C86,group_setup!$G$2:$G947=TRUE,group_setup!$H$2:$H947=""completed""),1),""""))"),"S03")</f>
        <v>S03</v>
      </c>
      <c r="M86" s="25" t="str">
        <f>IFERROR(__xludf.DUMMYFUNCTION("IF($F86=""market"","""",IF($E86=""HUMAN"",IFERROR(FILTER(turn_log!$G$2:$G947,turn_log!$C$2:$C947=$B86,turn_log!$D$2:$D947=$C86,turn_log!$F$2:$F947=$E86),""""),IFERROR(FILTER(turn_log!$I$2:$I947,turn_log!$C$2:$C947=$B86,turn_log!$D$2:$D947=$C86,turn_log!$F"&amp;"$2:$F947=$E86),"""")))"),"A04")</f>
        <v>A04</v>
      </c>
      <c r="N86" s="25" t="str">
        <f>IFERROR(__xludf.DUMMYFUNCTION("IF($F86=""market"","""",IF($E86=""HUMAN"",IFERROR(FILTER(turn_log!$H$2:$H947,turn_log!$C$2:$C947=$B86,turn_log!$D$2:$D947=$C86,turn_log!$F$2:$F947=$E86),""""),IFERROR(FILTER(turn_log!$J$2:$J947,turn_log!$C$2:$C947=$B86,turn_log!$D$2:$D947=$C86,turn_log!$F"&amp;"$2:$F947=$E86),"""")))"),"A18")</f>
        <v>A18</v>
      </c>
      <c r="O86" s="25">
        <f>IFERROR(__xludf.DUMMYFUNCTION("IF($A86="""","""",
 IF($F86=""market"",
  IFERROR(XLOOKUP(REGEXEXTRACT($J86,""^[^｜]+""),tr_mst!$A:$A,tr_mst!$D:$D),0)
  +IFERROR(XLOOKUP(REGEXEXTRACT($K86,""^[^｜]+""),tc_mst!$A:$A,tc_mst!$D:$D),0),
  IF($B86=0,
   IFERROR(XLOOKUP(REGEXEXTRACT($I86,""^[^｜]"&amp;"+""),ms_mst!$A:$A,ms_mst!$D:$D),0),
   IFERROR(XLOOKUP(""T""&amp;($B86-1)&amp;""_""&amp;$D86,$A:$A,$O:$O),0)
  )
  +IFERROR(XLOOKUP(REGEXEXTRACT($J86,""^[^｜]+""),tr_mst!$A:$A,tr_mst!$D:$D),0)
  +IFERROR(XLOOKUP(REGEXEXTRACT($K86,""^[^｜]+""),tc_mst!$A:$A,tc_mst!$D:$D)"&amp;",0)
  +
  (
   IFERROR(XLOOKUP(REGEXEXTRACT($M86,""^[^｜]+""),ac_mst!$A:$A,ac_mst!$G:$G),0)
   +IFERROR(XLOOKUP(REGEXEXTRACT($N86,""^[^｜]+""),ac_mst!$A:$A,ac_mst!$G:$G),0)
   +IFERROR(
    XLOOKUP(
     IF(
      OR(
       IFERROR(REGEXEXTRACT($M86,""^[^｜"&amp;"]+""),"""")="""",
       IFERROR(REGEXEXTRACT($N86,""^[^｜]+""),"""")=""""
      ),
      """",
      IF(
       IFERROR(REGEXEXTRACT($M86,""^[^｜]+""),"""")&lt;IFERROR(REGEXEXTRACT($N86,""^[^｜]+""),""""),
       IFERROR(REGEXEXTRACT($M86,""^[^｜]+""),"""")&amp;""_"&amp;"""&amp;IFERROR(REGEXEXTRACT($N86,""^[^｜]+""),""""),
       IFERROR(REGEXEXTRACT($N86,""^[^｜]+""),"""")&amp;""_""&amp;IFERROR(REGEXEXTRACT($M86,""^[^｜]+""),"""")
      )
     ),
     sy_mst!$A:$A,
     sy_mst!$D:$D
    ),
    0
   )
  )
  *
  IFERROR(XLOOKUP(REGEXEXTR"&amp;"ACT($I86,""^[^｜]+""),ms_mst!$A:$A,ms_mst!$L:$L),1)
  *
  IF(
   $B86&gt;=IFERROR(XLOOKUP(REGEXEXTRACT($L86,""^[^｜]+""),sk_mst!$A:$A,sk_mst!$M:$M),999),
   IFERROR(XLOOKUP(REGEXEXTRACT($L86,""^[^｜]+""),sk_mst!$A:$A,sk_mst!$F:$F),1),
   1
  )
 )
)"),9100.0)</f>
        <v>9100</v>
      </c>
      <c r="P86" s="25">
        <f>IFERROR(__xludf.DUMMYFUNCTION("IF($A86="""","""",
 IF($F86=""market"",
  IFERROR(XLOOKUP(REGEXEXTRACT($J86,""^[^｜]+""),tr_mst!$A:$A,tr_mst!$E:$E),0)
  +IFERROR(XLOOKUP(REGEXEXTRACT($K86,""^[^｜]+""),tc_mst!$A:$A,tc_mst!$E:$E),0),
  IF($B86=0,
   IFERROR(XLOOKUP(REGEXEXTRACT($I86,""^[^｜]"&amp;"+""),ms_mst!$A:$A,ms_mst!$E:$E),0),
   IFERROR(XLOOKUP(""T""&amp;($B86-1)&amp;""_""&amp;$D86,$A:$A,$P:$P),0)
  )
  +IFERROR(XLOOKUP(REGEXEXTRACT($J86,""^[^｜]+""),tr_mst!$A:$A,tr_mst!$E:$E),0)
  +IFERROR(XLOOKUP(REGEXEXTRACT($K86,""^[^｜]+""),tc_mst!$A:$A,tc_mst!$E:$E)"&amp;",0)
  +
  (
   IFERROR(XLOOKUP(REGEXEXTRACT($M86,""^[^｜]+""),ac_mst!$A:$A,ac_mst!$H:$H),0)
   +IFERROR(XLOOKUP(REGEXEXTRACT($N86,""^[^｜]+""),ac_mst!$A:$A,ac_mst!$H:$H),0)
   +IFERROR(
    XLOOKUP(
     IF(
      OR(
       IFERROR(REGEXEXTRACT($M86,""^[^｜"&amp;"]+""),"""")="""",
       IFERROR(REGEXEXTRACT($N86,""^[^｜]+""),"""")=""""
      ),
      """",
      IF(
       IFERROR(REGEXEXTRACT($M86,""^[^｜]+""),"""")&lt;IFERROR(REGEXEXTRACT($N86,""^[^｜]+""),""""),
       IFERROR(REGEXEXTRACT($M86,""^[^｜]+""),"""")&amp;""_"&amp;"""&amp;IFERROR(REGEXEXTRACT($N86,""^[^｜]+""),""""),
       IFERROR(REGEXEXTRACT($N86,""^[^｜]+""),"""")&amp;""_""&amp;IFERROR(REGEXEXTRACT($M86,""^[^｜]+""),"""")
      )
     ),
     sy_mst!$A:$A,
     sy_mst!$E:$E
    ),
    0
   )
  )
  *
  IFERROR(XLOOKUP(REGEXEXTR"&amp;"ACT($I86,""^[^｜]+""),ms_mst!$A:$A,ms_mst!$M:$M),1)
  *
  IF(
   $B86&gt;=IFERROR(XLOOKUP(REGEXEXTRACT($L86,""^[^｜]+""),sk_mst!$A:$A,sk_mst!$M:$M),999),
   IFERROR(XLOOKUP(REGEXEXTRACT($L86,""^[^｜]+""),sk_mst!$A:$A,sk_mst!$G:$G),1),
   1
  )
 )
)"),3445.0)</f>
        <v>3445</v>
      </c>
      <c r="Q86" s="25">
        <f>IFERROR(__xludf.DUMMYFUNCTION("IF($A86="""","""",
 IF($F86=""market"",
  IFERROR(XLOOKUP(REGEXEXTRACT($J86,""^[^｜]+""),tr_mst!$A:$A,tr_mst!$F:$F),0)
  +IFERROR(XLOOKUP(REGEXEXTRACT($K86,""^[^｜]+""),tc_mst!$A:$A,tc_mst!$F:$F),0),
  IF($B86=0,
   IFERROR(XLOOKUP(REGEXEXTRACT($I86,""^[^｜]"&amp;"+""),ms_mst!$A:$A,ms_mst!$F:$F),0),
   IFERROR(XLOOKUP(""T""&amp;($B86-1)&amp;""_""&amp;$D86,$A:$A,$Q:$Q),0)
  )
  +IFERROR(XLOOKUP(REGEXEXTRACT($J86,""^[^｜]+""),tr_mst!$A:$A,tr_mst!$F:$F),0)
  +IFERROR(XLOOKUP(REGEXEXTRACT($K86,""^[^｜]+""),tc_mst!$A:$A,tc_mst!$F:$F)"&amp;",0)
  +
  (
   IFERROR(XLOOKUP(REGEXEXTRACT($M86,""^[^｜]+""),ac_mst!$A:$A,ac_mst!$I:$I),0)
   +IFERROR(XLOOKUP(REGEXEXTRACT($N86,""^[^｜]+""),ac_mst!$A:$A,ac_mst!$I:$I),0)
   +IFERROR(
    XLOOKUP(
     IF(
      OR(
       IFERROR(REGEXEXTRACT($M86,""^[^｜"&amp;"]+""),"""")="""",
       IFERROR(REGEXEXTRACT($N86,""^[^｜]+""),"""")=""""
      ),
      """",
      IF(
       IFERROR(REGEXEXTRACT($M86,""^[^｜]+""),"""")&lt;IFERROR(REGEXEXTRACT($N86,""^[^｜]+""),""""),
       IFERROR(REGEXEXTRACT($M86,""^[^｜]+""),"""")&amp;""_"&amp;"""&amp;IFERROR(REGEXEXTRACT($N86,""^[^｜]+""),""""),
       IFERROR(REGEXEXTRACT($N86,""^[^｜]+""),"""")&amp;""_""&amp;IFERROR(REGEXEXTRACT($M86,""^[^｜]+""),"""")
      )
     ),
     sy_mst!$A:$A,
     sy_mst!$F:$F
    ),
    0
   )
  )
  *
  IFERROR(XLOOKUP(REGEXEXTR"&amp;"ACT($I86,""^[^｜]+""),ms_mst!$A:$A,ms_mst!$N:$N),1)
  *
  IF(
   $B86&gt;=IFERROR(XLOOKUP(REGEXEXTRACT($L86,""^[^｜]+""),sk_mst!$A:$A,sk_mst!$M:$M),999),
   IFERROR(XLOOKUP(REGEXEXTRACT($L86,""^[^｜]+""),sk_mst!$A:$A,sk_mst!$H:$H),1),
   1
  )
 )
)"),0.51)</f>
        <v>0.51</v>
      </c>
      <c r="R86" s="25">
        <f>IFERROR(__xludf.DUMMYFUNCTION("IF($A86="""","""",
 IF($F86=""market"",
  IFERROR(XLOOKUP(REGEXEXTRACT($J86,""^[^｜]+""),tr_mst!$A:$A,tr_mst!$G:$G),0)
  +IFERROR(XLOOKUP(REGEXEXTRACT($K86,""^[^｜]+""),tc_mst!$A:$A,tc_mst!$G:$G),0),
  IF($B86=0,
   IFERROR(XLOOKUP(REGEXEXTRACT($I86,""^[^｜]"&amp;"+""),ms_mst!$A:$A,ms_mst!$G:$G),0),
   IFERROR(XLOOKUP(""T""&amp;($B86-1)&amp;""_""&amp;$D86,$A:$A,$R:$R),0)
  )
  +IFERROR(XLOOKUP(REGEXEXTRACT($J86,""^[^｜]+""),tr_mst!$A:$A,tr_mst!$G:$G),0)
  +IFERROR(XLOOKUP(REGEXEXTRACT($K86,""^[^｜]+""),tc_mst!$A:$A,tc_mst!$G:$G)"&amp;",0)
  +
  (
   IFERROR(XLOOKUP(REGEXEXTRACT($M86,""^[^｜]+""),ac_mst!$A:$A,ac_mst!$J:$J),0)
   +IFERROR(XLOOKUP(REGEXEXTRACT($N86,""^[^｜]+""),ac_mst!$A:$A,ac_mst!$J:$J),0)
   +IFERROR(
    XLOOKUP(
     IF(
      OR(
       IFERROR(REGEXEXTRACT($M86,""^[^｜"&amp;"]+""),"""")="""",
       IFERROR(REGEXEXTRACT($N86,""^[^｜]+""),"""")=""""
      ),
      """",
      IF(
       IFERROR(REGEXEXTRACT($M86,""^[^｜]+""),"""")&lt;IFERROR(REGEXEXTRACT($N86,""^[^｜]+""),""""),
       IFERROR(REGEXEXTRACT($M86,""^[^｜]+""),"""")&amp;""_"&amp;"""&amp;IFERROR(REGEXEXTRACT($N86,""^[^｜]+""),""""),
       IFERROR(REGEXEXTRACT($N86,""^[^｜]+""),"""")&amp;""_""&amp;IFERROR(REGEXEXTRACT($M86,""^[^｜]+""),"""")
      )
     ),
     sy_mst!$A:$A,
     sy_mst!$G:$G
    ),
    0
   )
  )
  *
  IFERROR(XLOOKUP(REGEXEXTR"&amp;"ACT($I86,""^[^｜]+""),ms_mst!$A:$A,ms_mst!$O:$O),1)
  *
  IF(
   $B86&gt;=IFERROR(XLOOKUP(REGEXEXTRACT($L86,""^[^｜]+""),sk_mst!$A:$A,sk_mst!$M:$M),999),
   IFERROR(XLOOKUP(REGEXEXTRACT($L86,""^[^｜]+""),sk_mst!$A:$A,sk_mst!$I:$I),1),
   1
  )
 )
)"),1.5239999999999998)</f>
        <v>1.524</v>
      </c>
      <c r="S86" s="25">
        <f>IFERROR(__xludf.DUMMYFUNCTION("IF($A86="""","""",
 IF($F86=""market"",
  IFERROR(XLOOKUP(REGEXEXTRACT($J86,""^[^｜]+""),tr_mst!$A:$A,tr_mst!$H:$H),0)
  +IFERROR(XLOOKUP(REGEXEXTRACT($K86,""^[^｜]+""),tc_mst!$A:$A,tc_mst!$H:$H),0),
  IF($B86=0,
   IFERROR(XLOOKUP(REGEXEXTRACT($I86,""^[^｜]"&amp;"+""),ms_mst!$A:$A,ms_mst!$H:$H),0),
   IFERROR(XLOOKUP(""T""&amp;($B86-1)&amp;""_""&amp;$D86,$A:$A,$S:$S),0)
  )
  +IFERROR(XLOOKUP(REGEXEXTRACT($J86,""^[^｜]+""),tr_mst!$A:$A,tr_mst!$H:$H),0)
  +IFERROR(XLOOKUP(REGEXEXTRACT($K86,""^[^｜]+""),tc_mst!$A:$A,tc_mst!$H:$H)"&amp;",0)
  +
  (
   IFERROR(XLOOKUP(REGEXEXTRACT($M86,""^[^｜]+""),ac_mst!$A:$A,ac_mst!$K:$K),0)
   +IFERROR(XLOOKUP(REGEXEXTRACT($N86,""^[^｜]+""),ac_mst!$A:$A,ac_mst!$K:$K),0)
   +IFERROR(
    XLOOKUP(
     IF(
      OR(
       IFERROR(REGEXEXTRACT($M86,""^[^｜"&amp;"]+""),"""")="""",
       IFERROR(REGEXEXTRACT($N86,""^[^｜]+""),"""")=""""
      ),
      """",
      IF(
       IFERROR(REGEXEXTRACT($M86,""^[^｜]+""),"""")&lt;IFERROR(REGEXEXTRACT($N86,""^[^｜]+""),""""),
       IFERROR(REGEXEXTRACT($M86,""^[^｜]+""),"""")&amp;""_"&amp;"""&amp;IFERROR(REGEXEXTRACT($N86,""^[^｜]+""),""""),
       IFERROR(REGEXEXTRACT($N86,""^[^｜]+""),"""")&amp;""_""&amp;IFERROR(REGEXEXTRACT($M86,""^[^｜]+""),"""")
      )
     ),
     sy_mst!$A:$A,
     sy_mst!$H:$H
    ),
    0
   )
  )
  *
  IFERROR(XLOOKUP(REGEXEXTR"&amp;"ACT($I86,""^[^｜]+""),ms_mst!$A:$A,ms_mst!$P:$P),1)
  *
  IF(
   $B86&gt;=IFERROR(XLOOKUP(REGEXEXTRACT($L86,""^[^｜]+""),sk_mst!$A:$A,sk_mst!$M:$M),999),
   IFERROR(XLOOKUP(REGEXEXTRACT($L86,""^[^｜]+""),sk_mst!$A:$A,sk_mst!$J:$J),1),
   1
  )
 )
)"),0.01479)</f>
        <v>0.01479</v>
      </c>
      <c r="T86" s="25">
        <f>IFERROR(__xludf.DUMMYFUNCTION("IF($A86="""","""",
 IF($F86=""market"",
  IFERROR(XLOOKUP(REGEXEXTRACT($J86,""^[^｜]+""),tr_mst!$A:$A,tr_mst!$I:$I),0)
  +IFERROR(XLOOKUP(REGEXEXTRACT($K86,""^[^｜]+""),tc_mst!$A:$A,tc_mst!$I:$I),0),
  IF($B86=0,
   IFERROR(XLOOKUP(REGEXEXTRACT($I86,""^[^｜]"&amp;"+""),ms_mst!$A:$A,ms_mst!$I:$I),0),
   IFERROR(XLOOKUP(""T""&amp;($B86-1)&amp;""_""&amp;$D86,$A:$A,$T:$T),0)
  )
  +IFERROR(XLOOKUP(REGEXEXTRACT($J86,""^[^｜]+""),tr_mst!$A:$A,tr_mst!$I:$I),0)
  +IFERROR(XLOOKUP(REGEXEXTRACT($K86,""^[^｜]+""),tc_mst!$A:$A,tc_mst!$I:$I)"&amp;",0)
  +
  (
   IFERROR(XLOOKUP(REGEXEXTRACT($M86,""^[^｜]+""),ac_mst!$A:$A,ac_mst!$L:$L),0)
   +IFERROR(XLOOKUP(REGEXEXTRACT($N86,""^[^｜]+""),ac_mst!$A:$A,ac_mst!$L:$L),0)
   +IFERROR(
    XLOOKUP(
     IF(
      OR(
       IFERROR(REGEXEXTRACT($M86,""^[^｜"&amp;"]+""),"""")="""",
       IFERROR(REGEXEXTRACT($N86,""^[^｜]+""),"""")=""""
      ),
      """",
      IF(
       IFERROR(REGEXEXTRACT($M86,""^[^｜]+""),"""")&lt;IFERROR(REGEXEXTRACT($N86,""^[^｜]+""),""""),
       IFERROR(REGEXEXTRACT($M86,""^[^｜]+""),"""")&amp;""_"&amp;"""&amp;IFERROR(REGEXEXTRACT($N86,""^[^｜]+""),""""),
       IFERROR(REGEXEXTRACT($N86,""^[^｜]+""),"""")&amp;""_""&amp;IFERROR(REGEXEXTRACT($M86,""^[^｜]+""),"""")
      )
     ),
     sy_mst!$A:$A,
     sy_mst!$I:$I
    ),
    0
   )
  )
  *
  IFERROR(XLOOKUP(REGEXEXTR"&amp;"ACT($I86,""^[^｜]+""),ms_mst!$A:$A,ms_mst!$Q:$Q),1)
  *
  IF(
   $B86&gt;=IFERROR(XLOOKUP(REGEXEXTRACT($L86,""^[^｜]+""),sk_mst!$A:$A,sk_mst!$M:$M),999),
   IFERROR(XLOOKUP(REGEXEXTRACT($L86,""^[^｜]+""),sk_mst!$A:$A,sk_mst!$K:$K),1),
   1
  )
 )
)"),5000.0)</f>
        <v>5000</v>
      </c>
      <c r="U86" s="25">
        <f>IFERROR(__xludf.DUMMYFUNCTION("IF($A86="""","""",
 IF($F86=""market"",
  IFERROR(XLOOKUP(REGEXEXTRACT($J86,""^[^｜]+""),tr_mst!$A:$A,tr_mst!$J:$J),0)
  +IFERROR(XLOOKUP(REGEXEXTRACT($K86,""^[^｜]+""),tc_mst!$A:$A,tc_mst!$J:$J),0),
  IF($B86=0,
   IFERROR(XLOOKUP(REGEXEXTRACT($I86,""^[^｜]"&amp;"+""),ms_mst!$A:$A,ms_mst!$J:$J),0),
   IFERROR(XLOOKUP(""T""&amp;($B86-1)&amp;""_""&amp;$D86,$A:$A,$U:$U),0)
  )
  +IFERROR(XLOOKUP(REGEXEXTRACT($J86,""^[^｜]+""),tr_mst!$A:$A,tr_mst!$J:$J),0)
  +IFERROR(XLOOKUP(REGEXEXTRACT($K86,""^[^｜]+""),tc_mst!$A:$A,tc_mst!$J:$J)"&amp;",0)
  +
  (
   IFERROR(XLOOKUP(REGEXEXTRACT($M86,""^[^｜]+""),ac_mst!$A:$A,ac_mst!$M:$M),0)
   +IFERROR(XLOOKUP(REGEXEXTRACT($N86,""^[^｜]+""),ac_mst!$A:$A,ac_mst!$M:$M),0)
   +IFERROR(
    XLOOKUP(
     IF(
      OR(
       IFERROR(REGEXEXTRACT($M86,""^[^｜"&amp;"]+""),"""")="""",
       IFERROR(REGEXEXTRACT($N86,""^[^｜]+""),"""")=""""
      ),
      """",
      IF(
       IFERROR(REGEXEXTRACT($M86,""^[^｜]+""),"""")&lt;IFERROR(REGEXEXTRACT($N86,""^[^｜]+""),""""),
       IFERROR(REGEXEXTRACT($M86,""^[^｜]+""),"""")&amp;""_"&amp;"""&amp;IFERROR(REGEXEXTRACT($N86,""^[^｜]+""),""""),
       IFERROR(REGEXEXTRACT($N86,""^[^｜]+""),"""")&amp;""_""&amp;IFERROR(REGEXEXTRACT($M86,""^[^｜]+""),"""")
      )
     ),
     sy_mst!$A:$A,
     sy_mst!$J:$J
    ),
    0
   )
  )
  *
  IFERROR(XLOOKUP(REGEXEXTR"&amp;"ACT($I86,""^[^｜]+""),ms_mst!$A:$A,ms_mst!$R:$R),1)
  *
  IF(
   $B86&gt;=IFERROR(XLOOKUP(REGEXEXTRACT($L86,""^[^｜]+""),sk_mst!$A:$A,sk_mst!$M:$M),999),
   IFERROR(XLOOKUP(REGEXEXTRACT($L86,""^[^｜]+""),sk_mst!$A:$A,sk_mst!$L:$L),1),
   1
  )
 )
)"),39.6)</f>
        <v>39.6</v>
      </c>
      <c r="V86" s="25">
        <f t="shared" si="1"/>
        <v>692771</v>
      </c>
      <c r="W86" s="25">
        <f t="shared" si="2"/>
        <v>136422</v>
      </c>
      <c r="X86" s="25">
        <f t="shared" si="3"/>
        <v>556349</v>
      </c>
      <c r="Y86" s="25">
        <f t="shared" si="4"/>
        <v>5.08</v>
      </c>
      <c r="Z86" s="25">
        <f>IFERROR(__xludf.DUMMYFUNCTION("IF($A86="""","""",
 IF($F86&lt;&gt;""player"","""",
  IFERROR(
   RANK(
    $X86,
    FILTER($X:$X,$B:$B=$B86,$F:$F=""player"",$X:$X&lt;&gt;""""),
    0
   ),
   """"
  )
 )
)"),6.0)</f>
        <v>6</v>
      </c>
      <c r="AA86" s="25" t="str">
        <f t="shared" si="5"/>
        <v>6位</v>
      </c>
      <c r="AB86" s="26">
        <f t="shared" si="6"/>
        <v>12.78876276</v>
      </c>
    </row>
    <row r="87">
      <c r="A87" s="25" t="s">
        <v>260</v>
      </c>
      <c r="B87" s="14">
        <v>6.0</v>
      </c>
      <c r="C87" s="14" t="s">
        <v>171</v>
      </c>
      <c r="D87" s="14" t="s">
        <v>172</v>
      </c>
      <c r="E87" s="25" t="s">
        <v>153</v>
      </c>
      <c r="F87" s="25" t="s">
        <v>154</v>
      </c>
      <c r="I87" s="25" t="str">
        <f>IFERROR(__xludf.DUMMYFUNCTION("IF($F87&lt;&gt;""player"","""",IFERROR(INDEX(FILTER(group_setup!$D$2:$D947,group_setup!$B$2:$B947=$C87,group_setup!$G$2:$G947=TRUE,group_setup!$H$2:$H947=""completed""),1),""""))"),"M03")</f>
        <v>M03</v>
      </c>
      <c r="J87" s="25" t="str">
        <f>IFERROR(__xludf.DUMMYFUNCTION("IFERROR(FILTER(market_event_log!$D$2:$D947,market_event_log!$C$2:$C947=$B87,market_event_log!$N$2:$N947=""active""),"""")"),"T04")</f>
        <v>T04</v>
      </c>
      <c r="K87" s="25" t="str">
        <f>IFERROR(__xludf.DUMMYFUNCTION("IFERROR(FILTER(market_event_log!$G$2:$G947,market_event_log!$C$2:$C947=$B87,market_event_log!$N$2:$N947=""active""),"""")"),"C04")</f>
        <v>C04</v>
      </c>
      <c r="L87" s="25" t="str">
        <f>IFERROR(__xludf.DUMMYFUNCTION("IF($F87&lt;&gt;""player"","""",IFERROR(INDEX(FILTER(group_setup!$E$2:$E947,group_setup!$B$2:$B947=$C87,group_setup!$G$2:$G947=TRUE,group_setup!$H$2:$H947=""completed""),1),""""))"),"S03")</f>
        <v>S03</v>
      </c>
      <c r="M87" s="25" t="str">
        <f>IFERROR(__xludf.DUMMYFUNCTION("IF($F87=""market"","""",IF($E87=""HUMAN"",IFERROR(FILTER(turn_log!$G$2:$G947,turn_log!$C$2:$C947=$B87,turn_log!$D$2:$D947=$C87,turn_log!$F$2:$F947=$E87),""""),IFERROR(FILTER(turn_log!$I$2:$I947,turn_log!$C$2:$C947=$B87,turn_log!$D$2:$D947=$C87,turn_log!$F"&amp;"$2:$F947=$E87),"""")))"),"A00")</f>
        <v>A00</v>
      </c>
      <c r="N87" s="25" t="str">
        <f>IFERROR(__xludf.DUMMYFUNCTION("IF($F87=""market"","""",IF($E87=""HUMAN"",IFERROR(FILTER(turn_log!$H$2:$H947,turn_log!$C$2:$C947=$B87,turn_log!$D$2:$D947=$C87,turn_log!$F$2:$F947=$E87),""""),IFERROR(FILTER(turn_log!$J$2:$J947,turn_log!$C$2:$C947=$B87,turn_log!$D$2:$D947=$C87,turn_log!$F"&amp;"$2:$F947=$E87),"""")))"),"A00")</f>
        <v>A00</v>
      </c>
      <c r="O87" s="25">
        <f>IFERROR(__xludf.DUMMYFUNCTION("IF($A87="""","""",
 IF($F87=""market"",
  IFERROR(XLOOKUP(REGEXEXTRACT($J87,""^[^｜]+""),tr_mst!$A:$A,tr_mst!$D:$D),0)
  +IFERROR(XLOOKUP(REGEXEXTRACT($K87,""^[^｜]+""),tc_mst!$A:$A,tc_mst!$D:$D),0),
  IF($B87=0,
   IFERROR(XLOOKUP(REGEXEXTRACT($I87,""^[^｜]"&amp;"+""),ms_mst!$A:$A,ms_mst!$D:$D),0),
   IFERROR(XLOOKUP(""T""&amp;($B87-1)&amp;""_""&amp;$D87,$A:$A,$O:$O),0)
  )
  +IFERROR(XLOOKUP(REGEXEXTRACT($J87,""^[^｜]+""),tr_mst!$A:$A,tr_mst!$D:$D),0)
  +IFERROR(XLOOKUP(REGEXEXTRACT($K87,""^[^｜]+""),tc_mst!$A:$A,tc_mst!$D:$D)"&amp;",0)
  +
  (
   IFERROR(XLOOKUP(REGEXEXTRACT($M87,""^[^｜]+""),ac_mst!$A:$A,ac_mst!$G:$G),0)
   +IFERROR(XLOOKUP(REGEXEXTRACT($N87,""^[^｜]+""),ac_mst!$A:$A,ac_mst!$G:$G),0)
   +IFERROR(
    XLOOKUP(
     IF(
      OR(
       IFERROR(REGEXEXTRACT($M87,""^[^｜"&amp;"]+""),"""")="""",
       IFERROR(REGEXEXTRACT($N87,""^[^｜]+""),"""")=""""
      ),
      """",
      IF(
       IFERROR(REGEXEXTRACT($M87,""^[^｜]+""),"""")&lt;IFERROR(REGEXEXTRACT($N87,""^[^｜]+""),""""),
       IFERROR(REGEXEXTRACT($M87,""^[^｜]+""),"""")&amp;""_"&amp;"""&amp;IFERROR(REGEXEXTRACT($N87,""^[^｜]+""),""""),
       IFERROR(REGEXEXTRACT($N87,""^[^｜]+""),"""")&amp;""_""&amp;IFERROR(REGEXEXTRACT($M87,""^[^｜]+""),"""")
      )
     ),
     sy_mst!$A:$A,
     sy_mst!$D:$D
    ),
    0
   )
  )
  *
  IFERROR(XLOOKUP(REGEXEXTR"&amp;"ACT($I87,""^[^｜]+""),ms_mst!$A:$A,ms_mst!$L:$L),1)
  *
  IF(
   $B87&gt;=IFERROR(XLOOKUP(REGEXEXTRACT($L87,""^[^｜]+""),sk_mst!$A:$A,sk_mst!$M:$M),999),
   IFERROR(XLOOKUP(REGEXEXTRACT($L87,""^[^｜]+""),sk_mst!$A:$A,sk_mst!$F:$F),1),
   1
  )
 )
)"),12025.0)</f>
        <v>12025</v>
      </c>
      <c r="P87" s="25">
        <f>IFERROR(__xludf.DUMMYFUNCTION("IF($A87="""","""",
 IF($F87=""market"",
  IFERROR(XLOOKUP(REGEXEXTRACT($J87,""^[^｜]+""),tr_mst!$A:$A,tr_mst!$E:$E),0)
  +IFERROR(XLOOKUP(REGEXEXTRACT($K87,""^[^｜]+""),tc_mst!$A:$A,tc_mst!$E:$E),0),
  IF($B87=0,
   IFERROR(XLOOKUP(REGEXEXTRACT($I87,""^[^｜]"&amp;"+""),ms_mst!$A:$A,ms_mst!$E:$E),0),
   IFERROR(XLOOKUP(""T""&amp;($B87-1)&amp;""_""&amp;$D87,$A:$A,$P:$P),0)
  )
  +IFERROR(XLOOKUP(REGEXEXTRACT($J87,""^[^｜]+""),tr_mst!$A:$A,tr_mst!$E:$E),0)
  +IFERROR(XLOOKUP(REGEXEXTRACT($K87,""^[^｜]+""),tc_mst!$A:$A,tc_mst!$E:$E)"&amp;",0)
  +
  (
   IFERROR(XLOOKUP(REGEXEXTRACT($M87,""^[^｜]+""),ac_mst!$A:$A,ac_mst!$H:$H),0)
   +IFERROR(XLOOKUP(REGEXEXTRACT($N87,""^[^｜]+""),ac_mst!$A:$A,ac_mst!$H:$H),0)
   +IFERROR(
    XLOOKUP(
     IF(
      OR(
       IFERROR(REGEXEXTRACT($M87,""^[^｜"&amp;"]+""),"""")="""",
       IFERROR(REGEXEXTRACT($N87,""^[^｜]+""),"""")=""""
      ),
      """",
      IF(
       IFERROR(REGEXEXTRACT($M87,""^[^｜]+""),"""")&lt;IFERROR(REGEXEXTRACT($N87,""^[^｜]+""),""""),
       IFERROR(REGEXEXTRACT($M87,""^[^｜]+""),"""")&amp;""_"&amp;"""&amp;IFERROR(REGEXEXTRACT($N87,""^[^｜]+""),""""),
       IFERROR(REGEXEXTRACT($N87,""^[^｜]+""),"""")&amp;""_""&amp;IFERROR(REGEXEXTRACT($M87,""^[^｜]+""),"""")
      )
     ),
     sy_mst!$A:$A,
     sy_mst!$E:$E
    ),
    0
   )
  )
  *
  IFERROR(XLOOKUP(REGEXEXTR"&amp;"ACT($I87,""^[^｜]+""),ms_mst!$A:$A,ms_mst!$M:$M),1)
  *
  IF(
   $B87&gt;=IFERROR(XLOOKUP(REGEXEXTRACT($L87,""^[^｜]+""),sk_mst!$A:$A,sk_mst!$M:$M),999),
   IFERROR(XLOOKUP(REGEXEXTRACT($L87,""^[^｜]+""),sk_mst!$A:$A,sk_mst!$G:$G),1),
   1
  )
 )
)"),1010.0)</f>
        <v>1010</v>
      </c>
      <c r="Q87" s="25">
        <f>IFERROR(__xludf.DUMMYFUNCTION("IF($A87="""","""",
 IF($F87=""market"",
  IFERROR(XLOOKUP(REGEXEXTRACT($J87,""^[^｜]+""),tr_mst!$A:$A,tr_mst!$F:$F),0)
  +IFERROR(XLOOKUP(REGEXEXTRACT($K87,""^[^｜]+""),tc_mst!$A:$A,tc_mst!$F:$F),0),
  IF($B87=0,
   IFERROR(XLOOKUP(REGEXEXTRACT($I87,""^[^｜]"&amp;"+""),ms_mst!$A:$A,ms_mst!$F:$F),0),
   IFERROR(XLOOKUP(""T""&amp;($B87-1)&amp;""_""&amp;$D87,$A:$A,$Q:$Q),0)
  )
  +IFERROR(XLOOKUP(REGEXEXTRACT($J87,""^[^｜]+""),tr_mst!$A:$A,tr_mst!$F:$F),0)
  +IFERROR(XLOOKUP(REGEXEXTRACT($K87,""^[^｜]+""),tc_mst!$A:$A,tc_mst!$F:$F)"&amp;",0)
  +
  (
   IFERROR(XLOOKUP(REGEXEXTRACT($M87,""^[^｜]+""),ac_mst!$A:$A,ac_mst!$I:$I),0)
   +IFERROR(XLOOKUP(REGEXEXTRACT($N87,""^[^｜]+""),ac_mst!$A:$A,ac_mst!$I:$I),0)
   +IFERROR(
    XLOOKUP(
     IF(
      OR(
       IFERROR(REGEXEXTRACT($M87,""^[^｜"&amp;"]+""),"""")="""",
       IFERROR(REGEXEXTRACT($N87,""^[^｜]+""),"""")=""""
      ),
      """",
      IF(
       IFERROR(REGEXEXTRACT($M87,""^[^｜]+""),"""")&lt;IFERROR(REGEXEXTRACT($N87,""^[^｜]+""),""""),
       IFERROR(REGEXEXTRACT($M87,""^[^｜]+""),"""")&amp;""_"&amp;"""&amp;IFERROR(REGEXEXTRACT($N87,""^[^｜]+""),""""),
       IFERROR(REGEXEXTRACT($N87,""^[^｜]+""),"""")&amp;""_""&amp;IFERROR(REGEXEXTRACT($M87,""^[^｜]+""),"""")
      )
     ),
     sy_mst!$A:$A,
     sy_mst!$F:$F
    ),
    0
   )
  )
  *
  IFERROR(XLOOKUP(REGEXEXTR"&amp;"ACT($I87,""^[^｜]+""),ms_mst!$A:$A,ms_mst!$N:$N),1)
  *
  IF(
   $B87&gt;=IFERROR(XLOOKUP(REGEXEXTRACT($L87,""^[^｜]+""),sk_mst!$A:$A,sk_mst!$M:$M),999),
   IFERROR(XLOOKUP(REGEXEXTRACT($L87,""^[^｜]+""),sk_mst!$A:$A,sk_mst!$H:$H),1),
   1
  )
 )
)"),0.51)</f>
        <v>0.51</v>
      </c>
      <c r="R87" s="25">
        <f>IFERROR(__xludf.DUMMYFUNCTION("IF($A87="""","""",
 IF($F87=""market"",
  IFERROR(XLOOKUP(REGEXEXTRACT($J87,""^[^｜]+""),tr_mst!$A:$A,tr_mst!$G:$G),0)
  +IFERROR(XLOOKUP(REGEXEXTRACT($K87,""^[^｜]+""),tc_mst!$A:$A,tc_mst!$G:$G),0),
  IF($B87=0,
   IFERROR(XLOOKUP(REGEXEXTRACT($I87,""^[^｜]"&amp;"+""),ms_mst!$A:$A,ms_mst!$G:$G),0),
   IFERROR(XLOOKUP(""T""&amp;($B87-1)&amp;""_""&amp;$D87,$A:$A,$R:$R),0)
  )
  +IFERROR(XLOOKUP(REGEXEXTRACT($J87,""^[^｜]+""),tr_mst!$A:$A,tr_mst!$G:$G),0)
  +IFERROR(XLOOKUP(REGEXEXTRACT($K87,""^[^｜]+""),tc_mst!$A:$A,tc_mst!$G:$G)"&amp;",0)
  +
  (
   IFERROR(XLOOKUP(REGEXEXTRACT($M87,""^[^｜]+""),ac_mst!$A:$A,ac_mst!$J:$J),0)
   +IFERROR(XLOOKUP(REGEXEXTRACT($N87,""^[^｜]+""),ac_mst!$A:$A,ac_mst!$J:$J),0)
   +IFERROR(
    XLOOKUP(
     IF(
      OR(
       IFERROR(REGEXEXTRACT($M87,""^[^｜"&amp;"]+""),"""")="""",
       IFERROR(REGEXEXTRACT($N87,""^[^｜]+""),"""")=""""
      ),
      """",
      IF(
       IFERROR(REGEXEXTRACT($M87,""^[^｜]+""),"""")&lt;IFERROR(REGEXEXTRACT($N87,""^[^｜]+""),""""),
       IFERROR(REGEXEXTRACT($M87,""^[^｜]+""),"""")&amp;""_"&amp;"""&amp;IFERROR(REGEXEXTRACT($N87,""^[^｜]+""),""""),
       IFERROR(REGEXEXTRACT($N87,""^[^｜]+""),"""")&amp;""_""&amp;IFERROR(REGEXEXTRACT($M87,""^[^｜]+""),"""")
      )
     ),
     sy_mst!$A:$A,
     sy_mst!$G:$G
    ),
    0
   )
  )
  *
  IFERROR(XLOOKUP(REGEXEXTR"&amp;"ACT($I87,""^[^｜]+""),ms_mst!$A:$A,ms_mst!$O:$O),1)
  *
  IF(
   $B87&gt;=IFERROR(XLOOKUP(REGEXEXTRACT($L87,""^[^｜]+""),sk_mst!$A:$A,sk_mst!$M:$M),999),
   IFERROR(XLOOKUP(REGEXEXTRACT($L87,""^[^｜]+""),sk_mst!$A:$A,sk_mst!$I:$I),1),
   1
  )
 )
)"),1.85775)</f>
        <v>1.85775</v>
      </c>
      <c r="S87" s="25">
        <f>IFERROR(__xludf.DUMMYFUNCTION("IF($A87="""","""",
 IF($F87=""market"",
  IFERROR(XLOOKUP(REGEXEXTRACT($J87,""^[^｜]+""),tr_mst!$A:$A,tr_mst!$H:$H),0)
  +IFERROR(XLOOKUP(REGEXEXTRACT($K87,""^[^｜]+""),tc_mst!$A:$A,tc_mst!$H:$H),0),
  IF($B87=0,
   IFERROR(XLOOKUP(REGEXEXTRACT($I87,""^[^｜]"&amp;"+""),ms_mst!$A:$A,ms_mst!$H:$H),0),
   IFERROR(XLOOKUP(""T""&amp;($B87-1)&amp;""_""&amp;$D87,$A:$A,$S:$S),0)
  )
  +IFERROR(XLOOKUP(REGEXEXTRACT($J87,""^[^｜]+""),tr_mst!$A:$A,tr_mst!$H:$H),0)
  +IFERROR(XLOOKUP(REGEXEXTRACT($K87,""^[^｜]+""),tc_mst!$A:$A,tc_mst!$H:$H)"&amp;",0)
  +
  (
   IFERROR(XLOOKUP(REGEXEXTRACT($M87,""^[^｜]+""),ac_mst!$A:$A,ac_mst!$K:$K),0)
   +IFERROR(XLOOKUP(REGEXEXTRACT($N87,""^[^｜]+""),ac_mst!$A:$A,ac_mst!$K:$K),0)
   +IFERROR(
    XLOOKUP(
     IF(
      OR(
       IFERROR(REGEXEXTRACT($M87,""^[^｜"&amp;"]+""),"""")="""",
       IFERROR(REGEXEXTRACT($N87,""^[^｜]+""),"""")=""""
      ),
      """",
      IF(
       IFERROR(REGEXEXTRACT($M87,""^[^｜]+""),"""")&lt;IFERROR(REGEXEXTRACT($N87,""^[^｜]+""),""""),
       IFERROR(REGEXEXTRACT($M87,""^[^｜]+""),"""")&amp;""_"&amp;"""&amp;IFERROR(REGEXEXTRACT($N87,""^[^｜]+""),""""),
       IFERROR(REGEXEXTRACT($N87,""^[^｜]+""),"""")&amp;""_""&amp;IFERROR(REGEXEXTRACT($M87,""^[^｜]+""),"""")
      )
     ),
     sy_mst!$A:$A,
     sy_mst!$H:$H
    ),
    0
   )
  )
  *
  IFERROR(XLOOKUP(REGEXEXTR"&amp;"ACT($I87,""^[^｜]+""),ms_mst!$A:$A,ms_mst!$P:$P),1)
  *
  IF(
   $B87&gt;=IFERROR(XLOOKUP(REGEXEXTRACT($L87,""^[^｜]+""),sk_mst!$A:$A,sk_mst!$M:$M),999),
   IFERROR(XLOOKUP(REGEXEXTRACT($L87,""^[^｜]+""),sk_mst!$A:$A,sk_mst!$J:$J),1),
   1
  )
 )
)"),0.014700000000000001)</f>
        <v>0.0147</v>
      </c>
      <c r="T87" s="25">
        <f>IFERROR(__xludf.DUMMYFUNCTION("IF($A87="""","""",
 IF($F87=""market"",
  IFERROR(XLOOKUP(REGEXEXTRACT($J87,""^[^｜]+""),tr_mst!$A:$A,tr_mst!$I:$I),0)
  +IFERROR(XLOOKUP(REGEXEXTRACT($K87,""^[^｜]+""),tc_mst!$A:$A,tc_mst!$I:$I),0),
  IF($B87=0,
   IFERROR(XLOOKUP(REGEXEXTRACT($I87,""^[^｜]"&amp;"+""),ms_mst!$A:$A,ms_mst!$I:$I),0),
   IFERROR(XLOOKUP(""T""&amp;($B87-1)&amp;""_""&amp;$D87,$A:$A,$T:$T),0)
  )
  +IFERROR(XLOOKUP(REGEXEXTRACT($J87,""^[^｜]+""),tr_mst!$A:$A,tr_mst!$I:$I),0)
  +IFERROR(XLOOKUP(REGEXEXTRACT($K87,""^[^｜]+""),tc_mst!$A:$A,tc_mst!$I:$I)"&amp;",0)
  +
  (
   IFERROR(XLOOKUP(REGEXEXTRACT($M87,""^[^｜]+""),ac_mst!$A:$A,ac_mst!$L:$L),0)
   +IFERROR(XLOOKUP(REGEXEXTRACT($N87,""^[^｜]+""),ac_mst!$A:$A,ac_mst!$L:$L),0)
   +IFERROR(
    XLOOKUP(
     IF(
      OR(
       IFERROR(REGEXEXTRACT($M87,""^[^｜"&amp;"]+""),"""")="""",
       IFERROR(REGEXEXTRACT($N87,""^[^｜]+""),"""")=""""
      ),
      """",
      IF(
       IFERROR(REGEXEXTRACT($M87,""^[^｜]+""),"""")&lt;IFERROR(REGEXEXTRACT($N87,""^[^｜]+""),""""),
       IFERROR(REGEXEXTRACT($M87,""^[^｜]+""),"""")&amp;""_"&amp;"""&amp;IFERROR(REGEXEXTRACT($N87,""^[^｜]+""),""""),
       IFERROR(REGEXEXTRACT($N87,""^[^｜]+""),"""")&amp;""_""&amp;IFERROR(REGEXEXTRACT($M87,""^[^｜]+""),"""")
      )
     ),
     sy_mst!$A:$A,
     sy_mst!$I:$I
    ),
    0
   )
  )
  *
  IFERROR(XLOOKUP(REGEXEXTR"&amp;"ACT($I87,""^[^｜]+""),ms_mst!$A:$A,ms_mst!$Q:$Q),1)
  *
  IF(
   $B87&gt;=IFERROR(XLOOKUP(REGEXEXTRACT($L87,""^[^｜]+""),sk_mst!$A:$A,sk_mst!$M:$M),999),
   IFERROR(XLOOKUP(REGEXEXTRACT($L87,""^[^｜]+""),sk_mst!$A:$A,sk_mst!$K:$K),1),
   1
  )
 )
)"),4800.0)</f>
        <v>4800</v>
      </c>
      <c r="U87" s="25">
        <f>IFERROR(__xludf.DUMMYFUNCTION("IF($A87="""","""",
 IF($F87=""market"",
  IFERROR(XLOOKUP(REGEXEXTRACT($J87,""^[^｜]+""),tr_mst!$A:$A,tr_mst!$J:$J),0)
  +IFERROR(XLOOKUP(REGEXEXTRACT($K87,""^[^｜]+""),tc_mst!$A:$A,tc_mst!$J:$J),0),
  IF($B87=0,
   IFERROR(XLOOKUP(REGEXEXTRACT($I87,""^[^｜]"&amp;"+""),ms_mst!$A:$A,ms_mst!$J:$J),0),
   IFERROR(XLOOKUP(""T""&amp;($B87-1)&amp;""_""&amp;$D87,$A:$A,$U:$U),0)
  )
  +IFERROR(XLOOKUP(REGEXEXTRACT($J87,""^[^｜]+""),tr_mst!$A:$A,tr_mst!$J:$J),0)
  +IFERROR(XLOOKUP(REGEXEXTRACT($K87,""^[^｜]+""),tc_mst!$A:$A,tc_mst!$J:$J)"&amp;",0)
  +
  (
   IFERROR(XLOOKUP(REGEXEXTRACT($M87,""^[^｜]+""),ac_mst!$A:$A,ac_mst!$M:$M),0)
   +IFERROR(XLOOKUP(REGEXEXTRACT($N87,""^[^｜]+""),ac_mst!$A:$A,ac_mst!$M:$M),0)
   +IFERROR(
    XLOOKUP(
     IF(
      OR(
       IFERROR(REGEXEXTRACT($M87,""^[^｜"&amp;"]+""),"""")="""",
       IFERROR(REGEXEXTRACT($N87,""^[^｜]+""),"""")=""""
      ),
      """",
      IF(
       IFERROR(REGEXEXTRACT($M87,""^[^｜]+""),"""")&lt;IFERROR(REGEXEXTRACT($N87,""^[^｜]+""),""""),
       IFERROR(REGEXEXTRACT($M87,""^[^｜]+""),"""")&amp;""_"&amp;"""&amp;IFERROR(REGEXEXTRACT($N87,""^[^｜]+""),""""),
       IFERROR(REGEXEXTRACT($N87,""^[^｜]+""),"""")&amp;""_""&amp;IFERROR(REGEXEXTRACT($M87,""^[^｜]+""),"""")
      )
     ),
     sy_mst!$A:$A,
     sy_mst!$J:$J
    ),
    0
   )
  )
  *
  IFERROR(XLOOKUP(REGEXEXTR"&amp;"ACT($I87,""^[^｜]+""),ms_mst!$A:$A,ms_mst!$R:$R),1)
  *
  IF(
   $B87&gt;=IFERROR(XLOOKUP(REGEXEXTRACT($L87,""^[^｜]+""),sk_mst!$A:$A,sk_mst!$M:$M),999),
   IFERROR(XLOOKUP(REGEXEXTRACT($L87,""^[^｜]+""),sk_mst!$A:$A,sk_mst!$L:$L),1),
   1
  )
 )
)"),45.0)</f>
        <v>45</v>
      </c>
      <c r="V87" s="25">
        <f t="shared" si="1"/>
        <v>837246</v>
      </c>
      <c r="W87" s="25">
        <f t="shared" si="2"/>
        <v>45450</v>
      </c>
      <c r="X87" s="25">
        <f t="shared" si="3"/>
        <v>791796</v>
      </c>
      <c r="Y87" s="25">
        <f t="shared" si="4"/>
        <v>18.42</v>
      </c>
      <c r="Z87" s="25">
        <f>IFERROR(__xludf.DUMMYFUNCTION("IF($A87="""","""",
 IF($F87&lt;&gt;""player"","""",
  IFERROR(
   RANK(
    $X87,
    FILTER($X:$X,$B:$B=$B87,$F:$F=""player"",$X:$X&lt;&gt;""""),
    0
   ),
   """"
  )
 )
)"),4.0)</f>
        <v>4</v>
      </c>
      <c r="AA87" s="25" t="str">
        <f t="shared" si="5"/>
        <v>4位</v>
      </c>
      <c r="AB87" s="26">
        <f t="shared" si="6"/>
        <v>1.425845588</v>
      </c>
    </row>
    <row r="88">
      <c r="A88" s="25" t="s">
        <v>261</v>
      </c>
      <c r="B88" s="14">
        <v>6.0</v>
      </c>
      <c r="C88" s="14" t="s">
        <v>174</v>
      </c>
      <c r="D88" s="14" t="s">
        <v>175</v>
      </c>
      <c r="E88" s="25" t="s">
        <v>153</v>
      </c>
      <c r="F88" s="25" t="s">
        <v>154</v>
      </c>
      <c r="I88" s="25" t="str">
        <f>IFERROR(__xludf.DUMMYFUNCTION("IF($F88&lt;&gt;""player"","""",IFERROR(INDEX(FILTER(group_setup!$D$2:$D947,group_setup!$B$2:$B947=$C88,group_setup!$G$2:$G947=TRUE,group_setup!$H$2:$H947=""completed""),1),""""))"),"")</f>
        <v/>
      </c>
      <c r="J88" s="25" t="str">
        <f>IFERROR(__xludf.DUMMYFUNCTION("IFERROR(FILTER(market_event_log!$D$2:$D947,market_event_log!$C$2:$C947=$B88,market_event_log!$N$2:$N947=""active""),"""")"),"T04")</f>
        <v>T04</v>
      </c>
      <c r="K88" s="25" t="str">
        <f>IFERROR(__xludf.DUMMYFUNCTION("IFERROR(FILTER(market_event_log!$G$2:$G947,market_event_log!$C$2:$C947=$B88,market_event_log!$N$2:$N947=""active""),"""")"),"C04")</f>
        <v>C04</v>
      </c>
      <c r="L88" s="25" t="str">
        <f>IFERROR(__xludf.DUMMYFUNCTION("IF($F88&lt;&gt;""player"","""",IFERROR(INDEX(FILTER(group_setup!$E$2:$E947,group_setup!$B$2:$B947=$C88,group_setup!$G$2:$G947=TRUE,group_setup!$H$2:$H947=""completed""),1),""""))"),"")</f>
        <v/>
      </c>
      <c r="M88" s="25" t="str">
        <f>IFERROR(__xludf.DUMMYFUNCTION("IF($F88=""market"","""",IF($E88=""HUMAN"",IFERROR(FILTER(turn_log!$G$2:$G947,turn_log!$C$2:$C947=$B88,turn_log!$D$2:$D947=$C88,turn_log!$F$2:$F947=$E88),""""),IFERROR(FILTER(turn_log!$I$2:$I947,turn_log!$C$2:$C947=$B88,turn_log!$D$2:$D947=$C88,turn_log!$F"&amp;"$2:$F947=$E88),"""")))"),"")</f>
        <v/>
      </c>
      <c r="N88" s="25" t="str">
        <f>IFERROR(__xludf.DUMMYFUNCTION("IF($F88=""market"","""",IF($E88=""HUMAN"",IFERROR(FILTER(turn_log!$H$2:$H947,turn_log!$C$2:$C947=$B88,turn_log!$D$2:$D947=$C88,turn_log!$F$2:$F947=$E88),""""),IFERROR(FILTER(turn_log!$J$2:$J947,turn_log!$C$2:$C947=$B88,turn_log!$D$2:$D947=$C88,turn_log!$F"&amp;"$2:$F947=$E88),"""")))"),"")</f>
        <v/>
      </c>
      <c r="O88" s="25">
        <f>IFERROR(__xludf.DUMMYFUNCTION("IF($A88="""","""",
 IF($F88=""market"",
  IFERROR(XLOOKUP(REGEXEXTRACT($J88,""^[^｜]+""),tr_mst!$A:$A,tr_mst!$D:$D),0)
  +IFERROR(XLOOKUP(REGEXEXTRACT($K88,""^[^｜]+""),tc_mst!$A:$A,tc_mst!$D:$D),0),
  IF($B88=0,
   IFERROR(XLOOKUP(REGEXEXTRACT($I88,""^[^｜]"&amp;"+""),ms_mst!$A:$A,ms_mst!$D:$D),0),
   IFERROR(XLOOKUP(""T""&amp;($B88-1)&amp;""_""&amp;$D88,$A:$A,$O:$O),0)
  )
  +IFERROR(XLOOKUP(REGEXEXTRACT($J88,""^[^｜]+""),tr_mst!$A:$A,tr_mst!$D:$D),0)
  +IFERROR(XLOOKUP(REGEXEXTRACT($K88,""^[^｜]+""),tc_mst!$A:$A,tc_mst!$D:$D)"&amp;",0)
  +
  (
   IFERROR(XLOOKUP(REGEXEXTRACT($M88,""^[^｜]+""),ac_mst!$A:$A,ac_mst!$G:$G),0)
   +IFERROR(XLOOKUP(REGEXEXTRACT($N88,""^[^｜]+""),ac_mst!$A:$A,ac_mst!$G:$G),0)
   +IFERROR(
    XLOOKUP(
     IF(
      OR(
       IFERROR(REGEXEXTRACT($M88,""^[^｜"&amp;"]+""),"""")="""",
       IFERROR(REGEXEXTRACT($N88,""^[^｜]+""),"""")=""""
      ),
      """",
      IF(
       IFERROR(REGEXEXTRACT($M88,""^[^｜]+""),"""")&lt;IFERROR(REGEXEXTRACT($N88,""^[^｜]+""),""""),
       IFERROR(REGEXEXTRACT($M88,""^[^｜]+""),"""")&amp;""_"&amp;"""&amp;IFERROR(REGEXEXTRACT($N88,""^[^｜]+""),""""),
       IFERROR(REGEXEXTRACT($N88,""^[^｜]+""),"""")&amp;""_""&amp;IFERROR(REGEXEXTRACT($M88,""^[^｜]+""),"""")
      )
     ),
     sy_mst!$A:$A,
     sy_mst!$D:$D
    ),
    0
   )
  )
  *
  IFERROR(XLOOKUP(REGEXEXTR"&amp;"ACT($I88,""^[^｜]+""),ms_mst!$A:$A,ms_mst!$L:$L),1)
  *
  IF(
   $B88&gt;=IFERROR(XLOOKUP(REGEXEXTRACT($L88,""^[^｜]+""),sk_mst!$A:$A,sk_mst!$M:$M),999),
   IFERROR(XLOOKUP(REGEXEXTRACT($L88,""^[^｜]+""),sk_mst!$A:$A,sk_mst!$F:$F),1),
   1
  )
 )
)"),1800.0)</f>
        <v>1800</v>
      </c>
      <c r="P88" s="25">
        <f>IFERROR(__xludf.DUMMYFUNCTION("IF($A88="""","""",
 IF($F88=""market"",
  IFERROR(XLOOKUP(REGEXEXTRACT($J88,""^[^｜]+""),tr_mst!$A:$A,tr_mst!$E:$E),0)
  +IFERROR(XLOOKUP(REGEXEXTRACT($K88,""^[^｜]+""),tc_mst!$A:$A,tc_mst!$E:$E),0),
  IF($B88=0,
   IFERROR(XLOOKUP(REGEXEXTRACT($I88,""^[^｜]"&amp;"+""),ms_mst!$A:$A,ms_mst!$E:$E),0),
   IFERROR(XLOOKUP(""T""&amp;($B88-1)&amp;""_""&amp;$D88,$A:$A,$P:$P),0)
  )
  +IFERROR(XLOOKUP(REGEXEXTRACT($J88,""^[^｜]+""),tr_mst!$A:$A,tr_mst!$E:$E),0)
  +IFERROR(XLOOKUP(REGEXEXTRACT($K88,""^[^｜]+""),tc_mst!$A:$A,tc_mst!$E:$E)"&amp;",0)
  +
  (
   IFERROR(XLOOKUP(REGEXEXTRACT($M88,""^[^｜]+""),ac_mst!$A:$A,ac_mst!$H:$H),0)
   +IFERROR(XLOOKUP(REGEXEXTRACT($N88,""^[^｜]+""),ac_mst!$A:$A,ac_mst!$H:$H),0)
   +IFERROR(
    XLOOKUP(
     IF(
      OR(
       IFERROR(REGEXEXTRACT($M88,""^[^｜"&amp;"]+""),"""")="""",
       IFERROR(REGEXEXTRACT($N88,""^[^｜]+""),"""")=""""
      ),
      """",
      IF(
       IFERROR(REGEXEXTRACT($M88,""^[^｜]+""),"""")&lt;IFERROR(REGEXEXTRACT($N88,""^[^｜]+""),""""),
       IFERROR(REGEXEXTRACT($M88,""^[^｜]+""),"""")&amp;""_"&amp;"""&amp;IFERROR(REGEXEXTRACT($N88,""^[^｜]+""),""""),
       IFERROR(REGEXEXTRACT($N88,""^[^｜]+""),"""")&amp;""_""&amp;IFERROR(REGEXEXTRACT($M88,""^[^｜]+""),"""")
      )
     ),
     sy_mst!$A:$A,
     sy_mst!$E:$E
    ),
    0
   )
  )
  *
  IFERROR(XLOOKUP(REGEXEXTR"&amp;"ACT($I88,""^[^｜]+""),ms_mst!$A:$A,ms_mst!$M:$M),1)
  *
  IF(
   $B88&gt;=IFERROR(XLOOKUP(REGEXEXTRACT($L88,""^[^｜]+""),sk_mst!$A:$A,sk_mst!$M:$M),999),
   IFERROR(XLOOKUP(REGEXEXTRACT($L88,""^[^｜]+""),sk_mst!$A:$A,sk_mst!$G:$G),1),
   1
  )
 )
)"),-490.0)</f>
        <v>-490</v>
      </c>
      <c r="Q88" s="25">
        <f>IFERROR(__xludf.DUMMYFUNCTION("IF($A88="""","""",
 IF($F88=""market"",
  IFERROR(XLOOKUP(REGEXEXTRACT($J88,""^[^｜]+""),tr_mst!$A:$A,tr_mst!$F:$F),0)
  +IFERROR(XLOOKUP(REGEXEXTRACT($K88,""^[^｜]+""),tc_mst!$A:$A,tc_mst!$F:$F),0),
  IF($B88=0,
   IFERROR(XLOOKUP(REGEXEXTRACT($I88,""^[^｜]"&amp;"+""),ms_mst!$A:$A,ms_mst!$F:$F),0),
   IFERROR(XLOOKUP(""T""&amp;($B88-1)&amp;""_""&amp;$D88,$A:$A,$Q:$Q),0)
  )
  +IFERROR(XLOOKUP(REGEXEXTRACT($J88,""^[^｜]+""),tr_mst!$A:$A,tr_mst!$F:$F),0)
  +IFERROR(XLOOKUP(REGEXEXTRACT($K88,""^[^｜]+""),tc_mst!$A:$A,tc_mst!$F:$F)"&amp;",0)
  +
  (
   IFERROR(XLOOKUP(REGEXEXTRACT($M88,""^[^｜]+""),ac_mst!$A:$A,ac_mst!$I:$I),0)
   +IFERROR(XLOOKUP(REGEXEXTRACT($N88,""^[^｜]+""),ac_mst!$A:$A,ac_mst!$I:$I),0)
   +IFERROR(
    XLOOKUP(
     IF(
      OR(
       IFERROR(REGEXEXTRACT($M88,""^[^｜"&amp;"]+""),"""")="""",
       IFERROR(REGEXEXTRACT($N88,""^[^｜]+""),"""")=""""
      ),
      """",
      IF(
       IFERROR(REGEXEXTRACT($M88,""^[^｜]+""),"""")&lt;IFERROR(REGEXEXTRACT($N88,""^[^｜]+""),""""),
       IFERROR(REGEXEXTRACT($M88,""^[^｜]+""),"""")&amp;""_"&amp;"""&amp;IFERROR(REGEXEXTRACT($N88,""^[^｜]+""),""""),
       IFERROR(REGEXEXTRACT($N88,""^[^｜]+""),"""")&amp;""_""&amp;IFERROR(REGEXEXTRACT($M88,""^[^｜]+""),"""")
      )
     ),
     sy_mst!$A:$A,
     sy_mst!$F:$F
    ),
    0
   )
  )
  *
  IFERROR(XLOOKUP(REGEXEXTR"&amp;"ACT($I88,""^[^｜]+""),ms_mst!$A:$A,ms_mst!$N:$N),1)
  *
  IF(
   $B88&gt;=IFERROR(XLOOKUP(REGEXEXTRACT($L88,""^[^｜]+""),sk_mst!$A:$A,sk_mst!$M:$M),999),
   IFERROR(XLOOKUP(REGEXEXTRACT($L88,""^[^｜]+""),sk_mst!$A:$A,sk_mst!$H:$H),1),
   1
  )
 )
)"),0.06)</f>
        <v>0.06</v>
      </c>
      <c r="R88" s="25">
        <f>IFERROR(__xludf.DUMMYFUNCTION("IF($A88="""","""",
 IF($F88=""market"",
  IFERROR(XLOOKUP(REGEXEXTRACT($J88,""^[^｜]+""),tr_mst!$A:$A,tr_mst!$G:$G),0)
  +IFERROR(XLOOKUP(REGEXEXTRACT($K88,""^[^｜]+""),tc_mst!$A:$A,tc_mst!$G:$G),0),
  IF($B88=0,
   IFERROR(XLOOKUP(REGEXEXTRACT($I88,""^[^｜]"&amp;"+""),ms_mst!$A:$A,ms_mst!$G:$G),0),
   IFERROR(XLOOKUP(""T""&amp;($B88-1)&amp;""_""&amp;$D88,$A:$A,$R:$R),0)
  )
  +IFERROR(XLOOKUP(REGEXEXTRACT($J88,""^[^｜]+""),tr_mst!$A:$A,tr_mst!$G:$G),0)
  +IFERROR(XLOOKUP(REGEXEXTRACT($K88,""^[^｜]+""),tc_mst!$A:$A,tc_mst!$G:$G)"&amp;",0)
  +
  (
   IFERROR(XLOOKUP(REGEXEXTRACT($M88,""^[^｜]+""),ac_mst!$A:$A,ac_mst!$J:$J),0)
   +IFERROR(XLOOKUP(REGEXEXTRACT($N88,""^[^｜]+""),ac_mst!$A:$A,ac_mst!$J:$J),0)
   +IFERROR(
    XLOOKUP(
     IF(
      OR(
       IFERROR(REGEXEXTRACT($M88,""^[^｜"&amp;"]+""),"""")="""",
       IFERROR(REGEXEXTRACT($N88,""^[^｜]+""),"""")=""""
      ),
      """",
      IF(
       IFERROR(REGEXEXTRACT($M88,""^[^｜]+""),"""")&lt;IFERROR(REGEXEXTRACT($N88,""^[^｜]+""),""""),
       IFERROR(REGEXEXTRACT($M88,""^[^｜]+""),"""")&amp;""_"&amp;"""&amp;IFERROR(REGEXEXTRACT($N88,""^[^｜]+""),""""),
       IFERROR(REGEXEXTRACT($N88,""^[^｜]+""),"""")&amp;""_""&amp;IFERROR(REGEXEXTRACT($M88,""^[^｜]+""),"""")
      )
     ),
     sy_mst!$A:$A,
     sy_mst!$G:$G
    ),
    0
   )
  )
  *
  IFERROR(XLOOKUP(REGEXEXTR"&amp;"ACT($I88,""^[^｜]+""),ms_mst!$A:$A,ms_mst!$O:$O),1)
  *
  IF(
   $B88&gt;=IFERROR(XLOOKUP(REGEXEXTRACT($L88,""^[^｜]+""),sk_mst!$A:$A,sk_mst!$M:$M),999),
   IFERROR(XLOOKUP(REGEXEXTRACT($L88,""^[^｜]+""),sk_mst!$A:$A,sk_mst!$I:$I),1),
   1
  )
 )
)"),0.009999999999999997)</f>
        <v>0.01</v>
      </c>
      <c r="S88" s="25">
        <f>IFERROR(__xludf.DUMMYFUNCTION("IF($A88="""","""",
 IF($F88=""market"",
  IFERROR(XLOOKUP(REGEXEXTRACT($J88,""^[^｜]+""),tr_mst!$A:$A,tr_mst!$H:$H),0)
  +IFERROR(XLOOKUP(REGEXEXTRACT($K88,""^[^｜]+""),tc_mst!$A:$A,tc_mst!$H:$H),0),
  IF($B88=0,
   IFERROR(XLOOKUP(REGEXEXTRACT($I88,""^[^｜]"&amp;"+""),ms_mst!$A:$A,ms_mst!$H:$H),0),
   IFERROR(XLOOKUP(""T""&amp;($B88-1)&amp;""_""&amp;$D88,$A:$A,$S:$S),0)
  )
  +IFERROR(XLOOKUP(REGEXEXTRACT($J88,""^[^｜]+""),tr_mst!$A:$A,tr_mst!$H:$H),0)
  +IFERROR(XLOOKUP(REGEXEXTRACT($K88,""^[^｜]+""),tc_mst!$A:$A,tc_mst!$H:$H)"&amp;",0)
  +
  (
   IFERROR(XLOOKUP(REGEXEXTRACT($M88,""^[^｜]+""),ac_mst!$A:$A,ac_mst!$K:$K),0)
   +IFERROR(XLOOKUP(REGEXEXTRACT($N88,""^[^｜]+""),ac_mst!$A:$A,ac_mst!$K:$K),0)
   +IFERROR(
    XLOOKUP(
     IF(
      OR(
       IFERROR(REGEXEXTRACT($M88,""^[^｜"&amp;"]+""),"""")="""",
       IFERROR(REGEXEXTRACT($N88,""^[^｜]+""),"""")=""""
      ),
      """",
      IF(
       IFERROR(REGEXEXTRACT($M88,""^[^｜]+""),"""")&lt;IFERROR(REGEXEXTRACT($N88,""^[^｜]+""),""""),
       IFERROR(REGEXEXTRACT($M88,""^[^｜]+""),"""")&amp;""_"&amp;"""&amp;IFERROR(REGEXEXTRACT($N88,""^[^｜]+""),""""),
       IFERROR(REGEXEXTRACT($N88,""^[^｜]+""),"""")&amp;""_""&amp;IFERROR(REGEXEXTRACT($M88,""^[^｜]+""),"""")
      )
     ),
     sy_mst!$A:$A,
     sy_mst!$H:$H
    ),
    0
   )
  )
  *
  IFERROR(XLOOKUP(REGEXEXTR"&amp;"ACT($I88,""^[^｜]+""),ms_mst!$A:$A,ms_mst!$P:$P),1)
  *
  IF(
   $B88&gt;=IFERROR(XLOOKUP(REGEXEXTRACT($L88,""^[^｜]+""),sk_mst!$A:$A,sk_mst!$M:$M),999),
   IFERROR(XLOOKUP(REGEXEXTRACT($L88,""^[^｜]+""),sk_mst!$A:$A,sk_mst!$J:$J),1),
   1
  )
 )
)"),9.999999999999983E-5)</f>
        <v>0.0001</v>
      </c>
      <c r="T88" s="25">
        <f>IFERROR(__xludf.DUMMYFUNCTION("IF($A88="""","""",
 IF($F88=""market"",
  IFERROR(XLOOKUP(REGEXEXTRACT($J88,""^[^｜]+""),tr_mst!$A:$A,tr_mst!$I:$I),0)
  +IFERROR(XLOOKUP(REGEXEXTRACT($K88,""^[^｜]+""),tc_mst!$A:$A,tc_mst!$I:$I),0),
  IF($B88=0,
   IFERROR(XLOOKUP(REGEXEXTRACT($I88,""^[^｜]"&amp;"+""),ms_mst!$A:$A,ms_mst!$I:$I),0),
   IFERROR(XLOOKUP(""T""&amp;($B88-1)&amp;""_""&amp;$D88,$A:$A,$T:$T),0)
  )
  +IFERROR(XLOOKUP(REGEXEXTRACT($J88,""^[^｜]+""),tr_mst!$A:$A,tr_mst!$I:$I),0)
  +IFERROR(XLOOKUP(REGEXEXTRACT($K88,""^[^｜]+""),tc_mst!$A:$A,tc_mst!$I:$I)"&amp;",0)
  +
  (
   IFERROR(XLOOKUP(REGEXEXTRACT($M88,""^[^｜]+""),ac_mst!$A:$A,ac_mst!$L:$L),0)
   +IFERROR(XLOOKUP(REGEXEXTRACT($N88,""^[^｜]+""),ac_mst!$A:$A,ac_mst!$L:$L),0)
   +IFERROR(
    XLOOKUP(
     IF(
      OR(
       IFERROR(REGEXEXTRACT($M88,""^[^｜"&amp;"]+""),"""")="""",
       IFERROR(REGEXEXTRACT($N88,""^[^｜]+""),"""")=""""
      ),
      """",
      IF(
       IFERROR(REGEXEXTRACT($M88,""^[^｜]+""),"""")&lt;IFERROR(REGEXEXTRACT($N88,""^[^｜]+""),""""),
       IFERROR(REGEXEXTRACT($M88,""^[^｜]+""),"""")&amp;""_"&amp;"""&amp;IFERROR(REGEXEXTRACT($N88,""^[^｜]+""),""""),
       IFERROR(REGEXEXTRACT($N88,""^[^｜]+""),"""")&amp;""_""&amp;IFERROR(REGEXEXTRACT($M88,""^[^｜]+""),"""")
      )
     ),
     sy_mst!$A:$A,
     sy_mst!$I:$I
    ),
    0
   )
  )
  *
  IFERROR(XLOOKUP(REGEXEXTR"&amp;"ACT($I88,""^[^｜]+""),ms_mst!$A:$A,ms_mst!$Q:$Q),1)
  *
  IF(
   $B88&gt;=IFERROR(XLOOKUP(REGEXEXTRACT($L88,""^[^｜]+""),sk_mst!$A:$A,sk_mst!$M:$M),999),
   IFERROR(XLOOKUP(REGEXEXTRACT($L88,""^[^｜]+""),sk_mst!$A:$A,sk_mst!$K:$K),1),
   1
  )
 )
)"),400.0)</f>
        <v>400</v>
      </c>
      <c r="U88" s="25">
        <f>IFERROR(__xludf.DUMMYFUNCTION("IF($A88="""","""",
 IF($F88=""market"",
  IFERROR(XLOOKUP(REGEXEXTRACT($J88,""^[^｜]+""),tr_mst!$A:$A,tr_mst!$J:$J),0)
  +IFERROR(XLOOKUP(REGEXEXTRACT($K88,""^[^｜]+""),tc_mst!$A:$A,tc_mst!$J:$J),0),
  IF($B88=0,
   IFERROR(XLOOKUP(REGEXEXTRACT($I88,""^[^｜]"&amp;"+""),ms_mst!$A:$A,ms_mst!$J:$J),0),
   IFERROR(XLOOKUP(""T""&amp;($B88-1)&amp;""_""&amp;$D88,$A:$A,$U:$U),0)
  )
  +IFERROR(XLOOKUP(REGEXEXTRACT($J88,""^[^｜]+""),tr_mst!$A:$A,tr_mst!$J:$J),0)
  +IFERROR(XLOOKUP(REGEXEXTRACT($K88,""^[^｜]+""),tc_mst!$A:$A,tc_mst!$J:$J)"&amp;",0)
  +
  (
   IFERROR(XLOOKUP(REGEXEXTRACT($M88,""^[^｜]+""),ac_mst!$A:$A,ac_mst!$M:$M),0)
   +IFERROR(XLOOKUP(REGEXEXTRACT($N88,""^[^｜]+""),ac_mst!$A:$A,ac_mst!$M:$M),0)
   +IFERROR(
    XLOOKUP(
     IF(
      OR(
       IFERROR(REGEXEXTRACT($M88,""^[^｜"&amp;"]+""),"""")="""",
       IFERROR(REGEXEXTRACT($N88,""^[^｜]+""),"""")=""""
      ),
      """",
      IF(
       IFERROR(REGEXEXTRACT($M88,""^[^｜]+""),"""")&lt;IFERROR(REGEXEXTRACT($N88,""^[^｜]+""),""""),
       IFERROR(REGEXEXTRACT($M88,""^[^｜]+""),"""")&amp;""_"&amp;"""&amp;IFERROR(REGEXEXTRACT($N88,""^[^｜]+""),""""),
       IFERROR(REGEXEXTRACT($N88,""^[^｜]+""),"""")&amp;""_""&amp;IFERROR(REGEXEXTRACT($M88,""^[^｜]+""),"""")
      )
     ),
     sy_mst!$A:$A,
     sy_mst!$J:$J
    ),
    0
   )
  )
  *
  IFERROR(XLOOKUP(REGEXEXTR"&amp;"ACT($I88,""^[^｜]+""),ms_mst!$A:$A,ms_mst!$R:$R),1)
  *
  IF(
   $B88&gt;=IFERROR(XLOOKUP(REGEXEXTRACT($L88,""^[^｜]+""),sk_mst!$A:$A,sk_mst!$M:$M),999),
   IFERROR(XLOOKUP(REGEXEXTRACT($L88,""^[^｜]+""),sk_mst!$A:$A,sk_mst!$L:$L),1),
   1
  )
 )
)"),5.0)</f>
        <v>5</v>
      </c>
      <c r="V88" s="25">
        <f t="shared" si="1"/>
        <v>0</v>
      </c>
      <c r="W88" s="25">
        <f t="shared" si="2"/>
        <v>-2450</v>
      </c>
      <c r="X88" s="25">
        <f t="shared" si="3"/>
        <v>2450</v>
      </c>
      <c r="Y88" s="25">
        <f t="shared" si="4"/>
        <v>0</v>
      </c>
      <c r="Z88" s="25">
        <f>IFERROR(__xludf.DUMMYFUNCTION("IF($A88="""","""",
 IF($F88&lt;&gt;""player"","""",
  IFERROR(
   RANK(
    $X88,
    FILTER($X:$X,$B:$B=$B88,$F:$F=""player"",$X:$X&lt;&gt;""""),
    0
   ),
   """"
  )
 )
)"),8.0)</f>
        <v>8</v>
      </c>
      <c r="AA88" s="25" t="str">
        <f t="shared" si="5"/>
        <v>8位</v>
      </c>
      <c r="AB88" s="26">
        <f t="shared" si="6"/>
        <v>0</v>
      </c>
    </row>
    <row r="89">
      <c r="A89" s="25" t="s">
        <v>262</v>
      </c>
      <c r="B89" s="14">
        <v>6.0</v>
      </c>
      <c r="C89" s="14" t="s">
        <v>177</v>
      </c>
      <c r="D89" s="14" t="s">
        <v>178</v>
      </c>
      <c r="E89" s="25" t="s">
        <v>153</v>
      </c>
      <c r="F89" s="25" t="s">
        <v>154</v>
      </c>
      <c r="I89" s="25" t="str">
        <f>IFERROR(__xludf.DUMMYFUNCTION("IF($F89&lt;&gt;""player"","""",IFERROR(INDEX(FILTER(group_setup!$D$2:$D947,group_setup!$B$2:$B947=$C89,group_setup!$G$2:$G947=TRUE,group_setup!$H$2:$H947=""completed""),1),""""))"),"")</f>
        <v/>
      </c>
      <c r="J89" s="25" t="str">
        <f>IFERROR(__xludf.DUMMYFUNCTION("IFERROR(FILTER(market_event_log!$D$2:$D947,market_event_log!$C$2:$C947=$B89,market_event_log!$N$2:$N947=""active""),"""")"),"T04")</f>
        <v>T04</v>
      </c>
      <c r="K89" s="25" t="str">
        <f>IFERROR(__xludf.DUMMYFUNCTION("IFERROR(FILTER(market_event_log!$G$2:$G947,market_event_log!$C$2:$C947=$B89,market_event_log!$N$2:$N947=""active""),"""")"),"C04")</f>
        <v>C04</v>
      </c>
      <c r="L89" s="25" t="str">
        <f>IFERROR(__xludf.DUMMYFUNCTION("IF($F89&lt;&gt;""player"","""",IFERROR(INDEX(FILTER(group_setup!$E$2:$E947,group_setup!$B$2:$B947=$C89,group_setup!$G$2:$G947=TRUE,group_setup!$H$2:$H947=""completed""),1),""""))"),"")</f>
        <v/>
      </c>
      <c r="M89" s="25" t="str">
        <f>IFERROR(__xludf.DUMMYFUNCTION("IF($F89=""market"","""",IF($E89=""HUMAN"",IFERROR(FILTER(turn_log!$G$2:$G947,turn_log!$C$2:$C947=$B89,turn_log!$D$2:$D947=$C89,turn_log!$F$2:$F947=$E89),""""),IFERROR(FILTER(turn_log!$I$2:$I947,turn_log!$C$2:$C947=$B89,turn_log!$D$2:$D947=$C89,turn_log!$F"&amp;"$2:$F947=$E89),"""")))"),"")</f>
        <v/>
      </c>
      <c r="N89" s="25" t="str">
        <f>IFERROR(__xludf.DUMMYFUNCTION("IF($F89=""market"","""",IF($E89=""HUMAN"",IFERROR(FILTER(turn_log!$H$2:$H947,turn_log!$C$2:$C947=$B89,turn_log!$D$2:$D947=$C89,turn_log!$F$2:$F947=$E89),""""),IFERROR(FILTER(turn_log!$J$2:$J947,turn_log!$C$2:$C947=$B89,turn_log!$D$2:$D947=$C89,turn_log!$F"&amp;"$2:$F947=$E89),"""")))"),"")</f>
        <v/>
      </c>
      <c r="O89" s="25">
        <f>IFERROR(__xludf.DUMMYFUNCTION("IF($A89="""","""",
 IF($F89=""market"",
  IFERROR(XLOOKUP(REGEXEXTRACT($J89,""^[^｜]+""),tr_mst!$A:$A,tr_mst!$D:$D),0)
  +IFERROR(XLOOKUP(REGEXEXTRACT($K89,""^[^｜]+""),tc_mst!$A:$A,tc_mst!$D:$D),0),
  IF($B89=0,
   IFERROR(XLOOKUP(REGEXEXTRACT($I89,""^[^｜]"&amp;"+""),ms_mst!$A:$A,ms_mst!$D:$D),0),
   IFERROR(XLOOKUP(""T""&amp;($B89-1)&amp;""_""&amp;$D89,$A:$A,$O:$O),0)
  )
  +IFERROR(XLOOKUP(REGEXEXTRACT($J89,""^[^｜]+""),tr_mst!$A:$A,tr_mst!$D:$D),0)
  +IFERROR(XLOOKUP(REGEXEXTRACT($K89,""^[^｜]+""),tc_mst!$A:$A,tc_mst!$D:$D)"&amp;",0)
  +
  (
   IFERROR(XLOOKUP(REGEXEXTRACT($M89,""^[^｜]+""),ac_mst!$A:$A,ac_mst!$G:$G),0)
   +IFERROR(XLOOKUP(REGEXEXTRACT($N89,""^[^｜]+""),ac_mst!$A:$A,ac_mst!$G:$G),0)
   +IFERROR(
    XLOOKUP(
     IF(
      OR(
       IFERROR(REGEXEXTRACT($M89,""^[^｜"&amp;"]+""),"""")="""",
       IFERROR(REGEXEXTRACT($N89,""^[^｜]+""),"""")=""""
      ),
      """",
      IF(
       IFERROR(REGEXEXTRACT($M89,""^[^｜]+""),"""")&lt;IFERROR(REGEXEXTRACT($N89,""^[^｜]+""),""""),
       IFERROR(REGEXEXTRACT($M89,""^[^｜]+""),"""")&amp;""_"&amp;"""&amp;IFERROR(REGEXEXTRACT($N89,""^[^｜]+""),""""),
       IFERROR(REGEXEXTRACT($N89,""^[^｜]+""),"""")&amp;""_""&amp;IFERROR(REGEXEXTRACT($M89,""^[^｜]+""),"""")
      )
     ),
     sy_mst!$A:$A,
     sy_mst!$D:$D
    ),
    0
   )
  )
  *
  IFERROR(XLOOKUP(REGEXEXTR"&amp;"ACT($I89,""^[^｜]+""),ms_mst!$A:$A,ms_mst!$L:$L),1)
  *
  IF(
   $B89&gt;=IFERROR(XLOOKUP(REGEXEXTRACT($L89,""^[^｜]+""),sk_mst!$A:$A,sk_mst!$M:$M),999),
   IFERROR(XLOOKUP(REGEXEXTRACT($L89,""^[^｜]+""),sk_mst!$A:$A,sk_mst!$F:$F),1),
   1
  )
 )
)"),1800.0)</f>
        <v>1800</v>
      </c>
      <c r="P89" s="25">
        <f>IFERROR(__xludf.DUMMYFUNCTION("IF($A89="""","""",
 IF($F89=""market"",
  IFERROR(XLOOKUP(REGEXEXTRACT($J89,""^[^｜]+""),tr_mst!$A:$A,tr_mst!$E:$E),0)
  +IFERROR(XLOOKUP(REGEXEXTRACT($K89,""^[^｜]+""),tc_mst!$A:$A,tc_mst!$E:$E),0),
  IF($B89=0,
   IFERROR(XLOOKUP(REGEXEXTRACT($I89,""^[^｜]"&amp;"+""),ms_mst!$A:$A,ms_mst!$E:$E),0),
   IFERROR(XLOOKUP(""T""&amp;($B89-1)&amp;""_""&amp;$D89,$A:$A,$P:$P),0)
  )
  +IFERROR(XLOOKUP(REGEXEXTRACT($J89,""^[^｜]+""),tr_mst!$A:$A,tr_mst!$E:$E),0)
  +IFERROR(XLOOKUP(REGEXEXTRACT($K89,""^[^｜]+""),tc_mst!$A:$A,tc_mst!$E:$E)"&amp;",0)
  +
  (
   IFERROR(XLOOKUP(REGEXEXTRACT($M89,""^[^｜]+""),ac_mst!$A:$A,ac_mst!$H:$H),0)
   +IFERROR(XLOOKUP(REGEXEXTRACT($N89,""^[^｜]+""),ac_mst!$A:$A,ac_mst!$H:$H),0)
   +IFERROR(
    XLOOKUP(
     IF(
      OR(
       IFERROR(REGEXEXTRACT($M89,""^[^｜"&amp;"]+""),"""")="""",
       IFERROR(REGEXEXTRACT($N89,""^[^｜]+""),"""")=""""
      ),
      """",
      IF(
       IFERROR(REGEXEXTRACT($M89,""^[^｜]+""),"""")&lt;IFERROR(REGEXEXTRACT($N89,""^[^｜]+""),""""),
       IFERROR(REGEXEXTRACT($M89,""^[^｜]+""),"""")&amp;""_"&amp;"""&amp;IFERROR(REGEXEXTRACT($N89,""^[^｜]+""),""""),
       IFERROR(REGEXEXTRACT($N89,""^[^｜]+""),"""")&amp;""_""&amp;IFERROR(REGEXEXTRACT($M89,""^[^｜]+""),"""")
      )
     ),
     sy_mst!$A:$A,
     sy_mst!$E:$E
    ),
    0
   )
  )
  *
  IFERROR(XLOOKUP(REGEXEXTR"&amp;"ACT($I89,""^[^｜]+""),ms_mst!$A:$A,ms_mst!$M:$M),1)
  *
  IF(
   $B89&gt;=IFERROR(XLOOKUP(REGEXEXTRACT($L89,""^[^｜]+""),sk_mst!$A:$A,sk_mst!$M:$M),999),
   IFERROR(XLOOKUP(REGEXEXTRACT($L89,""^[^｜]+""),sk_mst!$A:$A,sk_mst!$G:$G),1),
   1
  )
 )
)"),-490.0)</f>
        <v>-490</v>
      </c>
      <c r="Q89" s="25">
        <f>IFERROR(__xludf.DUMMYFUNCTION("IF($A89="""","""",
 IF($F89=""market"",
  IFERROR(XLOOKUP(REGEXEXTRACT($J89,""^[^｜]+""),tr_mst!$A:$A,tr_mst!$F:$F),0)
  +IFERROR(XLOOKUP(REGEXEXTRACT($K89,""^[^｜]+""),tc_mst!$A:$A,tc_mst!$F:$F),0),
  IF($B89=0,
   IFERROR(XLOOKUP(REGEXEXTRACT($I89,""^[^｜]"&amp;"+""),ms_mst!$A:$A,ms_mst!$F:$F),0),
   IFERROR(XLOOKUP(""T""&amp;($B89-1)&amp;""_""&amp;$D89,$A:$A,$Q:$Q),0)
  )
  +IFERROR(XLOOKUP(REGEXEXTRACT($J89,""^[^｜]+""),tr_mst!$A:$A,tr_mst!$F:$F),0)
  +IFERROR(XLOOKUP(REGEXEXTRACT($K89,""^[^｜]+""),tc_mst!$A:$A,tc_mst!$F:$F)"&amp;",0)
  +
  (
   IFERROR(XLOOKUP(REGEXEXTRACT($M89,""^[^｜]+""),ac_mst!$A:$A,ac_mst!$I:$I),0)
   +IFERROR(XLOOKUP(REGEXEXTRACT($N89,""^[^｜]+""),ac_mst!$A:$A,ac_mst!$I:$I),0)
   +IFERROR(
    XLOOKUP(
     IF(
      OR(
       IFERROR(REGEXEXTRACT($M89,""^[^｜"&amp;"]+""),"""")="""",
       IFERROR(REGEXEXTRACT($N89,""^[^｜]+""),"""")=""""
      ),
      """",
      IF(
       IFERROR(REGEXEXTRACT($M89,""^[^｜]+""),"""")&lt;IFERROR(REGEXEXTRACT($N89,""^[^｜]+""),""""),
       IFERROR(REGEXEXTRACT($M89,""^[^｜]+""),"""")&amp;""_"&amp;"""&amp;IFERROR(REGEXEXTRACT($N89,""^[^｜]+""),""""),
       IFERROR(REGEXEXTRACT($N89,""^[^｜]+""),"""")&amp;""_""&amp;IFERROR(REGEXEXTRACT($M89,""^[^｜]+""),"""")
      )
     ),
     sy_mst!$A:$A,
     sy_mst!$F:$F
    ),
    0
   )
  )
  *
  IFERROR(XLOOKUP(REGEXEXTR"&amp;"ACT($I89,""^[^｜]+""),ms_mst!$A:$A,ms_mst!$N:$N),1)
  *
  IF(
   $B89&gt;=IFERROR(XLOOKUP(REGEXEXTRACT($L89,""^[^｜]+""),sk_mst!$A:$A,sk_mst!$M:$M),999),
   IFERROR(XLOOKUP(REGEXEXTRACT($L89,""^[^｜]+""),sk_mst!$A:$A,sk_mst!$H:$H),1),
   1
  )
 )
)"),0.06)</f>
        <v>0.06</v>
      </c>
      <c r="R89" s="25">
        <f>IFERROR(__xludf.DUMMYFUNCTION("IF($A89="""","""",
 IF($F89=""market"",
  IFERROR(XLOOKUP(REGEXEXTRACT($J89,""^[^｜]+""),tr_mst!$A:$A,tr_mst!$G:$G),0)
  +IFERROR(XLOOKUP(REGEXEXTRACT($K89,""^[^｜]+""),tc_mst!$A:$A,tc_mst!$G:$G),0),
  IF($B89=0,
   IFERROR(XLOOKUP(REGEXEXTRACT($I89,""^[^｜]"&amp;"+""),ms_mst!$A:$A,ms_mst!$G:$G),0),
   IFERROR(XLOOKUP(""T""&amp;($B89-1)&amp;""_""&amp;$D89,$A:$A,$R:$R),0)
  )
  +IFERROR(XLOOKUP(REGEXEXTRACT($J89,""^[^｜]+""),tr_mst!$A:$A,tr_mst!$G:$G),0)
  +IFERROR(XLOOKUP(REGEXEXTRACT($K89,""^[^｜]+""),tc_mst!$A:$A,tc_mst!$G:$G)"&amp;",0)
  +
  (
   IFERROR(XLOOKUP(REGEXEXTRACT($M89,""^[^｜]+""),ac_mst!$A:$A,ac_mst!$J:$J),0)
   +IFERROR(XLOOKUP(REGEXEXTRACT($N89,""^[^｜]+""),ac_mst!$A:$A,ac_mst!$J:$J),0)
   +IFERROR(
    XLOOKUP(
     IF(
      OR(
       IFERROR(REGEXEXTRACT($M89,""^[^｜"&amp;"]+""),"""")="""",
       IFERROR(REGEXEXTRACT($N89,""^[^｜]+""),"""")=""""
      ),
      """",
      IF(
       IFERROR(REGEXEXTRACT($M89,""^[^｜]+""),"""")&lt;IFERROR(REGEXEXTRACT($N89,""^[^｜]+""),""""),
       IFERROR(REGEXEXTRACT($M89,""^[^｜]+""),"""")&amp;""_"&amp;"""&amp;IFERROR(REGEXEXTRACT($N89,""^[^｜]+""),""""),
       IFERROR(REGEXEXTRACT($N89,""^[^｜]+""),"""")&amp;""_""&amp;IFERROR(REGEXEXTRACT($M89,""^[^｜]+""),"""")
      )
     ),
     sy_mst!$A:$A,
     sy_mst!$G:$G
    ),
    0
   )
  )
  *
  IFERROR(XLOOKUP(REGEXEXTR"&amp;"ACT($I89,""^[^｜]+""),ms_mst!$A:$A,ms_mst!$O:$O),1)
  *
  IF(
   $B89&gt;=IFERROR(XLOOKUP(REGEXEXTRACT($L89,""^[^｜]+""),sk_mst!$A:$A,sk_mst!$M:$M),999),
   IFERROR(XLOOKUP(REGEXEXTRACT($L89,""^[^｜]+""),sk_mst!$A:$A,sk_mst!$I:$I),1),
   1
  )
 )
)"),0.009999999999999997)</f>
        <v>0.01</v>
      </c>
      <c r="S89" s="25">
        <f>IFERROR(__xludf.DUMMYFUNCTION("IF($A89="""","""",
 IF($F89=""market"",
  IFERROR(XLOOKUP(REGEXEXTRACT($J89,""^[^｜]+""),tr_mst!$A:$A,tr_mst!$H:$H),0)
  +IFERROR(XLOOKUP(REGEXEXTRACT($K89,""^[^｜]+""),tc_mst!$A:$A,tc_mst!$H:$H),0),
  IF($B89=0,
   IFERROR(XLOOKUP(REGEXEXTRACT($I89,""^[^｜]"&amp;"+""),ms_mst!$A:$A,ms_mst!$H:$H),0),
   IFERROR(XLOOKUP(""T""&amp;($B89-1)&amp;""_""&amp;$D89,$A:$A,$S:$S),0)
  )
  +IFERROR(XLOOKUP(REGEXEXTRACT($J89,""^[^｜]+""),tr_mst!$A:$A,tr_mst!$H:$H),0)
  +IFERROR(XLOOKUP(REGEXEXTRACT($K89,""^[^｜]+""),tc_mst!$A:$A,tc_mst!$H:$H)"&amp;",0)
  +
  (
   IFERROR(XLOOKUP(REGEXEXTRACT($M89,""^[^｜]+""),ac_mst!$A:$A,ac_mst!$K:$K),0)
   +IFERROR(XLOOKUP(REGEXEXTRACT($N89,""^[^｜]+""),ac_mst!$A:$A,ac_mst!$K:$K),0)
   +IFERROR(
    XLOOKUP(
     IF(
      OR(
       IFERROR(REGEXEXTRACT($M89,""^[^｜"&amp;"]+""),"""")="""",
       IFERROR(REGEXEXTRACT($N89,""^[^｜]+""),"""")=""""
      ),
      """",
      IF(
       IFERROR(REGEXEXTRACT($M89,""^[^｜]+""),"""")&lt;IFERROR(REGEXEXTRACT($N89,""^[^｜]+""),""""),
       IFERROR(REGEXEXTRACT($M89,""^[^｜]+""),"""")&amp;""_"&amp;"""&amp;IFERROR(REGEXEXTRACT($N89,""^[^｜]+""),""""),
       IFERROR(REGEXEXTRACT($N89,""^[^｜]+""),"""")&amp;""_""&amp;IFERROR(REGEXEXTRACT($M89,""^[^｜]+""),"""")
      )
     ),
     sy_mst!$A:$A,
     sy_mst!$H:$H
    ),
    0
   )
  )
  *
  IFERROR(XLOOKUP(REGEXEXTR"&amp;"ACT($I89,""^[^｜]+""),ms_mst!$A:$A,ms_mst!$P:$P),1)
  *
  IF(
   $B89&gt;=IFERROR(XLOOKUP(REGEXEXTRACT($L89,""^[^｜]+""),sk_mst!$A:$A,sk_mst!$M:$M),999),
   IFERROR(XLOOKUP(REGEXEXTRACT($L89,""^[^｜]+""),sk_mst!$A:$A,sk_mst!$J:$J),1),
   1
  )
 )
)"),9.999999999999983E-5)</f>
        <v>0.0001</v>
      </c>
      <c r="T89" s="25">
        <f>IFERROR(__xludf.DUMMYFUNCTION("IF($A89="""","""",
 IF($F89=""market"",
  IFERROR(XLOOKUP(REGEXEXTRACT($J89,""^[^｜]+""),tr_mst!$A:$A,tr_mst!$I:$I),0)
  +IFERROR(XLOOKUP(REGEXEXTRACT($K89,""^[^｜]+""),tc_mst!$A:$A,tc_mst!$I:$I),0),
  IF($B89=0,
   IFERROR(XLOOKUP(REGEXEXTRACT($I89,""^[^｜]"&amp;"+""),ms_mst!$A:$A,ms_mst!$I:$I),0),
   IFERROR(XLOOKUP(""T""&amp;($B89-1)&amp;""_""&amp;$D89,$A:$A,$T:$T),0)
  )
  +IFERROR(XLOOKUP(REGEXEXTRACT($J89,""^[^｜]+""),tr_mst!$A:$A,tr_mst!$I:$I),0)
  +IFERROR(XLOOKUP(REGEXEXTRACT($K89,""^[^｜]+""),tc_mst!$A:$A,tc_mst!$I:$I)"&amp;",0)
  +
  (
   IFERROR(XLOOKUP(REGEXEXTRACT($M89,""^[^｜]+""),ac_mst!$A:$A,ac_mst!$L:$L),0)
   +IFERROR(XLOOKUP(REGEXEXTRACT($N89,""^[^｜]+""),ac_mst!$A:$A,ac_mst!$L:$L),0)
   +IFERROR(
    XLOOKUP(
     IF(
      OR(
       IFERROR(REGEXEXTRACT($M89,""^[^｜"&amp;"]+""),"""")="""",
       IFERROR(REGEXEXTRACT($N89,""^[^｜]+""),"""")=""""
      ),
      """",
      IF(
       IFERROR(REGEXEXTRACT($M89,""^[^｜]+""),"""")&lt;IFERROR(REGEXEXTRACT($N89,""^[^｜]+""),""""),
       IFERROR(REGEXEXTRACT($M89,""^[^｜]+""),"""")&amp;""_"&amp;"""&amp;IFERROR(REGEXEXTRACT($N89,""^[^｜]+""),""""),
       IFERROR(REGEXEXTRACT($N89,""^[^｜]+""),"""")&amp;""_""&amp;IFERROR(REGEXEXTRACT($M89,""^[^｜]+""),"""")
      )
     ),
     sy_mst!$A:$A,
     sy_mst!$I:$I
    ),
    0
   )
  )
  *
  IFERROR(XLOOKUP(REGEXEXTR"&amp;"ACT($I89,""^[^｜]+""),ms_mst!$A:$A,ms_mst!$Q:$Q),1)
  *
  IF(
   $B89&gt;=IFERROR(XLOOKUP(REGEXEXTRACT($L89,""^[^｜]+""),sk_mst!$A:$A,sk_mst!$M:$M),999),
   IFERROR(XLOOKUP(REGEXEXTRACT($L89,""^[^｜]+""),sk_mst!$A:$A,sk_mst!$K:$K),1),
   1
  )
 )
)"),400.0)</f>
        <v>400</v>
      </c>
      <c r="U89" s="25">
        <f>IFERROR(__xludf.DUMMYFUNCTION("IF($A89="""","""",
 IF($F89=""market"",
  IFERROR(XLOOKUP(REGEXEXTRACT($J89,""^[^｜]+""),tr_mst!$A:$A,tr_mst!$J:$J),0)
  +IFERROR(XLOOKUP(REGEXEXTRACT($K89,""^[^｜]+""),tc_mst!$A:$A,tc_mst!$J:$J),0),
  IF($B89=0,
   IFERROR(XLOOKUP(REGEXEXTRACT($I89,""^[^｜]"&amp;"+""),ms_mst!$A:$A,ms_mst!$J:$J),0),
   IFERROR(XLOOKUP(""T""&amp;($B89-1)&amp;""_""&amp;$D89,$A:$A,$U:$U),0)
  )
  +IFERROR(XLOOKUP(REGEXEXTRACT($J89,""^[^｜]+""),tr_mst!$A:$A,tr_mst!$J:$J),0)
  +IFERROR(XLOOKUP(REGEXEXTRACT($K89,""^[^｜]+""),tc_mst!$A:$A,tc_mst!$J:$J)"&amp;",0)
  +
  (
   IFERROR(XLOOKUP(REGEXEXTRACT($M89,""^[^｜]+""),ac_mst!$A:$A,ac_mst!$M:$M),0)
   +IFERROR(XLOOKUP(REGEXEXTRACT($N89,""^[^｜]+""),ac_mst!$A:$A,ac_mst!$M:$M),0)
   +IFERROR(
    XLOOKUP(
     IF(
      OR(
       IFERROR(REGEXEXTRACT($M89,""^[^｜"&amp;"]+""),"""")="""",
       IFERROR(REGEXEXTRACT($N89,""^[^｜]+""),"""")=""""
      ),
      """",
      IF(
       IFERROR(REGEXEXTRACT($M89,""^[^｜]+""),"""")&lt;IFERROR(REGEXEXTRACT($N89,""^[^｜]+""),""""),
       IFERROR(REGEXEXTRACT($M89,""^[^｜]+""),"""")&amp;""_"&amp;"""&amp;IFERROR(REGEXEXTRACT($N89,""^[^｜]+""),""""),
       IFERROR(REGEXEXTRACT($N89,""^[^｜]+""),"""")&amp;""_""&amp;IFERROR(REGEXEXTRACT($M89,""^[^｜]+""),"""")
      )
     ),
     sy_mst!$A:$A,
     sy_mst!$J:$J
    ),
    0
   )
  )
  *
  IFERROR(XLOOKUP(REGEXEXTR"&amp;"ACT($I89,""^[^｜]+""),ms_mst!$A:$A,ms_mst!$R:$R),1)
  *
  IF(
   $B89&gt;=IFERROR(XLOOKUP(REGEXEXTRACT($L89,""^[^｜]+""),sk_mst!$A:$A,sk_mst!$M:$M),999),
   IFERROR(XLOOKUP(REGEXEXTRACT($L89,""^[^｜]+""),sk_mst!$A:$A,sk_mst!$L:$L),1),
   1
  )
 )
)"),5.0)</f>
        <v>5</v>
      </c>
      <c r="V89" s="25">
        <f t="shared" si="1"/>
        <v>0</v>
      </c>
      <c r="W89" s="25">
        <f t="shared" si="2"/>
        <v>-2450</v>
      </c>
      <c r="X89" s="25">
        <f t="shared" si="3"/>
        <v>2450</v>
      </c>
      <c r="Y89" s="25">
        <f t="shared" si="4"/>
        <v>0</v>
      </c>
      <c r="Z89" s="25">
        <f>IFERROR(__xludf.DUMMYFUNCTION("IF($A89="""","""",
 IF($F89&lt;&gt;""player"","""",
  IFERROR(
   RANK(
    $X89,
    FILTER($X:$X,$B:$B=$B89,$F:$F=""player"",$X:$X&lt;&gt;""""),
    0
   ),
   """"
  )
 )
)"),8.0)</f>
        <v>8</v>
      </c>
      <c r="AA89" s="25" t="str">
        <f t="shared" si="5"/>
        <v>8位</v>
      </c>
      <c r="AB89" s="26">
        <f t="shared" si="6"/>
        <v>0</v>
      </c>
    </row>
    <row r="90">
      <c r="A90" s="25" t="s">
        <v>263</v>
      </c>
      <c r="B90" s="14">
        <v>6.0</v>
      </c>
      <c r="C90" s="14" t="s">
        <v>180</v>
      </c>
      <c r="D90" s="14" t="s">
        <v>181</v>
      </c>
      <c r="E90" s="25" t="s">
        <v>153</v>
      </c>
      <c r="F90" s="25" t="s">
        <v>154</v>
      </c>
      <c r="I90" s="25" t="str">
        <f>IFERROR(__xludf.DUMMYFUNCTION("IF($F90&lt;&gt;""player"","""",IFERROR(INDEX(FILTER(group_setup!$D$2:$D947,group_setup!$B$2:$B947=$C90,group_setup!$G$2:$G947=TRUE,group_setup!$H$2:$H947=""completed""),1),""""))"),"")</f>
        <v/>
      </c>
      <c r="J90" s="25" t="str">
        <f>IFERROR(__xludf.DUMMYFUNCTION("IFERROR(FILTER(market_event_log!$D$2:$D947,market_event_log!$C$2:$C947=$B90,market_event_log!$N$2:$N947=""active""),"""")"),"T04")</f>
        <v>T04</v>
      </c>
      <c r="K90" s="25" t="str">
        <f>IFERROR(__xludf.DUMMYFUNCTION("IFERROR(FILTER(market_event_log!$G$2:$G947,market_event_log!$C$2:$C947=$B90,market_event_log!$N$2:$N947=""active""),"""")"),"C04")</f>
        <v>C04</v>
      </c>
      <c r="L90" s="25" t="str">
        <f>IFERROR(__xludf.DUMMYFUNCTION("IF($F90&lt;&gt;""player"","""",IFERROR(INDEX(FILTER(group_setup!$E$2:$E947,group_setup!$B$2:$B947=$C90,group_setup!$G$2:$G947=TRUE,group_setup!$H$2:$H947=""completed""),1),""""))"),"")</f>
        <v/>
      </c>
      <c r="M90" s="25" t="str">
        <f>IFERROR(__xludf.DUMMYFUNCTION("IF($F90=""market"","""",IF($E90=""HUMAN"",IFERROR(FILTER(turn_log!$G$2:$G947,turn_log!$C$2:$C947=$B90,turn_log!$D$2:$D947=$C90,turn_log!$F$2:$F947=$E90),""""),IFERROR(FILTER(turn_log!$I$2:$I947,turn_log!$C$2:$C947=$B90,turn_log!$D$2:$D947=$C90,turn_log!$F"&amp;"$2:$F947=$E90),"""")))"),"")</f>
        <v/>
      </c>
      <c r="N90" s="25" t="str">
        <f>IFERROR(__xludf.DUMMYFUNCTION("IF($F90=""market"","""",IF($E90=""HUMAN"",IFERROR(FILTER(turn_log!$H$2:$H947,turn_log!$C$2:$C947=$B90,turn_log!$D$2:$D947=$C90,turn_log!$F$2:$F947=$E90),""""),IFERROR(FILTER(turn_log!$J$2:$J947,turn_log!$C$2:$C947=$B90,turn_log!$D$2:$D947=$C90,turn_log!$F"&amp;"$2:$F947=$E90),"""")))"),"")</f>
        <v/>
      </c>
      <c r="O90" s="25">
        <f>IFERROR(__xludf.DUMMYFUNCTION("IF($A90="""","""",
 IF($F90=""market"",
  IFERROR(XLOOKUP(REGEXEXTRACT($J90,""^[^｜]+""),tr_mst!$A:$A,tr_mst!$D:$D),0)
  +IFERROR(XLOOKUP(REGEXEXTRACT($K90,""^[^｜]+""),tc_mst!$A:$A,tc_mst!$D:$D),0),
  IF($B90=0,
   IFERROR(XLOOKUP(REGEXEXTRACT($I90,""^[^｜]"&amp;"+""),ms_mst!$A:$A,ms_mst!$D:$D),0),
   IFERROR(XLOOKUP(""T""&amp;($B90-1)&amp;""_""&amp;$D90,$A:$A,$O:$O),0)
  )
  +IFERROR(XLOOKUP(REGEXEXTRACT($J90,""^[^｜]+""),tr_mst!$A:$A,tr_mst!$D:$D),0)
  +IFERROR(XLOOKUP(REGEXEXTRACT($K90,""^[^｜]+""),tc_mst!$A:$A,tc_mst!$D:$D)"&amp;",0)
  +
  (
   IFERROR(XLOOKUP(REGEXEXTRACT($M90,""^[^｜]+""),ac_mst!$A:$A,ac_mst!$G:$G),0)
   +IFERROR(XLOOKUP(REGEXEXTRACT($N90,""^[^｜]+""),ac_mst!$A:$A,ac_mst!$G:$G),0)
   +IFERROR(
    XLOOKUP(
     IF(
      OR(
       IFERROR(REGEXEXTRACT($M90,""^[^｜"&amp;"]+""),"""")="""",
       IFERROR(REGEXEXTRACT($N90,""^[^｜]+""),"""")=""""
      ),
      """",
      IF(
       IFERROR(REGEXEXTRACT($M90,""^[^｜]+""),"""")&lt;IFERROR(REGEXEXTRACT($N90,""^[^｜]+""),""""),
       IFERROR(REGEXEXTRACT($M90,""^[^｜]+""),"""")&amp;""_"&amp;"""&amp;IFERROR(REGEXEXTRACT($N90,""^[^｜]+""),""""),
       IFERROR(REGEXEXTRACT($N90,""^[^｜]+""),"""")&amp;""_""&amp;IFERROR(REGEXEXTRACT($M90,""^[^｜]+""),"""")
      )
     ),
     sy_mst!$A:$A,
     sy_mst!$D:$D
    ),
    0
   )
  )
  *
  IFERROR(XLOOKUP(REGEXEXTR"&amp;"ACT($I90,""^[^｜]+""),ms_mst!$A:$A,ms_mst!$L:$L),1)
  *
  IF(
   $B90&gt;=IFERROR(XLOOKUP(REGEXEXTRACT($L90,""^[^｜]+""),sk_mst!$A:$A,sk_mst!$M:$M),999),
   IFERROR(XLOOKUP(REGEXEXTRACT($L90,""^[^｜]+""),sk_mst!$A:$A,sk_mst!$F:$F),1),
   1
  )
 )
)"),1800.0)</f>
        <v>1800</v>
      </c>
      <c r="P90" s="25">
        <f>IFERROR(__xludf.DUMMYFUNCTION("IF($A90="""","""",
 IF($F90=""market"",
  IFERROR(XLOOKUP(REGEXEXTRACT($J90,""^[^｜]+""),tr_mst!$A:$A,tr_mst!$E:$E),0)
  +IFERROR(XLOOKUP(REGEXEXTRACT($K90,""^[^｜]+""),tc_mst!$A:$A,tc_mst!$E:$E),0),
  IF($B90=0,
   IFERROR(XLOOKUP(REGEXEXTRACT($I90,""^[^｜]"&amp;"+""),ms_mst!$A:$A,ms_mst!$E:$E),0),
   IFERROR(XLOOKUP(""T""&amp;($B90-1)&amp;""_""&amp;$D90,$A:$A,$P:$P),0)
  )
  +IFERROR(XLOOKUP(REGEXEXTRACT($J90,""^[^｜]+""),tr_mst!$A:$A,tr_mst!$E:$E),0)
  +IFERROR(XLOOKUP(REGEXEXTRACT($K90,""^[^｜]+""),tc_mst!$A:$A,tc_mst!$E:$E)"&amp;",0)
  +
  (
   IFERROR(XLOOKUP(REGEXEXTRACT($M90,""^[^｜]+""),ac_mst!$A:$A,ac_mst!$H:$H),0)
   +IFERROR(XLOOKUP(REGEXEXTRACT($N90,""^[^｜]+""),ac_mst!$A:$A,ac_mst!$H:$H),0)
   +IFERROR(
    XLOOKUP(
     IF(
      OR(
       IFERROR(REGEXEXTRACT($M90,""^[^｜"&amp;"]+""),"""")="""",
       IFERROR(REGEXEXTRACT($N90,""^[^｜]+""),"""")=""""
      ),
      """",
      IF(
       IFERROR(REGEXEXTRACT($M90,""^[^｜]+""),"""")&lt;IFERROR(REGEXEXTRACT($N90,""^[^｜]+""),""""),
       IFERROR(REGEXEXTRACT($M90,""^[^｜]+""),"""")&amp;""_"&amp;"""&amp;IFERROR(REGEXEXTRACT($N90,""^[^｜]+""),""""),
       IFERROR(REGEXEXTRACT($N90,""^[^｜]+""),"""")&amp;""_""&amp;IFERROR(REGEXEXTRACT($M90,""^[^｜]+""),"""")
      )
     ),
     sy_mst!$A:$A,
     sy_mst!$E:$E
    ),
    0
   )
  )
  *
  IFERROR(XLOOKUP(REGEXEXTR"&amp;"ACT($I90,""^[^｜]+""),ms_mst!$A:$A,ms_mst!$M:$M),1)
  *
  IF(
   $B90&gt;=IFERROR(XLOOKUP(REGEXEXTRACT($L90,""^[^｜]+""),sk_mst!$A:$A,sk_mst!$M:$M),999),
   IFERROR(XLOOKUP(REGEXEXTRACT($L90,""^[^｜]+""),sk_mst!$A:$A,sk_mst!$G:$G),1),
   1
  )
 )
)"),-490.0)</f>
        <v>-490</v>
      </c>
      <c r="Q90" s="25">
        <f>IFERROR(__xludf.DUMMYFUNCTION("IF($A90="""","""",
 IF($F90=""market"",
  IFERROR(XLOOKUP(REGEXEXTRACT($J90,""^[^｜]+""),tr_mst!$A:$A,tr_mst!$F:$F),0)
  +IFERROR(XLOOKUP(REGEXEXTRACT($K90,""^[^｜]+""),tc_mst!$A:$A,tc_mst!$F:$F),0),
  IF($B90=0,
   IFERROR(XLOOKUP(REGEXEXTRACT($I90,""^[^｜]"&amp;"+""),ms_mst!$A:$A,ms_mst!$F:$F),0),
   IFERROR(XLOOKUP(""T""&amp;($B90-1)&amp;""_""&amp;$D90,$A:$A,$Q:$Q),0)
  )
  +IFERROR(XLOOKUP(REGEXEXTRACT($J90,""^[^｜]+""),tr_mst!$A:$A,tr_mst!$F:$F),0)
  +IFERROR(XLOOKUP(REGEXEXTRACT($K90,""^[^｜]+""),tc_mst!$A:$A,tc_mst!$F:$F)"&amp;",0)
  +
  (
   IFERROR(XLOOKUP(REGEXEXTRACT($M90,""^[^｜]+""),ac_mst!$A:$A,ac_mst!$I:$I),0)
   +IFERROR(XLOOKUP(REGEXEXTRACT($N90,""^[^｜]+""),ac_mst!$A:$A,ac_mst!$I:$I),0)
   +IFERROR(
    XLOOKUP(
     IF(
      OR(
       IFERROR(REGEXEXTRACT($M90,""^[^｜"&amp;"]+""),"""")="""",
       IFERROR(REGEXEXTRACT($N90,""^[^｜]+""),"""")=""""
      ),
      """",
      IF(
       IFERROR(REGEXEXTRACT($M90,""^[^｜]+""),"""")&lt;IFERROR(REGEXEXTRACT($N90,""^[^｜]+""),""""),
       IFERROR(REGEXEXTRACT($M90,""^[^｜]+""),"""")&amp;""_"&amp;"""&amp;IFERROR(REGEXEXTRACT($N90,""^[^｜]+""),""""),
       IFERROR(REGEXEXTRACT($N90,""^[^｜]+""),"""")&amp;""_""&amp;IFERROR(REGEXEXTRACT($M90,""^[^｜]+""),"""")
      )
     ),
     sy_mst!$A:$A,
     sy_mst!$F:$F
    ),
    0
   )
  )
  *
  IFERROR(XLOOKUP(REGEXEXTR"&amp;"ACT($I90,""^[^｜]+""),ms_mst!$A:$A,ms_mst!$N:$N),1)
  *
  IF(
   $B90&gt;=IFERROR(XLOOKUP(REGEXEXTRACT($L90,""^[^｜]+""),sk_mst!$A:$A,sk_mst!$M:$M),999),
   IFERROR(XLOOKUP(REGEXEXTRACT($L90,""^[^｜]+""),sk_mst!$A:$A,sk_mst!$H:$H),1),
   1
  )
 )
)"),0.06)</f>
        <v>0.06</v>
      </c>
      <c r="R90" s="25">
        <f>IFERROR(__xludf.DUMMYFUNCTION("IF($A90="""","""",
 IF($F90=""market"",
  IFERROR(XLOOKUP(REGEXEXTRACT($J90,""^[^｜]+""),tr_mst!$A:$A,tr_mst!$G:$G),0)
  +IFERROR(XLOOKUP(REGEXEXTRACT($K90,""^[^｜]+""),tc_mst!$A:$A,tc_mst!$G:$G),0),
  IF($B90=0,
   IFERROR(XLOOKUP(REGEXEXTRACT($I90,""^[^｜]"&amp;"+""),ms_mst!$A:$A,ms_mst!$G:$G),0),
   IFERROR(XLOOKUP(""T""&amp;($B90-1)&amp;""_""&amp;$D90,$A:$A,$R:$R),0)
  )
  +IFERROR(XLOOKUP(REGEXEXTRACT($J90,""^[^｜]+""),tr_mst!$A:$A,tr_mst!$G:$G),0)
  +IFERROR(XLOOKUP(REGEXEXTRACT($K90,""^[^｜]+""),tc_mst!$A:$A,tc_mst!$G:$G)"&amp;",0)
  +
  (
   IFERROR(XLOOKUP(REGEXEXTRACT($M90,""^[^｜]+""),ac_mst!$A:$A,ac_mst!$J:$J),0)
   +IFERROR(XLOOKUP(REGEXEXTRACT($N90,""^[^｜]+""),ac_mst!$A:$A,ac_mst!$J:$J),0)
   +IFERROR(
    XLOOKUP(
     IF(
      OR(
       IFERROR(REGEXEXTRACT($M90,""^[^｜"&amp;"]+""),"""")="""",
       IFERROR(REGEXEXTRACT($N90,""^[^｜]+""),"""")=""""
      ),
      """",
      IF(
       IFERROR(REGEXEXTRACT($M90,""^[^｜]+""),"""")&lt;IFERROR(REGEXEXTRACT($N90,""^[^｜]+""),""""),
       IFERROR(REGEXEXTRACT($M90,""^[^｜]+""),"""")&amp;""_"&amp;"""&amp;IFERROR(REGEXEXTRACT($N90,""^[^｜]+""),""""),
       IFERROR(REGEXEXTRACT($N90,""^[^｜]+""),"""")&amp;""_""&amp;IFERROR(REGEXEXTRACT($M90,""^[^｜]+""),"""")
      )
     ),
     sy_mst!$A:$A,
     sy_mst!$G:$G
    ),
    0
   )
  )
  *
  IFERROR(XLOOKUP(REGEXEXTR"&amp;"ACT($I90,""^[^｜]+""),ms_mst!$A:$A,ms_mst!$O:$O),1)
  *
  IF(
   $B90&gt;=IFERROR(XLOOKUP(REGEXEXTRACT($L90,""^[^｜]+""),sk_mst!$A:$A,sk_mst!$M:$M),999),
   IFERROR(XLOOKUP(REGEXEXTRACT($L90,""^[^｜]+""),sk_mst!$A:$A,sk_mst!$I:$I),1),
   1
  )
 )
)"),0.009999999999999997)</f>
        <v>0.01</v>
      </c>
      <c r="S90" s="25">
        <f>IFERROR(__xludf.DUMMYFUNCTION("IF($A90="""","""",
 IF($F90=""market"",
  IFERROR(XLOOKUP(REGEXEXTRACT($J90,""^[^｜]+""),tr_mst!$A:$A,tr_mst!$H:$H),0)
  +IFERROR(XLOOKUP(REGEXEXTRACT($K90,""^[^｜]+""),tc_mst!$A:$A,tc_mst!$H:$H),0),
  IF($B90=0,
   IFERROR(XLOOKUP(REGEXEXTRACT($I90,""^[^｜]"&amp;"+""),ms_mst!$A:$A,ms_mst!$H:$H),0),
   IFERROR(XLOOKUP(""T""&amp;($B90-1)&amp;""_""&amp;$D90,$A:$A,$S:$S),0)
  )
  +IFERROR(XLOOKUP(REGEXEXTRACT($J90,""^[^｜]+""),tr_mst!$A:$A,tr_mst!$H:$H),0)
  +IFERROR(XLOOKUP(REGEXEXTRACT($K90,""^[^｜]+""),tc_mst!$A:$A,tc_mst!$H:$H)"&amp;",0)
  +
  (
   IFERROR(XLOOKUP(REGEXEXTRACT($M90,""^[^｜]+""),ac_mst!$A:$A,ac_mst!$K:$K),0)
   +IFERROR(XLOOKUP(REGEXEXTRACT($N90,""^[^｜]+""),ac_mst!$A:$A,ac_mst!$K:$K),0)
   +IFERROR(
    XLOOKUP(
     IF(
      OR(
       IFERROR(REGEXEXTRACT($M90,""^[^｜"&amp;"]+""),"""")="""",
       IFERROR(REGEXEXTRACT($N90,""^[^｜]+""),"""")=""""
      ),
      """",
      IF(
       IFERROR(REGEXEXTRACT($M90,""^[^｜]+""),"""")&lt;IFERROR(REGEXEXTRACT($N90,""^[^｜]+""),""""),
       IFERROR(REGEXEXTRACT($M90,""^[^｜]+""),"""")&amp;""_"&amp;"""&amp;IFERROR(REGEXEXTRACT($N90,""^[^｜]+""),""""),
       IFERROR(REGEXEXTRACT($N90,""^[^｜]+""),"""")&amp;""_""&amp;IFERROR(REGEXEXTRACT($M90,""^[^｜]+""),"""")
      )
     ),
     sy_mst!$A:$A,
     sy_mst!$H:$H
    ),
    0
   )
  )
  *
  IFERROR(XLOOKUP(REGEXEXTR"&amp;"ACT($I90,""^[^｜]+""),ms_mst!$A:$A,ms_mst!$P:$P),1)
  *
  IF(
   $B90&gt;=IFERROR(XLOOKUP(REGEXEXTRACT($L90,""^[^｜]+""),sk_mst!$A:$A,sk_mst!$M:$M),999),
   IFERROR(XLOOKUP(REGEXEXTRACT($L90,""^[^｜]+""),sk_mst!$A:$A,sk_mst!$J:$J),1),
   1
  )
 )
)"),9.999999999999983E-5)</f>
        <v>0.0001</v>
      </c>
      <c r="T90" s="25">
        <f>IFERROR(__xludf.DUMMYFUNCTION("IF($A90="""","""",
 IF($F90=""market"",
  IFERROR(XLOOKUP(REGEXEXTRACT($J90,""^[^｜]+""),tr_mst!$A:$A,tr_mst!$I:$I),0)
  +IFERROR(XLOOKUP(REGEXEXTRACT($K90,""^[^｜]+""),tc_mst!$A:$A,tc_mst!$I:$I),0),
  IF($B90=0,
   IFERROR(XLOOKUP(REGEXEXTRACT($I90,""^[^｜]"&amp;"+""),ms_mst!$A:$A,ms_mst!$I:$I),0),
   IFERROR(XLOOKUP(""T""&amp;($B90-1)&amp;""_""&amp;$D90,$A:$A,$T:$T),0)
  )
  +IFERROR(XLOOKUP(REGEXEXTRACT($J90,""^[^｜]+""),tr_mst!$A:$A,tr_mst!$I:$I),0)
  +IFERROR(XLOOKUP(REGEXEXTRACT($K90,""^[^｜]+""),tc_mst!$A:$A,tc_mst!$I:$I)"&amp;",0)
  +
  (
   IFERROR(XLOOKUP(REGEXEXTRACT($M90,""^[^｜]+""),ac_mst!$A:$A,ac_mst!$L:$L),0)
   +IFERROR(XLOOKUP(REGEXEXTRACT($N90,""^[^｜]+""),ac_mst!$A:$A,ac_mst!$L:$L),0)
   +IFERROR(
    XLOOKUP(
     IF(
      OR(
       IFERROR(REGEXEXTRACT($M90,""^[^｜"&amp;"]+""),"""")="""",
       IFERROR(REGEXEXTRACT($N90,""^[^｜]+""),"""")=""""
      ),
      """",
      IF(
       IFERROR(REGEXEXTRACT($M90,""^[^｜]+""),"""")&lt;IFERROR(REGEXEXTRACT($N90,""^[^｜]+""),""""),
       IFERROR(REGEXEXTRACT($M90,""^[^｜]+""),"""")&amp;""_"&amp;"""&amp;IFERROR(REGEXEXTRACT($N90,""^[^｜]+""),""""),
       IFERROR(REGEXEXTRACT($N90,""^[^｜]+""),"""")&amp;""_""&amp;IFERROR(REGEXEXTRACT($M90,""^[^｜]+""),"""")
      )
     ),
     sy_mst!$A:$A,
     sy_mst!$I:$I
    ),
    0
   )
  )
  *
  IFERROR(XLOOKUP(REGEXEXTR"&amp;"ACT($I90,""^[^｜]+""),ms_mst!$A:$A,ms_mst!$Q:$Q),1)
  *
  IF(
   $B90&gt;=IFERROR(XLOOKUP(REGEXEXTRACT($L90,""^[^｜]+""),sk_mst!$A:$A,sk_mst!$M:$M),999),
   IFERROR(XLOOKUP(REGEXEXTRACT($L90,""^[^｜]+""),sk_mst!$A:$A,sk_mst!$K:$K),1),
   1
  )
 )
)"),400.0)</f>
        <v>400</v>
      </c>
      <c r="U90" s="25">
        <f>IFERROR(__xludf.DUMMYFUNCTION("IF($A90="""","""",
 IF($F90=""market"",
  IFERROR(XLOOKUP(REGEXEXTRACT($J90,""^[^｜]+""),tr_mst!$A:$A,tr_mst!$J:$J),0)
  +IFERROR(XLOOKUP(REGEXEXTRACT($K90,""^[^｜]+""),tc_mst!$A:$A,tc_mst!$J:$J),0),
  IF($B90=0,
   IFERROR(XLOOKUP(REGEXEXTRACT($I90,""^[^｜]"&amp;"+""),ms_mst!$A:$A,ms_mst!$J:$J),0),
   IFERROR(XLOOKUP(""T""&amp;($B90-1)&amp;""_""&amp;$D90,$A:$A,$U:$U),0)
  )
  +IFERROR(XLOOKUP(REGEXEXTRACT($J90,""^[^｜]+""),tr_mst!$A:$A,tr_mst!$J:$J),0)
  +IFERROR(XLOOKUP(REGEXEXTRACT($K90,""^[^｜]+""),tc_mst!$A:$A,tc_mst!$J:$J)"&amp;",0)
  +
  (
   IFERROR(XLOOKUP(REGEXEXTRACT($M90,""^[^｜]+""),ac_mst!$A:$A,ac_mst!$M:$M),0)
   +IFERROR(XLOOKUP(REGEXEXTRACT($N90,""^[^｜]+""),ac_mst!$A:$A,ac_mst!$M:$M),0)
   +IFERROR(
    XLOOKUP(
     IF(
      OR(
       IFERROR(REGEXEXTRACT($M90,""^[^｜"&amp;"]+""),"""")="""",
       IFERROR(REGEXEXTRACT($N90,""^[^｜]+""),"""")=""""
      ),
      """",
      IF(
       IFERROR(REGEXEXTRACT($M90,""^[^｜]+""),"""")&lt;IFERROR(REGEXEXTRACT($N90,""^[^｜]+""),""""),
       IFERROR(REGEXEXTRACT($M90,""^[^｜]+""),"""")&amp;""_"&amp;"""&amp;IFERROR(REGEXEXTRACT($N90,""^[^｜]+""),""""),
       IFERROR(REGEXEXTRACT($N90,""^[^｜]+""),"""")&amp;""_""&amp;IFERROR(REGEXEXTRACT($M90,""^[^｜]+""),"""")
      )
     ),
     sy_mst!$A:$A,
     sy_mst!$J:$J
    ),
    0
   )
  )
  *
  IFERROR(XLOOKUP(REGEXEXTR"&amp;"ACT($I90,""^[^｜]+""),ms_mst!$A:$A,ms_mst!$R:$R),1)
  *
  IF(
   $B90&gt;=IFERROR(XLOOKUP(REGEXEXTRACT($L90,""^[^｜]+""),sk_mst!$A:$A,sk_mst!$M:$M),999),
   IFERROR(XLOOKUP(REGEXEXTRACT($L90,""^[^｜]+""),sk_mst!$A:$A,sk_mst!$L:$L),1),
   1
  )
 )
)"),5.0)</f>
        <v>5</v>
      </c>
      <c r="V90" s="25">
        <f t="shared" si="1"/>
        <v>0</v>
      </c>
      <c r="W90" s="25">
        <f t="shared" si="2"/>
        <v>-2450</v>
      </c>
      <c r="X90" s="25">
        <f t="shared" si="3"/>
        <v>2450</v>
      </c>
      <c r="Y90" s="25">
        <f t="shared" si="4"/>
        <v>0</v>
      </c>
      <c r="Z90" s="25">
        <f>IFERROR(__xludf.DUMMYFUNCTION("IF($A90="""","""",
 IF($F90&lt;&gt;""player"","""",
  IFERROR(
   RANK(
    $X90,
    FILTER($X:$X,$B:$B=$B90,$F:$F=""player"",$X:$X&lt;&gt;""""),
    0
   ),
   """"
  )
 )
)"),8.0)</f>
        <v>8</v>
      </c>
      <c r="AA90" s="25" t="str">
        <f t="shared" si="5"/>
        <v>8位</v>
      </c>
      <c r="AB90" s="26">
        <f t="shared" si="6"/>
        <v>0</v>
      </c>
    </row>
    <row r="91">
      <c r="A91" s="25" t="s">
        <v>264</v>
      </c>
      <c r="B91" s="14">
        <v>6.0</v>
      </c>
      <c r="C91" s="14" t="s">
        <v>183</v>
      </c>
      <c r="D91" s="14" t="s">
        <v>184</v>
      </c>
      <c r="E91" s="25" t="s">
        <v>153</v>
      </c>
      <c r="F91" s="25" t="s">
        <v>154</v>
      </c>
      <c r="I91" s="25" t="str">
        <f>IFERROR(__xludf.DUMMYFUNCTION("IF($F91&lt;&gt;""player"","""",IFERROR(INDEX(FILTER(group_setup!$D$2:$D947,group_setup!$B$2:$B947=$C91,group_setup!$G$2:$G947=TRUE,group_setup!$H$2:$H947=""completed""),1),""""))"),"")</f>
        <v/>
      </c>
      <c r="J91" s="25" t="str">
        <f>IFERROR(__xludf.DUMMYFUNCTION("IFERROR(FILTER(market_event_log!$D$2:$D947,market_event_log!$C$2:$C947=$B91,market_event_log!$N$2:$N947=""active""),"""")"),"T04")</f>
        <v>T04</v>
      </c>
      <c r="K91" s="25" t="str">
        <f>IFERROR(__xludf.DUMMYFUNCTION("IFERROR(FILTER(market_event_log!$G$2:$G947,market_event_log!$C$2:$C947=$B91,market_event_log!$N$2:$N947=""active""),"""")"),"C04")</f>
        <v>C04</v>
      </c>
      <c r="L91" s="25" t="str">
        <f>IFERROR(__xludf.DUMMYFUNCTION("IF($F91&lt;&gt;""player"","""",IFERROR(INDEX(FILTER(group_setup!$E$2:$E947,group_setup!$B$2:$B947=$C91,group_setup!$G$2:$G947=TRUE,group_setup!$H$2:$H947=""completed""),1),""""))"),"")</f>
        <v/>
      </c>
      <c r="M91" s="25" t="str">
        <f>IFERROR(__xludf.DUMMYFUNCTION("IF($F91=""market"","""",IF($E91=""HUMAN"",IFERROR(FILTER(turn_log!$G$2:$G947,turn_log!$C$2:$C947=$B91,turn_log!$D$2:$D947=$C91,turn_log!$F$2:$F947=$E91),""""),IFERROR(FILTER(turn_log!$I$2:$I947,turn_log!$C$2:$C947=$B91,turn_log!$D$2:$D947=$C91,turn_log!$F"&amp;"$2:$F947=$E91),"""")))"),"")</f>
        <v/>
      </c>
      <c r="N91" s="25" t="str">
        <f>IFERROR(__xludf.DUMMYFUNCTION("IF($F91=""market"","""",IF($E91=""HUMAN"",IFERROR(FILTER(turn_log!$H$2:$H947,turn_log!$C$2:$C947=$B91,turn_log!$D$2:$D947=$C91,turn_log!$F$2:$F947=$E91),""""),IFERROR(FILTER(turn_log!$J$2:$J947,turn_log!$C$2:$C947=$B91,turn_log!$D$2:$D947=$C91,turn_log!$F"&amp;"$2:$F947=$E91),"""")))"),"")</f>
        <v/>
      </c>
      <c r="O91" s="25">
        <f>IFERROR(__xludf.DUMMYFUNCTION("IF($A91="""","""",
 IF($F91=""market"",
  IFERROR(XLOOKUP(REGEXEXTRACT($J91,""^[^｜]+""),tr_mst!$A:$A,tr_mst!$D:$D),0)
  +IFERROR(XLOOKUP(REGEXEXTRACT($K91,""^[^｜]+""),tc_mst!$A:$A,tc_mst!$D:$D),0),
  IF($B91=0,
   IFERROR(XLOOKUP(REGEXEXTRACT($I91,""^[^｜]"&amp;"+""),ms_mst!$A:$A,ms_mst!$D:$D),0),
   IFERROR(XLOOKUP(""T""&amp;($B91-1)&amp;""_""&amp;$D91,$A:$A,$O:$O),0)
  )
  +IFERROR(XLOOKUP(REGEXEXTRACT($J91,""^[^｜]+""),tr_mst!$A:$A,tr_mst!$D:$D),0)
  +IFERROR(XLOOKUP(REGEXEXTRACT($K91,""^[^｜]+""),tc_mst!$A:$A,tc_mst!$D:$D)"&amp;",0)
  +
  (
   IFERROR(XLOOKUP(REGEXEXTRACT($M91,""^[^｜]+""),ac_mst!$A:$A,ac_mst!$G:$G),0)
   +IFERROR(XLOOKUP(REGEXEXTRACT($N91,""^[^｜]+""),ac_mst!$A:$A,ac_mst!$G:$G),0)
   +IFERROR(
    XLOOKUP(
     IF(
      OR(
       IFERROR(REGEXEXTRACT($M91,""^[^｜"&amp;"]+""),"""")="""",
       IFERROR(REGEXEXTRACT($N91,""^[^｜]+""),"""")=""""
      ),
      """",
      IF(
       IFERROR(REGEXEXTRACT($M91,""^[^｜]+""),"""")&lt;IFERROR(REGEXEXTRACT($N91,""^[^｜]+""),""""),
       IFERROR(REGEXEXTRACT($M91,""^[^｜]+""),"""")&amp;""_"&amp;"""&amp;IFERROR(REGEXEXTRACT($N91,""^[^｜]+""),""""),
       IFERROR(REGEXEXTRACT($N91,""^[^｜]+""),"""")&amp;""_""&amp;IFERROR(REGEXEXTRACT($M91,""^[^｜]+""),"""")
      )
     ),
     sy_mst!$A:$A,
     sy_mst!$D:$D
    ),
    0
   )
  )
  *
  IFERROR(XLOOKUP(REGEXEXTR"&amp;"ACT($I91,""^[^｜]+""),ms_mst!$A:$A,ms_mst!$L:$L),1)
  *
  IF(
   $B91&gt;=IFERROR(XLOOKUP(REGEXEXTRACT($L91,""^[^｜]+""),sk_mst!$A:$A,sk_mst!$M:$M),999),
   IFERROR(XLOOKUP(REGEXEXTRACT($L91,""^[^｜]+""),sk_mst!$A:$A,sk_mst!$F:$F),1),
   1
  )
 )
)"),1800.0)</f>
        <v>1800</v>
      </c>
      <c r="P91" s="25">
        <f>IFERROR(__xludf.DUMMYFUNCTION("IF($A91="""","""",
 IF($F91=""market"",
  IFERROR(XLOOKUP(REGEXEXTRACT($J91,""^[^｜]+""),tr_mst!$A:$A,tr_mst!$E:$E),0)
  +IFERROR(XLOOKUP(REGEXEXTRACT($K91,""^[^｜]+""),tc_mst!$A:$A,tc_mst!$E:$E),0),
  IF($B91=0,
   IFERROR(XLOOKUP(REGEXEXTRACT($I91,""^[^｜]"&amp;"+""),ms_mst!$A:$A,ms_mst!$E:$E),0),
   IFERROR(XLOOKUP(""T""&amp;($B91-1)&amp;""_""&amp;$D91,$A:$A,$P:$P),0)
  )
  +IFERROR(XLOOKUP(REGEXEXTRACT($J91,""^[^｜]+""),tr_mst!$A:$A,tr_mst!$E:$E),0)
  +IFERROR(XLOOKUP(REGEXEXTRACT($K91,""^[^｜]+""),tc_mst!$A:$A,tc_mst!$E:$E)"&amp;",0)
  +
  (
   IFERROR(XLOOKUP(REGEXEXTRACT($M91,""^[^｜]+""),ac_mst!$A:$A,ac_mst!$H:$H),0)
   +IFERROR(XLOOKUP(REGEXEXTRACT($N91,""^[^｜]+""),ac_mst!$A:$A,ac_mst!$H:$H),0)
   +IFERROR(
    XLOOKUP(
     IF(
      OR(
       IFERROR(REGEXEXTRACT($M91,""^[^｜"&amp;"]+""),"""")="""",
       IFERROR(REGEXEXTRACT($N91,""^[^｜]+""),"""")=""""
      ),
      """",
      IF(
       IFERROR(REGEXEXTRACT($M91,""^[^｜]+""),"""")&lt;IFERROR(REGEXEXTRACT($N91,""^[^｜]+""),""""),
       IFERROR(REGEXEXTRACT($M91,""^[^｜]+""),"""")&amp;""_"&amp;"""&amp;IFERROR(REGEXEXTRACT($N91,""^[^｜]+""),""""),
       IFERROR(REGEXEXTRACT($N91,""^[^｜]+""),"""")&amp;""_""&amp;IFERROR(REGEXEXTRACT($M91,""^[^｜]+""),"""")
      )
     ),
     sy_mst!$A:$A,
     sy_mst!$E:$E
    ),
    0
   )
  )
  *
  IFERROR(XLOOKUP(REGEXEXTR"&amp;"ACT($I91,""^[^｜]+""),ms_mst!$A:$A,ms_mst!$M:$M),1)
  *
  IF(
   $B91&gt;=IFERROR(XLOOKUP(REGEXEXTRACT($L91,""^[^｜]+""),sk_mst!$A:$A,sk_mst!$M:$M),999),
   IFERROR(XLOOKUP(REGEXEXTRACT($L91,""^[^｜]+""),sk_mst!$A:$A,sk_mst!$G:$G),1),
   1
  )
 )
)"),-490.0)</f>
        <v>-490</v>
      </c>
      <c r="Q91" s="25">
        <f>IFERROR(__xludf.DUMMYFUNCTION("IF($A91="""","""",
 IF($F91=""market"",
  IFERROR(XLOOKUP(REGEXEXTRACT($J91,""^[^｜]+""),tr_mst!$A:$A,tr_mst!$F:$F),0)
  +IFERROR(XLOOKUP(REGEXEXTRACT($K91,""^[^｜]+""),tc_mst!$A:$A,tc_mst!$F:$F),0),
  IF($B91=0,
   IFERROR(XLOOKUP(REGEXEXTRACT($I91,""^[^｜]"&amp;"+""),ms_mst!$A:$A,ms_mst!$F:$F),0),
   IFERROR(XLOOKUP(""T""&amp;($B91-1)&amp;""_""&amp;$D91,$A:$A,$Q:$Q),0)
  )
  +IFERROR(XLOOKUP(REGEXEXTRACT($J91,""^[^｜]+""),tr_mst!$A:$A,tr_mst!$F:$F),0)
  +IFERROR(XLOOKUP(REGEXEXTRACT($K91,""^[^｜]+""),tc_mst!$A:$A,tc_mst!$F:$F)"&amp;",0)
  +
  (
   IFERROR(XLOOKUP(REGEXEXTRACT($M91,""^[^｜]+""),ac_mst!$A:$A,ac_mst!$I:$I),0)
   +IFERROR(XLOOKUP(REGEXEXTRACT($N91,""^[^｜]+""),ac_mst!$A:$A,ac_mst!$I:$I),0)
   +IFERROR(
    XLOOKUP(
     IF(
      OR(
       IFERROR(REGEXEXTRACT($M91,""^[^｜"&amp;"]+""),"""")="""",
       IFERROR(REGEXEXTRACT($N91,""^[^｜]+""),"""")=""""
      ),
      """",
      IF(
       IFERROR(REGEXEXTRACT($M91,""^[^｜]+""),"""")&lt;IFERROR(REGEXEXTRACT($N91,""^[^｜]+""),""""),
       IFERROR(REGEXEXTRACT($M91,""^[^｜]+""),"""")&amp;""_"&amp;"""&amp;IFERROR(REGEXEXTRACT($N91,""^[^｜]+""),""""),
       IFERROR(REGEXEXTRACT($N91,""^[^｜]+""),"""")&amp;""_""&amp;IFERROR(REGEXEXTRACT($M91,""^[^｜]+""),"""")
      )
     ),
     sy_mst!$A:$A,
     sy_mst!$F:$F
    ),
    0
   )
  )
  *
  IFERROR(XLOOKUP(REGEXEXTR"&amp;"ACT($I91,""^[^｜]+""),ms_mst!$A:$A,ms_mst!$N:$N),1)
  *
  IF(
   $B91&gt;=IFERROR(XLOOKUP(REGEXEXTRACT($L91,""^[^｜]+""),sk_mst!$A:$A,sk_mst!$M:$M),999),
   IFERROR(XLOOKUP(REGEXEXTRACT($L91,""^[^｜]+""),sk_mst!$A:$A,sk_mst!$H:$H),1),
   1
  )
 )
)"),0.06)</f>
        <v>0.06</v>
      </c>
      <c r="R91" s="25">
        <f>IFERROR(__xludf.DUMMYFUNCTION("IF($A91="""","""",
 IF($F91=""market"",
  IFERROR(XLOOKUP(REGEXEXTRACT($J91,""^[^｜]+""),tr_mst!$A:$A,tr_mst!$G:$G),0)
  +IFERROR(XLOOKUP(REGEXEXTRACT($K91,""^[^｜]+""),tc_mst!$A:$A,tc_mst!$G:$G),0),
  IF($B91=0,
   IFERROR(XLOOKUP(REGEXEXTRACT($I91,""^[^｜]"&amp;"+""),ms_mst!$A:$A,ms_mst!$G:$G),0),
   IFERROR(XLOOKUP(""T""&amp;($B91-1)&amp;""_""&amp;$D91,$A:$A,$R:$R),0)
  )
  +IFERROR(XLOOKUP(REGEXEXTRACT($J91,""^[^｜]+""),tr_mst!$A:$A,tr_mst!$G:$G),0)
  +IFERROR(XLOOKUP(REGEXEXTRACT($K91,""^[^｜]+""),tc_mst!$A:$A,tc_mst!$G:$G)"&amp;",0)
  +
  (
   IFERROR(XLOOKUP(REGEXEXTRACT($M91,""^[^｜]+""),ac_mst!$A:$A,ac_mst!$J:$J),0)
   +IFERROR(XLOOKUP(REGEXEXTRACT($N91,""^[^｜]+""),ac_mst!$A:$A,ac_mst!$J:$J),0)
   +IFERROR(
    XLOOKUP(
     IF(
      OR(
       IFERROR(REGEXEXTRACT($M91,""^[^｜"&amp;"]+""),"""")="""",
       IFERROR(REGEXEXTRACT($N91,""^[^｜]+""),"""")=""""
      ),
      """",
      IF(
       IFERROR(REGEXEXTRACT($M91,""^[^｜]+""),"""")&lt;IFERROR(REGEXEXTRACT($N91,""^[^｜]+""),""""),
       IFERROR(REGEXEXTRACT($M91,""^[^｜]+""),"""")&amp;""_"&amp;"""&amp;IFERROR(REGEXEXTRACT($N91,""^[^｜]+""),""""),
       IFERROR(REGEXEXTRACT($N91,""^[^｜]+""),"""")&amp;""_""&amp;IFERROR(REGEXEXTRACT($M91,""^[^｜]+""),"""")
      )
     ),
     sy_mst!$A:$A,
     sy_mst!$G:$G
    ),
    0
   )
  )
  *
  IFERROR(XLOOKUP(REGEXEXTR"&amp;"ACT($I91,""^[^｜]+""),ms_mst!$A:$A,ms_mst!$O:$O),1)
  *
  IF(
   $B91&gt;=IFERROR(XLOOKUP(REGEXEXTRACT($L91,""^[^｜]+""),sk_mst!$A:$A,sk_mst!$M:$M),999),
   IFERROR(XLOOKUP(REGEXEXTRACT($L91,""^[^｜]+""),sk_mst!$A:$A,sk_mst!$I:$I),1),
   1
  )
 )
)"),0.009999999999999997)</f>
        <v>0.01</v>
      </c>
      <c r="S91" s="25">
        <f>IFERROR(__xludf.DUMMYFUNCTION("IF($A91="""","""",
 IF($F91=""market"",
  IFERROR(XLOOKUP(REGEXEXTRACT($J91,""^[^｜]+""),tr_mst!$A:$A,tr_mst!$H:$H),0)
  +IFERROR(XLOOKUP(REGEXEXTRACT($K91,""^[^｜]+""),tc_mst!$A:$A,tc_mst!$H:$H),0),
  IF($B91=0,
   IFERROR(XLOOKUP(REGEXEXTRACT($I91,""^[^｜]"&amp;"+""),ms_mst!$A:$A,ms_mst!$H:$H),0),
   IFERROR(XLOOKUP(""T""&amp;($B91-1)&amp;""_""&amp;$D91,$A:$A,$S:$S),0)
  )
  +IFERROR(XLOOKUP(REGEXEXTRACT($J91,""^[^｜]+""),tr_mst!$A:$A,tr_mst!$H:$H),0)
  +IFERROR(XLOOKUP(REGEXEXTRACT($K91,""^[^｜]+""),tc_mst!$A:$A,tc_mst!$H:$H)"&amp;",0)
  +
  (
   IFERROR(XLOOKUP(REGEXEXTRACT($M91,""^[^｜]+""),ac_mst!$A:$A,ac_mst!$K:$K),0)
   +IFERROR(XLOOKUP(REGEXEXTRACT($N91,""^[^｜]+""),ac_mst!$A:$A,ac_mst!$K:$K),0)
   +IFERROR(
    XLOOKUP(
     IF(
      OR(
       IFERROR(REGEXEXTRACT($M91,""^[^｜"&amp;"]+""),"""")="""",
       IFERROR(REGEXEXTRACT($N91,""^[^｜]+""),"""")=""""
      ),
      """",
      IF(
       IFERROR(REGEXEXTRACT($M91,""^[^｜]+""),"""")&lt;IFERROR(REGEXEXTRACT($N91,""^[^｜]+""),""""),
       IFERROR(REGEXEXTRACT($M91,""^[^｜]+""),"""")&amp;""_"&amp;"""&amp;IFERROR(REGEXEXTRACT($N91,""^[^｜]+""),""""),
       IFERROR(REGEXEXTRACT($N91,""^[^｜]+""),"""")&amp;""_""&amp;IFERROR(REGEXEXTRACT($M91,""^[^｜]+""),"""")
      )
     ),
     sy_mst!$A:$A,
     sy_mst!$H:$H
    ),
    0
   )
  )
  *
  IFERROR(XLOOKUP(REGEXEXTR"&amp;"ACT($I91,""^[^｜]+""),ms_mst!$A:$A,ms_mst!$P:$P),1)
  *
  IF(
   $B91&gt;=IFERROR(XLOOKUP(REGEXEXTRACT($L91,""^[^｜]+""),sk_mst!$A:$A,sk_mst!$M:$M),999),
   IFERROR(XLOOKUP(REGEXEXTRACT($L91,""^[^｜]+""),sk_mst!$A:$A,sk_mst!$J:$J),1),
   1
  )
 )
)"),9.999999999999983E-5)</f>
        <v>0.0001</v>
      </c>
      <c r="T91" s="25">
        <f>IFERROR(__xludf.DUMMYFUNCTION("IF($A91="""","""",
 IF($F91=""market"",
  IFERROR(XLOOKUP(REGEXEXTRACT($J91,""^[^｜]+""),tr_mst!$A:$A,tr_mst!$I:$I),0)
  +IFERROR(XLOOKUP(REGEXEXTRACT($K91,""^[^｜]+""),tc_mst!$A:$A,tc_mst!$I:$I),0),
  IF($B91=0,
   IFERROR(XLOOKUP(REGEXEXTRACT($I91,""^[^｜]"&amp;"+""),ms_mst!$A:$A,ms_mst!$I:$I),0),
   IFERROR(XLOOKUP(""T""&amp;($B91-1)&amp;""_""&amp;$D91,$A:$A,$T:$T),0)
  )
  +IFERROR(XLOOKUP(REGEXEXTRACT($J91,""^[^｜]+""),tr_mst!$A:$A,tr_mst!$I:$I),0)
  +IFERROR(XLOOKUP(REGEXEXTRACT($K91,""^[^｜]+""),tc_mst!$A:$A,tc_mst!$I:$I)"&amp;",0)
  +
  (
   IFERROR(XLOOKUP(REGEXEXTRACT($M91,""^[^｜]+""),ac_mst!$A:$A,ac_mst!$L:$L),0)
   +IFERROR(XLOOKUP(REGEXEXTRACT($N91,""^[^｜]+""),ac_mst!$A:$A,ac_mst!$L:$L),0)
   +IFERROR(
    XLOOKUP(
     IF(
      OR(
       IFERROR(REGEXEXTRACT($M91,""^[^｜"&amp;"]+""),"""")="""",
       IFERROR(REGEXEXTRACT($N91,""^[^｜]+""),"""")=""""
      ),
      """",
      IF(
       IFERROR(REGEXEXTRACT($M91,""^[^｜]+""),"""")&lt;IFERROR(REGEXEXTRACT($N91,""^[^｜]+""),""""),
       IFERROR(REGEXEXTRACT($M91,""^[^｜]+""),"""")&amp;""_"&amp;"""&amp;IFERROR(REGEXEXTRACT($N91,""^[^｜]+""),""""),
       IFERROR(REGEXEXTRACT($N91,""^[^｜]+""),"""")&amp;""_""&amp;IFERROR(REGEXEXTRACT($M91,""^[^｜]+""),"""")
      )
     ),
     sy_mst!$A:$A,
     sy_mst!$I:$I
    ),
    0
   )
  )
  *
  IFERROR(XLOOKUP(REGEXEXTR"&amp;"ACT($I91,""^[^｜]+""),ms_mst!$A:$A,ms_mst!$Q:$Q),1)
  *
  IF(
   $B91&gt;=IFERROR(XLOOKUP(REGEXEXTRACT($L91,""^[^｜]+""),sk_mst!$A:$A,sk_mst!$M:$M),999),
   IFERROR(XLOOKUP(REGEXEXTRACT($L91,""^[^｜]+""),sk_mst!$A:$A,sk_mst!$K:$K),1),
   1
  )
 )
)"),400.0)</f>
        <v>400</v>
      </c>
      <c r="U91" s="25">
        <f>IFERROR(__xludf.DUMMYFUNCTION("IF($A91="""","""",
 IF($F91=""market"",
  IFERROR(XLOOKUP(REGEXEXTRACT($J91,""^[^｜]+""),tr_mst!$A:$A,tr_mst!$J:$J),0)
  +IFERROR(XLOOKUP(REGEXEXTRACT($K91,""^[^｜]+""),tc_mst!$A:$A,tc_mst!$J:$J),0),
  IF($B91=0,
   IFERROR(XLOOKUP(REGEXEXTRACT($I91,""^[^｜]"&amp;"+""),ms_mst!$A:$A,ms_mst!$J:$J),0),
   IFERROR(XLOOKUP(""T""&amp;($B91-1)&amp;""_""&amp;$D91,$A:$A,$U:$U),0)
  )
  +IFERROR(XLOOKUP(REGEXEXTRACT($J91,""^[^｜]+""),tr_mst!$A:$A,tr_mst!$J:$J),0)
  +IFERROR(XLOOKUP(REGEXEXTRACT($K91,""^[^｜]+""),tc_mst!$A:$A,tc_mst!$J:$J)"&amp;",0)
  +
  (
   IFERROR(XLOOKUP(REGEXEXTRACT($M91,""^[^｜]+""),ac_mst!$A:$A,ac_mst!$M:$M),0)
   +IFERROR(XLOOKUP(REGEXEXTRACT($N91,""^[^｜]+""),ac_mst!$A:$A,ac_mst!$M:$M),0)
   +IFERROR(
    XLOOKUP(
     IF(
      OR(
       IFERROR(REGEXEXTRACT($M91,""^[^｜"&amp;"]+""),"""")="""",
       IFERROR(REGEXEXTRACT($N91,""^[^｜]+""),"""")=""""
      ),
      """",
      IF(
       IFERROR(REGEXEXTRACT($M91,""^[^｜]+""),"""")&lt;IFERROR(REGEXEXTRACT($N91,""^[^｜]+""),""""),
       IFERROR(REGEXEXTRACT($M91,""^[^｜]+""),"""")&amp;""_"&amp;"""&amp;IFERROR(REGEXEXTRACT($N91,""^[^｜]+""),""""),
       IFERROR(REGEXEXTRACT($N91,""^[^｜]+""),"""")&amp;""_""&amp;IFERROR(REGEXEXTRACT($M91,""^[^｜]+""),"""")
      )
     ),
     sy_mst!$A:$A,
     sy_mst!$J:$J
    ),
    0
   )
  )
  *
  IFERROR(XLOOKUP(REGEXEXTR"&amp;"ACT($I91,""^[^｜]+""),ms_mst!$A:$A,ms_mst!$R:$R),1)
  *
  IF(
   $B91&gt;=IFERROR(XLOOKUP(REGEXEXTRACT($L91,""^[^｜]+""),sk_mst!$A:$A,sk_mst!$M:$M),999),
   IFERROR(XLOOKUP(REGEXEXTRACT($L91,""^[^｜]+""),sk_mst!$A:$A,sk_mst!$L:$L),1),
   1
  )
 )
)"),5.0)</f>
        <v>5</v>
      </c>
      <c r="V91" s="25">
        <f t="shared" si="1"/>
        <v>0</v>
      </c>
      <c r="W91" s="25">
        <f t="shared" si="2"/>
        <v>-2450</v>
      </c>
      <c r="X91" s="25">
        <f t="shared" si="3"/>
        <v>2450</v>
      </c>
      <c r="Y91" s="25">
        <f t="shared" si="4"/>
        <v>0</v>
      </c>
      <c r="Z91" s="25">
        <f>IFERROR(__xludf.DUMMYFUNCTION("IF($A91="""","""",
 IF($F91&lt;&gt;""player"","""",
  IFERROR(
   RANK(
    $X91,
    FILTER($X:$X,$B:$B=$B91,$F:$F=""player"",$X:$X&lt;&gt;""""),
    0
   ),
   """"
  )
 )
)"),8.0)</f>
        <v>8</v>
      </c>
      <c r="AA91" s="25" t="str">
        <f t="shared" si="5"/>
        <v>8位</v>
      </c>
      <c r="AB91" s="26">
        <f t="shared" si="6"/>
        <v>0</v>
      </c>
    </row>
    <row r="92">
      <c r="A92" s="25" t="s">
        <v>265</v>
      </c>
      <c r="B92" s="14">
        <v>6.0</v>
      </c>
      <c r="C92" s="14" t="s">
        <v>186</v>
      </c>
      <c r="D92" s="14" t="s">
        <v>187</v>
      </c>
      <c r="E92" s="25" t="s">
        <v>153</v>
      </c>
      <c r="F92" s="25" t="s">
        <v>154</v>
      </c>
      <c r="I92" s="25" t="str">
        <f>IFERROR(__xludf.DUMMYFUNCTION("IF($F92&lt;&gt;""player"","""",IFERROR(INDEX(FILTER(group_setup!$D$2:$D947,group_setup!$B$2:$B947=$C92,group_setup!$G$2:$G947=TRUE,group_setup!$H$2:$H947=""completed""),1),""""))"),"")</f>
        <v/>
      </c>
      <c r="J92" s="25" t="str">
        <f>IFERROR(__xludf.DUMMYFUNCTION("IFERROR(FILTER(market_event_log!$D$2:$D947,market_event_log!$C$2:$C947=$B92,market_event_log!$N$2:$N947=""active""),"""")"),"T04")</f>
        <v>T04</v>
      </c>
      <c r="K92" s="25" t="str">
        <f>IFERROR(__xludf.DUMMYFUNCTION("IFERROR(FILTER(market_event_log!$G$2:$G947,market_event_log!$C$2:$C947=$B92,market_event_log!$N$2:$N947=""active""),"""")"),"C04")</f>
        <v>C04</v>
      </c>
      <c r="L92" s="25" t="str">
        <f>IFERROR(__xludf.DUMMYFUNCTION("IF($F92&lt;&gt;""player"","""",IFERROR(INDEX(FILTER(group_setup!$E$2:$E947,group_setup!$B$2:$B947=$C92,group_setup!$G$2:$G947=TRUE,group_setup!$H$2:$H947=""completed""),1),""""))"),"")</f>
        <v/>
      </c>
      <c r="M92" s="25" t="str">
        <f>IFERROR(__xludf.DUMMYFUNCTION("IF($F92=""market"","""",IF($E92=""HUMAN"",IFERROR(FILTER(turn_log!$G$2:$G947,turn_log!$C$2:$C947=$B92,turn_log!$D$2:$D947=$C92,turn_log!$F$2:$F947=$E92),""""),IFERROR(FILTER(turn_log!$I$2:$I947,turn_log!$C$2:$C947=$B92,turn_log!$D$2:$D947=$C92,turn_log!$F"&amp;"$2:$F947=$E92),"""")))"),"")</f>
        <v/>
      </c>
      <c r="N92" s="25" t="str">
        <f>IFERROR(__xludf.DUMMYFUNCTION("IF($F92=""market"","""",IF($E92=""HUMAN"",IFERROR(FILTER(turn_log!$H$2:$H947,turn_log!$C$2:$C947=$B92,turn_log!$D$2:$D947=$C92,turn_log!$F$2:$F947=$E92),""""),IFERROR(FILTER(turn_log!$J$2:$J947,turn_log!$C$2:$C947=$B92,turn_log!$D$2:$D947=$C92,turn_log!$F"&amp;"$2:$F947=$E92),"""")))"),"")</f>
        <v/>
      </c>
      <c r="O92" s="25">
        <f>IFERROR(__xludf.DUMMYFUNCTION("IF($A92="""","""",
 IF($F92=""market"",
  IFERROR(XLOOKUP(REGEXEXTRACT($J92,""^[^｜]+""),tr_mst!$A:$A,tr_mst!$D:$D),0)
  +IFERROR(XLOOKUP(REGEXEXTRACT($K92,""^[^｜]+""),tc_mst!$A:$A,tc_mst!$D:$D),0),
  IF($B92=0,
   IFERROR(XLOOKUP(REGEXEXTRACT($I92,""^[^｜]"&amp;"+""),ms_mst!$A:$A,ms_mst!$D:$D),0),
   IFERROR(XLOOKUP(""T""&amp;($B92-1)&amp;""_""&amp;$D92,$A:$A,$O:$O),0)
  )
  +IFERROR(XLOOKUP(REGEXEXTRACT($J92,""^[^｜]+""),tr_mst!$A:$A,tr_mst!$D:$D),0)
  +IFERROR(XLOOKUP(REGEXEXTRACT($K92,""^[^｜]+""),tc_mst!$A:$A,tc_mst!$D:$D)"&amp;",0)
  +
  (
   IFERROR(XLOOKUP(REGEXEXTRACT($M92,""^[^｜]+""),ac_mst!$A:$A,ac_mst!$G:$G),0)
   +IFERROR(XLOOKUP(REGEXEXTRACT($N92,""^[^｜]+""),ac_mst!$A:$A,ac_mst!$G:$G),0)
   +IFERROR(
    XLOOKUP(
     IF(
      OR(
       IFERROR(REGEXEXTRACT($M92,""^[^｜"&amp;"]+""),"""")="""",
       IFERROR(REGEXEXTRACT($N92,""^[^｜]+""),"""")=""""
      ),
      """",
      IF(
       IFERROR(REGEXEXTRACT($M92,""^[^｜]+""),"""")&lt;IFERROR(REGEXEXTRACT($N92,""^[^｜]+""),""""),
       IFERROR(REGEXEXTRACT($M92,""^[^｜]+""),"""")&amp;""_"&amp;"""&amp;IFERROR(REGEXEXTRACT($N92,""^[^｜]+""),""""),
       IFERROR(REGEXEXTRACT($N92,""^[^｜]+""),"""")&amp;""_""&amp;IFERROR(REGEXEXTRACT($M92,""^[^｜]+""),"""")
      )
     ),
     sy_mst!$A:$A,
     sy_mst!$D:$D
    ),
    0
   )
  )
  *
  IFERROR(XLOOKUP(REGEXEXTR"&amp;"ACT($I92,""^[^｜]+""),ms_mst!$A:$A,ms_mst!$L:$L),1)
  *
  IF(
   $B92&gt;=IFERROR(XLOOKUP(REGEXEXTRACT($L92,""^[^｜]+""),sk_mst!$A:$A,sk_mst!$M:$M),999),
   IFERROR(XLOOKUP(REGEXEXTRACT($L92,""^[^｜]+""),sk_mst!$A:$A,sk_mst!$F:$F),1),
   1
  )
 )
)"),1800.0)</f>
        <v>1800</v>
      </c>
      <c r="P92" s="25">
        <f>IFERROR(__xludf.DUMMYFUNCTION("IF($A92="""","""",
 IF($F92=""market"",
  IFERROR(XLOOKUP(REGEXEXTRACT($J92,""^[^｜]+""),tr_mst!$A:$A,tr_mst!$E:$E),0)
  +IFERROR(XLOOKUP(REGEXEXTRACT($K92,""^[^｜]+""),tc_mst!$A:$A,tc_mst!$E:$E),0),
  IF($B92=0,
   IFERROR(XLOOKUP(REGEXEXTRACT($I92,""^[^｜]"&amp;"+""),ms_mst!$A:$A,ms_mst!$E:$E),0),
   IFERROR(XLOOKUP(""T""&amp;($B92-1)&amp;""_""&amp;$D92,$A:$A,$P:$P),0)
  )
  +IFERROR(XLOOKUP(REGEXEXTRACT($J92,""^[^｜]+""),tr_mst!$A:$A,tr_mst!$E:$E),0)
  +IFERROR(XLOOKUP(REGEXEXTRACT($K92,""^[^｜]+""),tc_mst!$A:$A,tc_mst!$E:$E)"&amp;",0)
  +
  (
   IFERROR(XLOOKUP(REGEXEXTRACT($M92,""^[^｜]+""),ac_mst!$A:$A,ac_mst!$H:$H),0)
   +IFERROR(XLOOKUP(REGEXEXTRACT($N92,""^[^｜]+""),ac_mst!$A:$A,ac_mst!$H:$H),0)
   +IFERROR(
    XLOOKUP(
     IF(
      OR(
       IFERROR(REGEXEXTRACT($M92,""^[^｜"&amp;"]+""),"""")="""",
       IFERROR(REGEXEXTRACT($N92,""^[^｜]+""),"""")=""""
      ),
      """",
      IF(
       IFERROR(REGEXEXTRACT($M92,""^[^｜]+""),"""")&lt;IFERROR(REGEXEXTRACT($N92,""^[^｜]+""),""""),
       IFERROR(REGEXEXTRACT($M92,""^[^｜]+""),"""")&amp;""_"&amp;"""&amp;IFERROR(REGEXEXTRACT($N92,""^[^｜]+""),""""),
       IFERROR(REGEXEXTRACT($N92,""^[^｜]+""),"""")&amp;""_""&amp;IFERROR(REGEXEXTRACT($M92,""^[^｜]+""),"""")
      )
     ),
     sy_mst!$A:$A,
     sy_mst!$E:$E
    ),
    0
   )
  )
  *
  IFERROR(XLOOKUP(REGEXEXTR"&amp;"ACT($I92,""^[^｜]+""),ms_mst!$A:$A,ms_mst!$M:$M),1)
  *
  IF(
   $B92&gt;=IFERROR(XLOOKUP(REGEXEXTRACT($L92,""^[^｜]+""),sk_mst!$A:$A,sk_mst!$M:$M),999),
   IFERROR(XLOOKUP(REGEXEXTRACT($L92,""^[^｜]+""),sk_mst!$A:$A,sk_mst!$G:$G),1),
   1
  )
 )
)"),-490.0)</f>
        <v>-490</v>
      </c>
      <c r="Q92" s="25">
        <f>IFERROR(__xludf.DUMMYFUNCTION("IF($A92="""","""",
 IF($F92=""market"",
  IFERROR(XLOOKUP(REGEXEXTRACT($J92,""^[^｜]+""),tr_mst!$A:$A,tr_mst!$F:$F),0)
  +IFERROR(XLOOKUP(REGEXEXTRACT($K92,""^[^｜]+""),tc_mst!$A:$A,tc_mst!$F:$F),0),
  IF($B92=0,
   IFERROR(XLOOKUP(REGEXEXTRACT($I92,""^[^｜]"&amp;"+""),ms_mst!$A:$A,ms_mst!$F:$F),0),
   IFERROR(XLOOKUP(""T""&amp;($B92-1)&amp;""_""&amp;$D92,$A:$A,$Q:$Q),0)
  )
  +IFERROR(XLOOKUP(REGEXEXTRACT($J92,""^[^｜]+""),tr_mst!$A:$A,tr_mst!$F:$F),0)
  +IFERROR(XLOOKUP(REGEXEXTRACT($K92,""^[^｜]+""),tc_mst!$A:$A,tc_mst!$F:$F)"&amp;",0)
  +
  (
   IFERROR(XLOOKUP(REGEXEXTRACT($M92,""^[^｜]+""),ac_mst!$A:$A,ac_mst!$I:$I),0)
   +IFERROR(XLOOKUP(REGEXEXTRACT($N92,""^[^｜]+""),ac_mst!$A:$A,ac_mst!$I:$I),0)
   +IFERROR(
    XLOOKUP(
     IF(
      OR(
       IFERROR(REGEXEXTRACT($M92,""^[^｜"&amp;"]+""),"""")="""",
       IFERROR(REGEXEXTRACT($N92,""^[^｜]+""),"""")=""""
      ),
      """",
      IF(
       IFERROR(REGEXEXTRACT($M92,""^[^｜]+""),"""")&lt;IFERROR(REGEXEXTRACT($N92,""^[^｜]+""),""""),
       IFERROR(REGEXEXTRACT($M92,""^[^｜]+""),"""")&amp;""_"&amp;"""&amp;IFERROR(REGEXEXTRACT($N92,""^[^｜]+""),""""),
       IFERROR(REGEXEXTRACT($N92,""^[^｜]+""),"""")&amp;""_""&amp;IFERROR(REGEXEXTRACT($M92,""^[^｜]+""),"""")
      )
     ),
     sy_mst!$A:$A,
     sy_mst!$F:$F
    ),
    0
   )
  )
  *
  IFERROR(XLOOKUP(REGEXEXTR"&amp;"ACT($I92,""^[^｜]+""),ms_mst!$A:$A,ms_mst!$N:$N),1)
  *
  IF(
   $B92&gt;=IFERROR(XLOOKUP(REGEXEXTRACT($L92,""^[^｜]+""),sk_mst!$A:$A,sk_mst!$M:$M),999),
   IFERROR(XLOOKUP(REGEXEXTRACT($L92,""^[^｜]+""),sk_mst!$A:$A,sk_mst!$H:$H),1),
   1
  )
 )
)"),0.06)</f>
        <v>0.06</v>
      </c>
      <c r="R92" s="25">
        <f>IFERROR(__xludf.DUMMYFUNCTION("IF($A92="""","""",
 IF($F92=""market"",
  IFERROR(XLOOKUP(REGEXEXTRACT($J92,""^[^｜]+""),tr_mst!$A:$A,tr_mst!$G:$G),0)
  +IFERROR(XLOOKUP(REGEXEXTRACT($K92,""^[^｜]+""),tc_mst!$A:$A,tc_mst!$G:$G),0),
  IF($B92=0,
   IFERROR(XLOOKUP(REGEXEXTRACT($I92,""^[^｜]"&amp;"+""),ms_mst!$A:$A,ms_mst!$G:$G),0),
   IFERROR(XLOOKUP(""T""&amp;($B92-1)&amp;""_""&amp;$D92,$A:$A,$R:$R),0)
  )
  +IFERROR(XLOOKUP(REGEXEXTRACT($J92,""^[^｜]+""),tr_mst!$A:$A,tr_mst!$G:$G),0)
  +IFERROR(XLOOKUP(REGEXEXTRACT($K92,""^[^｜]+""),tc_mst!$A:$A,tc_mst!$G:$G)"&amp;",0)
  +
  (
   IFERROR(XLOOKUP(REGEXEXTRACT($M92,""^[^｜]+""),ac_mst!$A:$A,ac_mst!$J:$J),0)
   +IFERROR(XLOOKUP(REGEXEXTRACT($N92,""^[^｜]+""),ac_mst!$A:$A,ac_mst!$J:$J),0)
   +IFERROR(
    XLOOKUP(
     IF(
      OR(
       IFERROR(REGEXEXTRACT($M92,""^[^｜"&amp;"]+""),"""")="""",
       IFERROR(REGEXEXTRACT($N92,""^[^｜]+""),"""")=""""
      ),
      """",
      IF(
       IFERROR(REGEXEXTRACT($M92,""^[^｜]+""),"""")&lt;IFERROR(REGEXEXTRACT($N92,""^[^｜]+""),""""),
       IFERROR(REGEXEXTRACT($M92,""^[^｜]+""),"""")&amp;""_"&amp;"""&amp;IFERROR(REGEXEXTRACT($N92,""^[^｜]+""),""""),
       IFERROR(REGEXEXTRACT($N92,""^[^｜]+""),"""")&amp;""_""&amp;IFERROR(REGEXEXTRACT($M92,""^[^｜]+""),"""")
      )
     ),
     sy_mst!$A:$A,
     sy_mst!$G:$G
    ),
    0
   )
  )
  *
  IFERROR(XLOOKUP(REGEXEXTR"&amp;"ACT($I92,""^[^｜]+""),ms_mst!$A:$A,ms_mst!$O:$O),1)
  *
  IF(
   $B92&gt;=IFERROR(XLOOKUP(REGEXEXTRACT($L92,""^[^｜]+""),sk_mst!$A:$A,sk_mst!$M:$M),999),
   IFERROR(XLOOKUP(REGEXEXTRACT($L92,""^[^｜]+""),sk_mst!$A:$A,sk_mst!$I:$I),1),
   1
  )
 )
)"),0.009999999999999997)</f>
        <v>0.01</v>
      </c>
      <c r="S92" s="25">
        <f>IFERROR(__xludf.DUMMYFUNCTION("IF($A92="""","""",
 IF($F92=""market"",
  IFERROR(XLOOKUP(REGEXEXTRACT($J92,""^[^｜]+""),tr_mst!$A:$A,tr_mst!$H:$H),0)
  +IFERROR(XLOOKUP(REGEXEXTRACT($K92,""^[^｜]+""),tc_mst!$A:$A,tc_mst!$H:$H),0),
  IF($B92=0,
   IFERROR(XLOOKUP(REGEXEXTRACT($I92,""^[^｜]"&amp;"+""),ms_mst!$A:$A,ms_mst!$H:$H),0),
   IFERROR(XLOOKUP(""T""&amp;($B92-1)&amp;""_""&amp;$D92,$A:$A,$S:$S),0)
  )
  +IFERROR(XLOOKUP(REGEXEXTRACT($J92,""^[^｜]+""),tr_mst!$A:$A,tr_mst!$H:$H),0)
  +IFERROR(XLOOKUP(REGEXEXTRACT($K92,""^[^｜]+""),tc_mst!$A:$A,tc_mst!$H:$H)"&amp;",0)
  +
  (
   IFERROR(XLOOKUP(REGEXEXTRACT($M92,""^[^｜]+""),ac_mst!$A:$A,ac_mst!$K:$K),0)
   +IFERROR(XLOOKUP(REGEXEXTRACT($N92,""^[^｜]+""),ac_mst!$A:$A,ac_mst!$K:$K),0)
   +IFERROR(
    XLOOKUP(
     IF(
      OR(
       IFERROR(REGEXEXTRACT($M92,""^[^｜"&amp;"]+""),"""")="""",
       IFERROR(REGEXEXTRACT($N92,""^[^｜]+""),"""")=""""
      ),
      """",
      IF(
       IFERROR(REGEXEXTRACT($M92,""^[^｜]+""),"""")&lt;IFERROR(REGEXEXTRACT($N92,""^[^｜]+""),""""),
       IFERROR(REGEXEXTRACT($M92,""^[^｜]+""),"""")&amp;""_"&amp;"""&amp;IFERROR(REGEXEXTRACT($N92,""^[^｜]+""),""""),
       IFERROR(REGEXEXTRACT($N92,""^[^｜]+""),"""")&amp;""_""&amp;IFERROR(REGEXEXTRACT($M92,""^[^｜]+""),"""")
      )
     ),
     sy_mst!$A:$A,
     sy_mst!$H:$H
    ),
    0
   )
  )
  *
  IFERROR(XLOOKUP(REGEXEXTR"&amp;"ACT($I92,""^[^｜]+""),ms_mst!$A:$A,ms_mst!$P:$P),1)
  *
  IF(
   $B92&gt;=IFERROR(XLOOKUP(REGEXEXTRACT($L92,""^[^｜]+""),sk_mst!$A:$A,sk_mst!$M:$M),999),
   IFERROR(XLOOKUP(REGEXEXTRACT($L92,""^[^｜]+""),sk_mst!$A:$A,sk_mst!$J:$J),1),
   1
  )
 )
)"),9.999999999999983E-5)</f>
        <v>0.0001</v>
      </c>
      <c r="T92" s="25">
        <f>IFERROR(__xludf.DUMMYFUNCTION("IF($A92="""","""",
 IF($F92=""market"",
  IFERROR(XLOOKUP(REGEXEXTRACT($J92,""^[^｜]+""),tr_mst!$A:$A,tr_mst!$I:$I),0)
  +IFERROR(XLOOKUP(REGEXEXTRACT($K92,""^[^｜]+""),tc_mst!$A:$A,tc_mst!$I:$I),0),
  IF($B92=0,
   IFERROR(XLOOKUP(REGEXEXTRACT($I92,""^[^｜]"&amp;"+""),ms_mst!$A:$A,ms_mst!$I:$I),0),
   IFERROR(XLOOKUP(""T""&amp;($B92-1)&amp;""_""&amp;$D92,$A:$A,$T:$T),0)
  )
  +IFERROR(XLOOKUP(REGEXEXTRACT($J92,""^[^｜]+""),tr_mst!$A:$A,tr_mst!$I:$I),0)
  +IFERROR(XLOOKUP(REGEXEXTRACT($K92,""^[^｜]+""),tc_mst!$A:$A,tc_mst!$I:$I)"&amp;",0)
  +
  (
   IFERROR(XLOOKUP(REGEXEXTRACT($M92,""^[^｜]+""),ac_mst!$A:$A,ac_mst!$L:$L),0)
   +IFERROR(XLOOKUP(REGEXEXTRACT($N92,""^[^｜]+""),ac_mst!$A:$A,ac_mst!$L:$L),0)
   +IFERROR(
    XLOOKUP(
     IF(
      OR(
       IFERROR(REGEXEXTRACT($M92,""^[^｜"&amp;"]+""),"""")="""",
       IFERROR(REGEXEXTRACT($N92,""^[^｜]+""),"""")=""""
      ),
      """",
      IF(
       IFERROR(REGEXEXTRACT($M92,""^[^｜]+""),"""")&lt;IFERROR(REGEXEXTRACT($N92,""^[^｜]+""),""""),
       IFERROR(REGEXEXTRACT($M92,""^[^｜]+""),"""")&amp;""_"&amp;"""&amp;IFERROR(REGEXEXTRACT($N92,""^[^｜]+""),""""),
       IFERROR(REGEXEXTRACT($N92,""^[^｜]+""),"""")&amp;""_""&amp;IFERROR(REGEXEXTRACT($M92,""^[^｜]+""),"""")
      )
     ),
     sy_mst!$A:$A,
     sy_mst!$I:$I
    ),
    0
   )
  )
  *
  IFERROR(XLOOKUP(REGEXEXTR"&amp;"ACT($I92,""^[^｜]+""),ms_mst!$A:$A,ms_mst!$Q:$Q),1)
  *
  IF(
   $B92&gt;=IFERROR(XLOOKUP(REGEXEXTRACT($L92,""^[^｜]+""),sk_mst!$A:$A,sk_mst!$M:$M),999),
   IFERROR(XLOOKUP(REGEXEXTRACT($L92,""^[^｜]+""),sk_mst!$A:$A,sk_mst!$K:$K),1),
   1
  )
 )
)"),400.0)</f>
        <v>400</v>
      </c>
      <c r="U92" s="25">
        <f>IFERROR(__xludf.DUMMYFUNCTION("IF($A92="""","""",
 IF($F92=""market"",
  IFERROR(XLOOKUP(REGEXEXTRACT($J92,""^[^｜]+""),tr_mst!$A:$A,tr_mst!$J:$J),0)
  +IFERROR(XLOOKUP(REGEXEXTRACT($K92,""^[^｜]+""),tc_mst!$A:$A,tc_mst!$J:$J),0),
  IF($B92=0,
   IFERROR(XLOOKUP(REGEXEXTRACT($I92,""^[^｜]"&amp;"+""),ms_mst!$A:$A,ms_mst!$J:$J),0),
   IFERROR(XLOOKUP(""T""&amp;($B92-1)&amp;""_""&amp;$D92,$A:$A,$U:$U),0)
  )
  +IFERROR(XLOOKUP(REGEXEXTRACT($J92,""^[^｜]+""),tr_mst!$A:$A,tr_mst!$J:$J),0)
  +IFERROR(XLOOKUP(REGEXEXTRACT($K92,""^[^｜]+""),tc_mst!$A:$A,tc_mst!$J:$J)"&amp;",0)
  +
  (
   IFERROR(XLOOKUP(REGEXEXTRACT($M92,""^[^｜]+""),ac_mst!$A:$A,ac_mst!$M:$M),0)
   +IFERROR(XLOOKUP(REGEXEXTRACT($N92,""^[^｜]+""),ac_mst!$A:$A,ac_mst!$M:$M),0)
   +IFERROR(
    XLOOKUP(
     IF(
      OR(
       IFERROR(REGEXEXTRACT($M92,""^[^｜"&amp;"]+""),"""")="""",
       IFERROR(REGEXEXTRACT($N92,""^[^｜]+""),"""")=""""
      ),
      """",
      IF(
       IFERROR(REGEXEXTRACT($M92,""^[^｜]+""),"""")&lt;IFERROR(REGEXEXTRACT($N92,""^[^｜]+""),""""),
       IFERROR(REGEXEXTRACT($M92,""^[^｜]+""),"""")&amp;""_"&amp;"""&amp;IFERROR(REGEXEXTRACT($N92,""^[^｜]+""),""""),
       IFERROR(REGEXEXTRACT($N92,""^[^｜]+""),"""")&amp;""_""&amp;IFERROR(REGEXEXTRACT($M92,""^[^｜]+""),"""")
      )
     ),
     sy_mst!$A:$A,
     sy_mst!$J:$J
    ),
    0
   )
  )
  *
  IFERROR(XLOOKUP(REGEXEXTR"&amp;"ACT($I92,""^[^｜]+""),ms_mst!$A:$A,ms_mst!$R:$R),1)
  *
  IF(
   $B92&gt;=IFERROR(XLOOKUP(REGEXEXTRACT($L92,""^[^｜]+""),sk_mst!$A:$A,sk_mst!$M:$M),999),
   IFERROR(XLOOKUP(REGEXEXTRACT($L92,""^[^｜]+""),sk_mst!$A:$A,sk_mst!$L:$L),1),
   1
  )
 )
)"),5.0)</f>
        <v>5</v>
      </c>
      <c r="V92" s="25">
        <f t="shared" si="1"/>
        <v>0</v>
      </c>
      <c r="W92" s="25">
        <f t="shared" si="2"/>
        <v>-2450</v>
      </c>
      <c r="X92" s="25">
        <f t="shared" si="3"/>
        <v>2450</v>
      </c>
      <c r="Y92" s="25">
        <f t="shared" si="4"/>
        <v>0</v>
      </c>
      <c r="Z92" s="25">
        <f>IFERROR(__xludf.DUMMYFUNCTION("IF($A92="""","""",
 IF($F92&lt;&gt;""player"","""",
  IFERROR(
   RANK(
    $X92,
    FILTER($X:$X,$B:$B=$B92,$F:$F=""player"",$X:$X&lt;&gt;""""),
    0
   ),
   """"
  )
 )
)"),8.0)</f>
        <v>8</v>
      </c>
      <c r="AA92" s="25" t="str">
        <f t="shared" si="5"/>
        <v>8位</v>
      </c>
      <c r="AB92" s="26">
        <f t="shared" si="6"/>
        <v>0</v>
      </c>
    </row>
    <row r="98">
      <c r="R98" s="25" t="str">
        <f>IFERROR(__xludf.DUMMYFUNCTION("IF($A98="""","""",
 IF($F98=""market"",
  IFERROR(XLOOKUP(REGEXEXTRACT($J98,""^[^｜]+""),tr_mst!$A:$A,tr_mst!$E:$E),0)
  +IFERROR(XLOOKUP(REGEXEXTRACT($K98,""^[^｜]+""),tc_mst!$A:$A,tc_mst!$E:$E),0),
  IF($B98=0,
   IFERROR(XLOOKUP(REGEXEXTRACT($I98,""^[^｜]"&amp;"+""),ms_mst!$A:$A,ms_mst!$E:$E),0),
   IFERROR(XLOOKUP(""T""&amp;($B98-1)&amp;""_""&amp;$D98,$A:$A,$P:$P),0)
  )
  +IFERROR(XLOOKUP(REGEXEXTRACT($J98,""^[^｜]+""),tr_mst!$A:$A,tr_mst!$E:$E),0)
  +IFERROR(XLOOKUP(REGEXEXTRACT($K98,""^[^｜]+""),tc_mst!$A:$A,tc_mst!$E:$E)"&amp;",0)
  +
  (
   IFERROR(XLOOKUP(REGEXEXTRACT($M98,""^[^｜]+""),ac_mst!$A:$A,ac_mst!$H:$H),0)
   +IFERROR(XLOOKUP(REGEXEXTRACT($N98,""^[^｜]+""),ac_mst!$A:$A,ac_mst!$H:$H),0)
   +IFERROR(
    XLOOKUP(
     IF(
      OR(
       IFERROR(REGEXEXTRACT($M98,""^[^｜"&amp;"]+""),"""")="""",
       IFERROR(REGEXEXTRACT($N98,""^[^｜]+""),"""")=""""
      ),
      """",
      IF(
       IFERROR(REGEXEXTRACT($M98,""^[^｜]+""),"""")&lt;IFERROR(REGEXEXTRACT($N98,""^[^｜]+""),""""),
       IFERROR(REGEXEXTRACT($M98,""^[^｜]+""),"""")&amp;""_"&amp;"""&amp;IFERROR(REGEXEXTRACT($N98,""^[^｜]+""),""""),
       IFERROR(REGEXEXTRACT($N98,""^[^｜]+""),"""")&amp;""_""&amp;IFERROR(REGEXEXTRACT($M98,""^[^｜]+""),"""")
      )
     ),
     sy_mst!$A:$A,
     sy_mst!$E:$E
    ),
    0
   )
  )
  *
  IFERROR(XLOOKUP(REGEXEXTR"&amp;"ACT($I98,""^[^｜]+""),ms_mst!$A:$A,ms_mst!$M:$M),1)
  *
  IF(
   $B98&gt;=IFERROR(XLOOKUP(REGEXEXTRACT($L98,""^[^｜]+""),sk_mst!$A:$A,sk_mst!$M:$M),999),
   IFERROR(XLOOKUP(REGEXEXTRACT($L98,""^[^｜]+""),sk_mst!$A:$A,sk_mst!$G:$G),1),
   1
  )
 )
)"),"")</f>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7.5"/>
    <col customWidth="1" min="3" max="3" width="9.38"/>
  </cols>
  <sheetData>
    <row r="1">
      <c r="A1" s="5" t="s">
        <v>120</v>
      </c>
      <c r="B1" s="5" t="s">
        <v>266</v>
      </c>
      <c r="C1" s="5" t="s">
        <v>105</v>
      </c>
      <c r="D1" s="5" t="s">
        <v>267</v>
      </c>
    </row>
    <row r="2">
      <c r="A2" s="14" t="s">
        <v>151</v>
      </c>
      <c r="B2" s="14" t="s">
        <v>268</v>
      </c>
      <c r="C2" s="14" t="s">
        <v>269</v>
      </c>
    </row>
    <row r="3">
      <c r="A3" s="14" t="s">
        <v>156</v>
      </c>
      <c r="B3" s="14" t="s">
        <v>270</v>
      </c>
      <c r="C3" s="14" t="s">
        <v>269</v>
      </c>
    </row>
    <row r="4">
      <c r="A4" s="14" t="s">
        <v>159</v>
      </c>
      <c r="B4" s="14" t="s">
        <v>271</v>
      </c>
      <c r="C4" s="14" t="s">
        <v>269</v>
      </c>
    </row>
    <row r="5">
      <c r="A5" s="14" t="s">
        <v>162</v>
      </c>
      <c r="B5" s="14" t="s">
        <v>272</v>
      </c>
      <c r="C5" s="14" t="s">
        <v>269</v>
      </c>
    </row>
    <row r="6">
      <c r="A6" s="14" t="s">
        <v>165</v>
      </c>
      <c r="B6" s="14" t="s">
        <v>273</v>
      </c>
      <c r="C6" s="14" t="s">
        <v>269</v>
      </c>
    </row>
    <row r="7">
      <c r="A7" s="14" t="s">
        <v>168</v>
      </c>
      <c r="B7" s="14" t="s">
        <v>274</v>
      </c>
      <c r="C7" s="14" t="s">
        <v>269</v>
      </c>
    </row>
    <row r="8">
      <c r="A8" s="14" t="s">
        <v>171</v>
      </c>
      <c r="B8" s="14" t="s">
        <v>275</v>
      </c>
      <c r="C8" s="14" t="s">
        <v>269</v>
      </c>
    </row>
    <row r="9">
      <c r="A9" s="14" t="s">
        <v>174</v>
      </c>
      <c r="B9" s="14" t="s">
        <v>276</v>
      </c>
      <c r="C9" s="14" t="s">
        <v>269</v>
      </c>
    </row>
    <row r="10">
      <c r="A10" s="14" t="s">
        <v>177</v>
      </c>
      <c r="B10" s="14" t="s">
        <v>277</v>
      </c>
      <c r="C10" s="14" t="s">
        <v>269</v>
      </c>
    </row>
    <row r="11">
      <c r="A11" s="14" t="s">
        <v>180</v>
      </c>
      <c r="B11" s="14" t="s">
        <v>278</v>
      </c>
      <c r="C11" s="14" t="s">
        <v>269</v>
      </c>
    </row>
    <row r="12">
      <c r="A12" s="14" t="s">
        <v>183</v>
      </c>
      <c r="B12" s="14" t="s">
        <v>279</v>
      </c>
      <c r="C12" s="14" t="s">
        <v>269</v>
      </c>
    </row>
    <row r="13">
      <c r="A13" s="14" t="s">
        <v>186</v>
      </c>
      <c r="B13" s="14" t="s">
        <v>280</v>
      </c>
      <c r="C13" s="14" t="s">
        <v>269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5"/>
    <col customWidth="1" min="3" max="3" width="10.38"/>
    <col customWidth="1" min="4" max="4" width="8.88"/>
    <col customWidth="1" min="5" max="5" width="6.0"/>
    <col customWidth="1" min="6" max="6" width="6.63"/>
    <col customWidth="1" min="7" max="7" width="11.75"/>
    <col customWidth="1" min="8" max="11" width="10.88"/>
    <col customWidth="1" min="12" max="12" width="16.0"/>
    <col customWidth="1" min="13" max="13" width="12.63"/>
    <col customWidth="1" min="14" max="14" width="10.88"/>
    <col customWidth="1" min="15" max="15" width="16.0"/>
    <col customWidth="1" min="16" max="17" width="10.88"/>
  </cols>
  <sheetData>
    <row r="1">
      <c r="A1" s="27" t="s">
        <v>100</v>
      </c>
      <c r="B1" s="27" t="s">
        <v>120</v>
      </c>
      <c r="C1" s="27" t="s">
        <v>281</v>
      </c>
      <c r="D1" s="27" t="s">
        <v>126</v>
      </c>
      <c r="E1" s="27" t="s">
        <v>129</v>
      </c>
      <c r="F1" s="14" t="s">
        <v>105</v>
      </c>
      <c r="G1" s="14" t="s">
        <v>282</v>
      </c>
      <c r="H1" s="28" t="s">
        <v>283</v>
      </c>
      <c r="I1" s="14" t="s">
        <v>101</v>
      </c>
      <c r="J1" s="14" t="s">
        <v>284</v>
      </c>
      <c r="K1" s="14" t="s">
        <v>285</v>
      </c>
      <c r="L1" s="14" t="s">
        <v>286</v>
      </c>
      <c r="M1" s="14" t="s">
        <v>287</v>
      </c>
      <c r="N1" s="14" t="s">
        <v>288</v>
      </c>
      <c r="O1" s="14" t="s">
        <v>289</v>
      </c>
      <c r="P1" s="14" t="s">
        <v>290</v>
      </c>
      <c r="Q1" s="27" t="s">
        <v>267</v>
      </c>
    </row>
    <row r="2">
      <c r="A2" s="22">
        <v>46208.78880383102</v>
      </c>
      <c r="B2" s="14" t="s">
        <v>165</v>
      </c>
      <c r="C2" s="14" t="s">
        <v>291</v>
      </c>
      <c r="D2" s="14" t="s">
        <v>292</v>
      </c>
      <c r="E2" s="14" t="s">
        <v>293</v>
      </c>
      <c r="F2" s="14" t="s">
        <v>269</v>
      </c>
      <c r="G2" s="14" t="b">
        <v>1</v>
      </c>
      <c r="H2" s="14" t="s">
        <v>294</v>
      </c>
      <c r="I2" s="14" t="s">
        <v>50</v>
      </c>
      <c r="J2" s="14" t="s">
        <v>295</v>
      </c>
      <c r="K2" s="14" t="s">
        <v>296</v>
      </c>
      <c r="L2" s="14" t="s">
        <v>297</v>
      </c>
      <c r="M2" s="14" t="s">
        <v>298</v>
      </c>
      <c r="N2" s="14" t="s">
        <v>299</v>
      </c>
      <c r="O2" s="14" t="s">
        <v>300</v>
      </c>
      <c r="P2" s="14">
        <v>2.0</v>
      </c>
    </row>
    <row r="3">
      <c r="A3" s="22">
        <v>46208.78907471064</v>
      </c>
      <c r="B3" s="14" t="s">
        <v>151</v>
      </c>
      <c r="C3" s="14" t="s">
        <v>301</v>
      </c>
      <c r="D3" s="14" t="s">
        <v>302</v>
      </c>
      <c r="E3" s="14" t="s">
        <v>303</v>
      </c>
      <c r="F3" s="14" t="s">
        <v>269</v>
      </c>
      <c r="G3" s="14" t="b">
        <v>1</v>
      </c>
      <c r="H3" s="14" t="s">
        <v>294</v>
      </c>
      <c r="I3" s="14" t="s">
        <v>50</v>
      </c>
      <c r="J3" s="14" t="s">
        <v>295</v>
      </c>
      <c r="K3" s="14" t="s">
        <v>296</v>
      </c>
      <c r="L3" s="14" t="s">
        <v>304</v>
      </c>
      <c r="M3" s="14" t="s">
        <v>305</v>
      </c>
      <c r="N3" s="14" t="s">
        <v>306</v>
      </c>
      <c r="O3" s="14" t="s">
        <v>307</v>
      </c>
      <c r="P3" s="14">
        <v>3.0</v>
      </c>
    </row>
    <row r="4">
      <c r="A4" s="22">
        <v>46208.79027991898</v>
      </c>
      <c r="B4" s="14" t="s">
        <v>162</v>
      </c>
      <c r="C4" s="14" t="s">
        <v>308</v>
      </c>
      <c r="D4" s="14" t="s">
        <v>309</v>
      </c>
      <c r="E4" s="14" t="s">
        <v>310</v>
      </c>
      <c r="F4" s="14" t="s">
        <v>269</v>
      </c>
      <c r="G4" s="14" t="b">
        <v>1</v>
      </c>
      <c r="H4" s="14" t="s">
        <v>294</v>
      </c>
      <c r="I4" s="14" t="s">
        <v>50</v>
      </c>
      <c r="J4" s="14" t="s">
        <v>295</v>
      </c>
      <c r="K4" s="14" t="s">
        <v>296</v>
      </c>
      <c r="L4" s="14" t="s">
        <v>311</v>
      </c>
      <c r="M4" s="14" t="s">
        <v>312</v>
      </c>
      <c r="N4" s="14" t="s">
        <v>313</v>
      </c>
      <c r="O4" s="14" t="s">
        <v>314</v>
      </c>
      <c r="P4" s="14">
        <v>2.0</v>
      </c>
    </row>
    <row r="5">
      <c r="A5" s="22">
        <v>46208.79183987269</v>
      </c>
      <c r="B5" s="14" t="s">
        <v>159</v>
      </c>
      <c r="C5" s="14" t="s">
        <v>315</v>
      </c>
      <c r="D5" s="14" t="s">
        <v>302</v>
      </c>
      <c r="E5" s="14" t="s">
        <v>303</v>
      </c>
      <c r="F5" s="14" t="s">
        <v>269</v>
      </c>
      <c r="G5" s="14" t="b">
        <v>1</v>
      </c>
      <c r="H5" s="14" t="s">
        <v>294</v>
      </c>
      <c r="I5" s="14" t="s">
        <v>50</v>
      </c>
      <c r="J5" s="14" t="s">
        <v>295</v>
      </c>
      <c r="K5" s="14" t="s">
        <v>296</v>
      </c>
      <c r="L5" s="14" t="s">
        <v>316</v>
      </c>
      <c r="M5" s="14" t="s">
        <v>305</v>
      </c>
      <c r="N5" s="14" t="s">
        <v>306</v>
      </c>
      <c r="O5" s="14" t="s">
        <v>307</v>
      </c>
      <c r="P5" s="14">
        <v>3.0</v>
      </c>
    </row>
    <row r="6">
      <c r="A6" s="22">
        <v>46208.79204325231</v>
      </c>
      <c r="B6" s="14" t="s">
        <v>171</v>
      </c>
      <c r="C6" s="14" t="s">
        <v>315</v>
      </c>
      <c r="D6" s="14" t="s">
        <v>302</v>
      </c>
      <c r="E6" s="14" t="s">
        <v>317</v>
      </c>
      <c r="F6" s="14" t="s">
        <v>269</v>
      </c>
      <c r="G6" s="14" t="b">
        <v>1</v>
      </c>
      <c r="H6" s="14" t="s">
        <v>294</v>
      </c>
      <c r="I6" s="14" t="s">
        <v>50</v>
      </c>
      <c r="J6" s="14" t="s">
        <v>295</v>
      </c>
      <c r="K6" s="14" t="s">
        <v>296</v>
      </c>
      <c r="L6" s="14" t="s">
        <v>316</v>
      </c>
      <c r="M6" s="14" t="s">
        <v>305</v>
      </c>
      <c r="N6" s="14" t="s">
        <v>306</v>
      </c>
      <c r="O6" s="14" t="s">
        <v>318</v>
      </c>
      <c r="P6" s="14">
        <v>5.0</v>
      </c>
    </row>
    <row r="7">
      <c r="A7" s="22">
        <v>46208.79335600694</v>
      </c>
      <c r="B7" s="14" t="s">
        <v>156</v>
      </c>
      <c r="C7" s="14" t="s">
        <v>319</v>
      </c>
      <c r="D7" s="14" t="s">
        <v>320</v>
      </c>
      <c r="E7" s="14" t="s">
        <v>303</v>
      </c>
      <c r="F7" s="14" t="s">
        <v>269</v>
      </c>
      <c r="G7" s="14" t="b">
        <v>1</v>
      </c>
      <c r="H7" s="14" t="s">
        <v>294</v>
      </c>
      <c r="I7" s="14" t="s">
        <v>50</v>
      </c>
      <c r="J7" s="14" t="s">
        <v>295</v>
      </c>
      <c r="K7" s="14" t="s">
        <v>296</v>
      </c>
      <c r="L7" s="14" t="s">
        <v>321</v>
      </c>
      <c r="M7" s="14" t="s">
        <v>322</v>
      </c>
      <c r="N7" s="14" t="s">
        <v>296</v>
      </c>
      <c r="O7" s="14" t="s">
        <v>307</v>
      </c>
      <c r="P7" s="14">
        <v>3.0</v>
      </c>
    </row>
    <row r="8">
      <c r="A8" s="22">
        <v>46208.79345153936</v>
      </c>
      <c r="B8" s="14" t="s">
        <v>168</v>
      </c>
      <c r="C8" s="14" t="s">
        <v>291</v>
      </c>
      <c r="D8" s="14" t="s">
        <v>323</v>
      </c>
      <c r="E8" s="14" t="s">
        <v>317</v>
      </c>
      <c r="F8" s="14" t="s">
        <v>269</v>
      </c>
      <c r="G8" s="14" t="b">
        <v>1</v>
      </c>
      <c r="H8" s="14" t="s">
        <v>294</v>
      </c>
      <c r="I8" s="14" t="s">
        <v>50</v>
      </c>
      <c r="J8" s="14" t="s">
        <v>295</v>
      </c>
      <c r="K8" s="14" t="s">
        <v>296</v>
      </c>
      <c r="L8" s="14" t="s">
        <v>297</v>
      </c>
      <c r="M8" s="14" t="s">
        <v>324</v>
      </c>
      <c r="N8" s="14" t="s">
        <v>306</v>
      </c>
      <c r="O8" s="14" t="s">
        <v>318</v>
      </c>
      <c r="P8" s="14">
        <v>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8.88"/>
    <col customWidth="1" min="3" max="3" width="4.38"/>
    <col customWidth="1" min="4" max="5" width="9.38"/>
    <col customWidth="1" min="6" max="6" width="12.75"/>
    <col customWidth="1" min="7" max="7" width="18.88"/>
    <col customWidth="1" min="8" max="8" width="22.25"/>
    <col customWidth="1" min="9" max="9" width="11.38"/>
    <col customWidth="1" min="10" max="10" width="18.88"/>
    <col customWidth="1" min="11" max="11" width="3.75"/>
    <col customWidth="1" min="12" max="12" width="4.13"/>
    <col customWidth="1" min="13" max="13" width="8.38"/>
    <col customWidth="1" min="14" max="14" width="8.25"/>
    <col customWidth="1" min="15" max="15" width="4.13"/>
    <col customWidth="1" min="16" max="16" width="5.5"/>
    <col customWidth="1" min="17" max="17" width="4.5"/>
    <col customWidth="1" min="18" max="18" width="5.63"/>
    <col customWidth="1" min="19" max="23" width="18.88"/>
  </cols>
  <sheetData>
    <row r="1">
      <c r="A1" s="29" t="s">
        <v>325</v>
      </c>
      <c r="B1" s="30" t="s">
        <v>326</v>
      </c>
      <c r="C1" s="31" t="s">
        <v>327</v>
      </c>
      <c r="D1" s="31" t="s">
        <v>328</v>
      </c>
      <c r="E1" s="30" t="s">
        <v>124</v>
      </c>
      <c r="F1" s="31" t="s">
        <v>329</v>
      </c>
      <c r="G1" s="31" t="s">
        <v>330</v>
      </c>
      <c r="H1" s="31" t="s">
        <v>331</v>
      </c>
      <c r="I1" s="31" t="s">
        <v>332</v>
      </c>
      <c r="J1" s="31" t="s">
        <v>333</v>
      </c>
      <c r="K1" s="31" t="s">
        <v>132</v>
      </c>
      <c r="L1" s="31" t="s">
        <v>334</v>
      </c>
      <c r="M1" s="31" t="s">
        <v>335</v>
      </c>
      <c r="N1" s="31" t="s">
        <v>336</v>
      </c>
      <c r="O1" s="31" t="s">
        <v>337</v>
      </c>
      <c r="P1" s="30" t="s">
        <v>338</v>
      </c>
      <c r="Q1" s="31" t="s">
        <v>339</v>
      </c>
      <c r="R1" s="30" t="s">
        <v>267</v>
      </c>
    </row>
    <row r="2">
      <c r="A2" s="32">
        <v>46208.79386023148</v>
      </c>
      <c r="B2" s="14" t="s">
        <v>340</v>
      </c>
      <c r="C2" s="20">
        <v>1.0</v>
      </c>
      <c r="D2" s="14" t="s">
        <v>110</v>
      </c>
      <c r="F2" s="14" t="s">
        <v>110</v>
      </c>
      <c r="G2" s="14"/>
    </row>
    <row r="3">
      <c r="A3" s="32">
        <v>46208.795873877316</v>
      </c>
      <c r="B3" s="14" t="s">
        <v>341</v>
      </c>
      <c r="C3" s="20">
        <v>1.0</v>
      </c>
      <c r="D3" s="14" t="s">
        <v>159</v>
      </c>
      <c r="F3" s="14" t="s">
        <v>153</v>
      </c>
      <c r="G3" s="14" t="s">
        <v>342</v>
      </c>
      <c r="H3" s="14" t="s">
        <v>343</v>
      </c>
    </row>
    <row r="4">
      <c r="A4" s="32">
        <v>46208.79907143518</v>
      </c>
      <c r="B4" s="14" t="s">
        <v>341</v>
      </c>
      <c r="C4" s="20">
        <v>1.0</v>
      </c>
      <c r="D4" s="14" t="s">
        <v>165</v>
      </c>
      <c r="F4" s="14" t="s">
        <v>153</v>
      </c>
      <c r="G4" s="14" t="s">
        <v>344</v>
      </c>
      <c r="H4" s="14" t="s">
        <v>345</v>
      </c>
    </row>
    <row r="5">
      <c r="A5" s="32">
        <v>46208.79911871528</v>
      </c>
      <c r="B5" s="14" t="s">
        <v>341</v>
      </c>
      <c r="C5" s="20">
        <v>1.0</v>
      </c>
      <c r="D5" s="14" t="s">
        <v>151</v>
      </c>
      <c r="F5" s="14" t="s">
        <v>153</v>
      </c>
      <c r="G5" s="14" t="s">
        <v>346</v>
      </c>
      <c r="H5" s="14" t="s">
        <v>347</v>
      </c>
    </row>
    <row r="6">
      <c r="A6" s="32">
        <v>46208.7992825463</v>
      </c>
      <c r="B6" s="14" t="s">
        <v>341</v>
      </c>
      <c r="C6" s="20">
        <v>1.0</v>
      </c>
      <c r="D6" s="14" t="s">
        <v>168</v>
      </c>
      <c r="F6" s="14" t="s">
        <v>153</v>
      </c>
      <c r="G6" s="14" t="s">
        <v>346</v>
      </c>
      <c r="H6" s="14" t="s">
        <v>348</v>
      </c>
    </row>
    <row r="7">
      <c r="A7" s="32">
        <v>46208.79972181713</v>
      </c>
      <c r="B7" s="14" t="s">
        <v>341</v>
      </c>
      <c r="C7" s="20">
        <v>1.0</v>
      </c>
      <c r="D7" s="14" t="s">
        <v>156</v>
      </c>
      <c r="F7" s="14" t="s">
        <v>153</v>
      </c>
      <c r="G7" s="14" t="s">
        <v>346</v>
      </c>
      <c r="H7" s="14" t="s">
        <v>349</v>
      </c>
    </row>
    <row r="8">
      <c r="A8" s="32">
        <v>46208.79974533565</v>
      </c>
      <c r="B8" s="14" t="s">
        <v>341</v>
      </c>
      <c r="C8" s="20">
        <v>1.0</v>
      </c>
      <c r="D8" s="14" t="s">
        <v>171</v>
      </c>
      <c r="F8" s="14" t="s">
        <v>153</v>
      </c>
      <c r="G8" s="14" t="s">
        <v>343</v>
      </c>
      <c r="H8" s="14" t="s">
        <v>350</v>
      </c>
    </row>
    <row r="9">
      <c r="A9" s="32">
        <v>46208.80059384259</v>
      </c>
      <c r="B9" s="14" t="s">
        <v>341</v>
      </c>
      <c r="C9" s="20">
        <v>1.0</v>
      </c>
      <c r="D9" s="14" t="s">
        <v>162</v>
      </c>
      <c r="F9" s="14" t="s">
        <v>153</v>
      </c>
      <c r="G9" s="14" t="s">
        <v>351</v>
      </c>
      <c r="H9" s="14" t="s">
        <v>349</v>
      </c>
    </row>
    <row r="10">
      <c r="A10" s="32">
        <v>46208.80490351852</v>
      </c>
      <c r="B10" s="14" t="s">
        <v>352</v>
      </c>
      <c r="C10" s="20">
        <v>1.0</v>
      </c>
      <c r="D10" s="14" t="s">
        <v>110</v>
      </c>
      <c r="F10" s="14" t="s">
        <v>110</v>
      </c>
      <c r="G10" s="14"/>
    </row>
    <row r="11">
      <c r="A11" s="32">
        <v>46208.80791241898</v>
      </c>
      <c r="B11" s="14" t="s">
        <v>340</v>
      </c>
      <c r="C11" s="20">
        <v>2.0</v>
      </c>
      <c r="D11" s="14" t="s">
        <v>110</v>
      </c>
      <c r="F11" s="14" t="s">
        <v>110</v>
      </c>
      <c r="G11" s="14"/>
      <c r="H11" s="14"/>
    </row>
    <row r="12">
      <c r="A12" s="32">
        <v>46208.81049716435</v>
      </c>
      <c r="B12" s="14" t="s">
        <v>341</v>
      </c>
      <c r="C12" s="20">
        <v>2.0</v>
      </c>
      <c r="D12" s="14" t="s">
        <v>159</v>
      </c>
      <c r="F12" s="14" t="s">
        <v>153</v>
      </c>
      <c r="G12" s="14" t="s">
        <v>344</v>
      </c>
      <c r="H12" s="14" t="s">
        <v>353</v>
      </c>
    </row>
    <row r="13">
      <c r="A13" s="32">
        <v>46208.810527685186</v>
      </c>
      <c r="B13" s="14" t="s">
        <v>341</v>
      </c>
      <c r="C13" s="20">
        <v>2.0</v>
      </c>
      <c r="D13" s="14" t="s">
        <v>162</v>
      </c>
      <c r="F13" s="14" t="s">
        <v>153</v>
      </c>
      <c r="G13" s="14" t="s">
        <v>346</v>
      </c>
      <c r="H13" s="14" t="s">
        <v>353</v>
      </c>
    </row>
    <row r="14">
      <c r="A14" s="32">
        <v>46208.810896944444</v>
      </c>
      <c r="B14" s="14" t="s">
        <v>341</v>
      </c>
      <c r="C14" s="20">
        <v>2.0</v>
      </c>
      <c r="D14" s="14" t="s">
        <v>165</v>
      </c>
      <c r="F14" s="14" t="s">
        <v>153</v>
      </c>
      <c r="G14" s="14" t="s">
        <v>349</v>
      </c>
      <c r="H14" s="14" t="s">
        <v>354</v>
      </c>
    </row>
    <row r="15">
      <c r="A15" s="32">
        <v>46208.8111021875</v>
      </c>
      <c r="B15" s="14" t="s">
        <v>341</v>
      </c>
      <c r="C15" s="20">
        <v>2.0</v>
      </c>
      <c r="D15" s="14" t="s">
        <v>151</v>
      </c>
      <c r="F15" s="14" t="s">
        <v>153</v>
      </c>
      <c r="G15" s="14" t="s">
        <v>349</v>
      </c>
      <c r="H15" s="14" t="s">
        <v>355</v>
      </c>
    </row>
    <row r="16">
      <c r="A16" s="32">
        <v>46208.81142892361</v>
      </c>
      <c r="B16" s="14" t="s">
        <v>341</v>
      </c>
      <c r="C16" s="20">
        <v>2.0</v>
      </c>
      <c r="D16" s="14" t="s">
        <v>156</v>
      </c>
      <c r="F16" s="14" t="s">
        <v>153</v>
      </c>
      <c r="G16" s="14" t="s">
        <v>348</v>
      </c>
      <c r="H16" s="14" t="s">
        <v>356</v>
      </c>
    </row>
    <row r="17">
      <c r="A17" s="32">
        <v>46208.81163984953</v>
      </c>
      <c r="B17" s="14" t="s">
        <v>341</v>
      </c>
      <c r="C17" s="20">
        <v>2.0</v>
      </c>
      <c r="D17" s="14" t="s">
        <v>168</v>
      </c>
      <c r="F17" s="14" t="s">
        <v>153</v>
      </c>
      <c r="G17" s="14" t="s">
        <v>349</v>
      </c>
      <c r="H17" s="14" t="s">
        <v>356</v>
      </c>
    </row>
    <row r="18">
      <c r="A18" s="32">
        <v>46208.812226435184</v>
      </c>
      <c r="B18" s="14" t="s">
        <v>341</v>
      </c>
      <c r="C18" s="20">
        <v>2.0</v>
      </c>
      <c r="D18" s="14" t="s">
        <v>171</v>
      </c>
      <c r="F18" s="14" t="s">
        <v>153</v>
      </c>
      <c r="G18" s="14" t="s">
        <v>347</v>
      </c>
      <c r="H18" s="14" t="s">
        <v>355</v>
      </c>
    </row>
    <row r="19">
      <c r="A19" s="32">
        <v>46208.81265015046</v>
      </c>
      <c r="B19" s="14" t="s">
        <v>352</v>
      </c>
      <c r="C19" s="20">
        <v>2.0</v>
      </c>
      <c r="D19" s="14" t="s">
        <v>110</v>
      </c>
      <c r="F19" s="14" t="s">
        <v>110</v>
      </c>
      <c r="G19" s="14"/>
      <c r="H19" s="14"/>
    </row>
    <row r="20">
      <c r="A20" s="32">
        <v>46208.81359280093</v>
      </c>
      <c r="B20" s="14" t="s">
        <v>340</v>
      </c>
      <c r="C20" s="20">
        <v>3.0</v>
      </c>
      <c r="D20" s="14" t="s">
        <v>110</v>
      </c>
      <c r="F20" s="14" t="s">
        <v>110</v>
      </c>
      <c r="G20" s="14"/>
      <c r="H20" s="14"/>
    </row>
    <row r="21">
      <c r="A21" s="32">
        <v>46208.81487016204</v>
      </c>
      <c r="B21" s="14" t="s">
        <v>341</v>
      </c>
      <c r="C21" s="20">
        <v>3.0</v>
      </c>
      <c r="D21" s="14" t="s">
        <v>151</v>
      </c>
      <c r="F21" s="14" t="s">
        <v>153</v>
      </c>
      <c r="G21" s="14" t="s">
        <v>344</v>
      </c>
      <c r="H21" s="14" t="s">
        <v>357</v>
      </c>
    </row>
    <row r="22">
      <c r="A22" s="32">
        <v>46208.815269224535</v>
      </c>
      <c r="B22" s="14" t="s">
        <v>341</v>
      </c>
      <c r="C22" s="20">
        <v>3.0</v>
      </c>
      <c r="D22" s="14" t="s">
        <v>165</v>
      </c>
      <c r="F22" s="14" t="s">
        <v>153</v>
      </c>
      <c r="G22" s="14" t="s">
        <v>346</v>
      </c>
      <c r="H22" s="14" t="s">
        <v>343</v>
      </c>
    </row>
    <row r="23">
      <c r="A23" s="32">
        <v>46208.81549030093</v>
      </c>
      <c r="B23" s="14" t="s">
        <v>341</v>
      </c>
      <c r="C23" s="20">
        <v>3.0</v>
      </c>
      <c r="D23" s="14" t="s">
        <v>159</v>
      </c>
      <c r="F23" s="14" t="s">
        <v>153</v>
      </c>
      <c r="G23" s="14" t="s">
        <v>346</v>
      </c>
      <c r="H23" s="14" t="s">
        <v>356</v>
      </c>
    </row>
    <row r="24">
      <c r="A24" s="32">
        <v>46208.8158150463</v>
      </c>
      <c r="B24" s="14" t="s">
        <v>341</v>
      </c>
      <c r="C24" s="20">
        <v>3.0</v>
      </c>
      <c r="D24" s="14" t="s">
        <v>156</v>
      </c>
      <c r="F24" s="14" t="s">
        <v>153</v>
      </c>
      <c r="G24" s="14" t="s">
        <v>343</v>
      </c>
      <c r="H24" s="14" t="s">
        <v>345</v>
      </c>
    </row>
    <row r="25">
      <c r="A25" s="32">
        <v>46208.815846921294</v>
      </c>
      <c r="B25" s="14" t="s">
        <v>341</v>
      </c>
      <c r="C25" s="20">
        <v>3.0</v>
      </c>
      <c r="D25" s="14" t="s">
        <v>162</v>
      </c>
      <c r="F25" s="14" t="s">
        <v>153</v>
      </c>
      <c r="G25" s="14" t="s">
        <v>357</v>
      </c>
      <c r="H25" s="14" t="s">
        <v>358</v>
      </c>
    </row>
    <row r="26">
      <c r="A26" s="32">
        <v>46208.8167068287</v>
      </c>
      <c r="B26" s="14" t="s">
        <v>341</v>
      </c>
      <c r="C26" s="20">
        <v>3.0</v>
      </c>
      <c r="D26" s="14" t="s">
        <v>171</v>
      </c>
      <c r="F26" s="14" t="s">
        <v>153</v>
      </c>
      <c r="G26" s="14" t="s">
        <v>344</v>
      </c>
      <c r="H26" s="14" t="s">
        <v>348</v>
      </c>
    </row>
    <row r="27">
      <c r="A27" s="32">
        <v>46208.81701358796</v>
      </c>
      <c r="B27" s="14" t="s">
        <v>341</v>
      </c>
      <c r="C27" s="20">
        <v>3.0</v>
      </c>
      <c r="D27" s="14" t="s">
        <v>168</v>
      </c>
      <c r="F27" s="14" t="s">
        <v>153</v>
      </c>
      <c r="G27" s="14" t="s">
        <v>351</v>
      </c>
      <c r="H27" s="14" t="s">
        <v>359</v>
      </c>
    </row>
    <row r="28">
      <c r="A28" s="32">
        <v>46208.81813971065</v>
      </c>
      <c r="B28" s="14" t="s">
        <v>352</v>
      </c>
      <c r="C28" s="20">
        <v>3.0</v>
      </c>
      <c r="D28" s="14" t="s">
        <v>110</v>
      </c>
      <c r="F28" s="14" t="s">
        <v>110</v>
      </c>
      <c r="G28" s="14"/>
    </row>
    <row r="29">
      <c r="A29" s="32">
        <v>46208.819262777775</v>
      </c>
      <c r="B29" s="14" t="s">
        <v>340</v>
      </c>
      <c r="C29" s="20">
        <v>4.0</v>
      </c>
      <c r="D29" s="14" t="s">
        <v>110</v>
      </c>
      <c r="F29" s="14" t="s">
        <v>110</v>
      </c>
      <c r="G29" s="14"/>
    </row>
    <row r="30">
      <c r="A30" s="32">
        <v>46208.82086226852</v>
      </c>
      <c r="B30" s="14" t="s">
        <v>341</v>
      </c>
      <c r="C30" s="20">
        <v>4.0</v>
      </c>
      <c r="D30" s="14" t="s">
        <v>159</v>
      </c>
      <c r="F30" s="14" t="s">
        <v>153</v>
      </c>
      <c r="G30" s="14" t="s">
        <v>347</v>
      </c>
      <c r="H30" s="14" t="s">
        <v>355</v>
      </c>
    </row>
    <row r="31">
      <c r="A31" s="32">
        <v>46208.82115903935</v>
      </c>
      <c r="B31" s="14" t="s">
        <v>341</v>
      </c>
      <c r="C31" s="20">
        <v>4.0</v>
      </c>
      <c r="D31" s="14" t="s">
        <v>151</v>
      </c>
      <c r="F31" s="14" t="s">
        <v>153</v>
      </c>
      <c r="G31" s="14" t="s">
        <v>356</v>
      </c>
      <c r="H31" s="14" t="s">
        <v>360</v>
      </c>
    </row>
    <row r="32">
      <c r="A32" s="32">
        <v>46208.82197668981</v>
      </c>
      <c r="B32" s="14" t="s">
        <v>341</v>
      </c>
      <c r="C32" s="20">
        <v>4.0</v>
      </c>
      <c r="D32" s="14" t="s">
        <v>165</v>
      </c>
      <c r="F32" s="14" t="s">
        <v>153</v>
      </c>
      <c r="G32" s="14" t="s">
        <v>351</v>
      </c>
      <c r="H32" s="14" t="s">
        <v>353</v>
      </c>
    </row>
    <row r="33">
      <c r="A33" s="32">
        <v>46208.82227186342</v>
      </c>
      <c r="B33" s="14" t="s">
        <v>341</v>
      </c>
      <c r="C33" s="20">
        <v>4.0</v>
      </c>
      <c r="D33" s="14" t="s">
        <v>162</v>
      </c>
      <c r="F33" s="14" t="s">
        <v>153</v>
      </c>
      <c r="G33" s="14" t="s">
        <v>361</v>
      </c>
      <c r="H33" s="14" t="s">
        <v>362</v>
      </c>
    </row>
    <row r="34">
      <c r="A34" s="32">
        <v>46208.82240027778</v>
      </c>
      <c r="B34" s="14" t="s">
        <v>341</v>
      </c>
      <c r="C34" s="20">
        <v>4.0</v>
      </c>
      <c r="D34" s="14" t="s">
        <v>168</v>
      </c>
      <c r="F34" s="14" t="s">
        <v>153</v>
      </c>
      <c r="G34" s="14" t="s">
        <v>344</v>
      </c>
      <c r="H34" s="14" t="s">
        <v>362</v>
      </c>
    </row>
    <row r="35">
      <c r="A35" s="32">
        <v>46208.822468831015</v>
      </c>
      <c r="B35" s="14" t="s">
        <v>341</v>
      </c>
      <c r="C35" s="20">
        <v>4.0</v>
      </c>
      <c r="D35" s="14" t="s">
        <v>171</v>
      </c>
      <c r="F35" s="14" t="s">
        <v>153</v>
      </c>
      <c r="G35" s="14" t="s">
        <v>356</v>
      </c>
      <c r="H35" s="14" t="s">
        <v>353</v>
      </c>
    </row>
    <row r="36">
      <c r="A36" s="32">
        <v>46208.82250501157</v>
      </c>
      <c r="B36" s="14" t="s">
        <v>341</v>
      </c>
      <c r="C36" s="20">
        <v>4.0</v>
      </c>
      <c r="D36" s="14" t="s">
        <v>156</v>
      </c>
      <c r="F36" s="14" t="s">
        <v>153</v>
      </c>
      <c r="G36" s="14" t="s">
        <v>353</v>
      </c>
      <c r="H36" s="14" t="s">
        <v>355</v>
      </c>
    </row>
    <row r="37">
      <c r="A37" s="32">
        <v>46208.822906064815</v>
      </c>
      <c r="B37" s="14" t="s">
        <v>352</v>
      </c>
      <c r="C37" s="20">
        <v>4.0</v>
      </c>
      <c r="D37" s="14" t="s">
        <v>110</v>
      </c>
      <c r="F37" s="14" t="s">
        <v>110</v>
      </c>
      <c r="G37" s="14"/>
    </row>
    <row r="38">
      <c r="A38" s="32">
        <v>46208.82343896991</v>
      </c>
      <c r="B38" s="14" t="s">
        <v>340</v>
      </c>
      <c r="C38" s="20">
        <v>5.0</v>
      </c>
      <c r="D38" s="14" t="s">
        <v>110</v>
      </c>
      <c r="F38" s="14" t="s">
        <v>110</v>
      </c>
      <c r="G38" s="14"/>
    </row>
    <row r="39">
      <c r="A39" s="32">
        <v>46208.82513805556</v>
      </c>
      <c r="B39" s="14" t="s">
        <v>341</v>
      </c>
      <c r="C39" s="20">
        <v>5.0</v>
      </c>
      <c r="D39" s="14" t="s">
        <v>159</v>
      </c>
      <c r="F39" s="14" t="s">
        <v>153</v>
      </c>
      <c r="G39" s="14" t="s">
        <v>363</v>
      </c>
      <c r="H39" s="14" t="s">
        <v>345</v>
      </c>
    </row>
    <row r="40">
      <c r="A40" s="32">
        <v>46208.825686724536</v>
      </c>
      <c r="B40" s="14" t="s">
        <v>341</v>
      </c>
      <c r="C40" s="20">
        <v>5.0</v>
      </c>
      <c r="D40" s="14" t="s">
        <v>165</v>
      </c>
      <c r="F40" s="14" t="s">
        <v>153</v>
      </c>
      <c r="G40" s="14" t="s">
        <v>360</v>
      </c>
      <c r="H40" s="14" t="s">
        <v>357</v>
      </c>
    </row>
    <row r="41">
      <c r="A41" s="32">
        <v>46208.825945358796</v>
      </c>
      <c r="B41" s="14" t="s">
        <v>341</v>
      </c>
      <c r="C41" s="20">
        <v>5.0</v>
      </c>
      <c r="D41" s="14" t="s">
        <v>156</v>
      </c>
      <c r="F41" s="14" t="s">
        <v>153</v>
      </c>
      <c r="G41" s="14" t="s">
        <v>350</v>
      </c>
      <c r="H41" s="14" t="s">
        <v>354</v>
      </c>
    </row>
    <row r="42">
      <c r="A42" s="32">
        <v>46208.82605275463</v>
      </c>
      <c r="B42" s="14" t="s">
        <v>341</v>
      </c>
      <c r="C42" s="20">
        <v>5.0</v>
      </c>
      <c r="D42" s="14" t="s">
        <v>162</v>
      </c>
      <c r="F42" s="14" t="s">
        <v>153</v>
      </c>
      <c r="G42" s="14" t="s">
        <v>359</v>
      </c>
      <c r="H42" s="14" t="s">
        <v>364</v>
      </c>
    </row>
    <row r="43">
      <c r="A43" s="32">
        <v>46208.82614966435</v>
      </c>
      <c r="B43" s="14" t="s">
        <v>341</v>
      </c>
      <c r="C43" s="20">
        <v>5.0</v>
      </c>
      <c r="D43" s="14" t="s">
        <v>151</v>
      </c>
      <c r="F43" s="14" t="s">
        <v>153</v>
      </c>
      <c r="G43" s="14" t="s">
        <v>358</v>
      </c>
      <c r="H43" s="14" t="s">
        <v>365</v>
      </c>
    </row>
    <row r="44">
      <c r="A44" s="32">
        <v>46208.826403935185</v>
      </c>
      <c r="B44" s="14" t="s">
        <v>341</v>
      </c>
      <c r="C44" s="20">
        <v>5.0</v>
      </c>
      <c r="D44" s="14" t="s">
        <v>171</v>
      </c>
      <c r="F44" s="14" t="s">
        <v>153</v>
      </c>
      <c r="G44" s="14" t="s">
        <v>366</v>
      </c>
      <c r="H44" s="14" t="s">
        <v>366</v>
      </c>
    </row>
    <row r="45">
      <c r="A45" s="32">
        <v>46208.82672967593</v>
      </c>
      <c r="B45" s="14" t="s">
        <v>341</v>
      </c>
      <c r="C45" s="20">
        <v>5.0</v>
      </c>
      <c r="D45" s="14" t="s">
        <v>168</v>
      </c>
      <c r="F45" s="14" t="s">
        <v>153</v>
      </c>
      <c r="G45" s="14" t="s">
        <v>345</v>
      </c>
      <c r="H45" s="14" t="s">
        <v>347</v>
      </c>
    </row>
    <row r="46">
      <c r="A46" s="32">
        <v>46208.82700564815</v>
      </c>
      <c r="B46" s="14" t="s">
        <v>352</v>
      </c>
      <c r="C46" s="20">
        <v>5.0</v>
      </c>
      <c r="D46" s="14" t="s">
        <v>110</v>
      </c>
      <c r="F46" s="14" t="s">
        <v>110</v>
      </c>
      <c r="G46" s="14"/>
    </row>
    <row r="47">
      <c r="A47" s="32">
        <v>46208.82758369213</v>
      </c>
      <c r="B47" s="14" t="s">
        <v>340</v>
      </c>
      <c r="C47" s="20">
        <v>6.0</v>
      </c>
      <c r="D47" s="14" t="s">
        <v>110</v>
      </c>
      <c r="F47" s="14" t="s">
        <v>110</v>
      </c>
      <c r="G47" s="14"/>
    </row>
    <row r="48">
      <c r="A48" s="32">
        <v>46208.8289000463</v>
      </c>
      <c r="B48" s="14" t="s">
        <v>341</v>
      </c>
      <c r="C48" s="20">
        <v>6.0</v>
      </c>
      <c r="D48" s="14" t="s">
        <v>151</v>
      </c>
      <c r="F48" s="14" t="s">
        <v>153</v>
      </c>
      <c r="G48" s="14" t="s">
        <v>351</v>
      </c>
      <c r="H48" s="14" t="s">
        <v>361</v>
      </c>
    </row>
    <row r="49">
      <c r="A49" s="32">
        <v>46208.829030347224</v>
      </c>
      <c r="B49" s="14" t="s">
        <v>341</v>
      </c>
      <c r="C49" s="20">
        <v>6.0</v>
      </c>
      <c r="D49" s="14" t="s">
        <v>159</v>
      </c>
      <c r="F49" s="14" t="s">
        <v>153</v>
      </c>
      <c r="G49" s="14" t="s">
        <v>349</v>
      </c>
      <c r="H49" s="14" t="s">
        <v>357</v>
      </c>
    </row>
    <row r="50">
      <c r="A50" s="32">
        <v>46208.82970864583</v>
      </c>
      <c r="B50" s="14" t="s">
        <v>341</v>
      </c>
      <c r="C50" s="20">
        <v>6.0</v>
      </c>
      <c r="D50" s="14" t="s">
        <v>165</v>
      </c>
      <c r="F50" s="14" t="s">
        <v>153</v>
      </c>
      <c r="G50" s="14" t="s">
        <v>356</v>
      </c>
      <c r="H50" s="14" t="s">
        <v>342</v>
      </c>
    </row>
    <row r="51">
      <c r="A51" s="32">
        <v>46208.82993037037</v>
      </c>
      <c r="B51" s="14" t="s">
        <v>341</v>
      </c>
      <c r="C51" s="20">
        <v>6.0</v>
      </c>
      <c r="D51" s="14" t="s">
        <v>162</v>
      </c>
      <c r="F51" s="14" t="s">
        <v>153</v>
      </c>
      <c r="G51" s="14" t="s">
        <v>344</v>
      </c>
      <c r="H51" s="14" t="s">
        <v>345</v>
      </c>
    </row>
    <row r="52">
      <c r="A52" s="32">
        <v>46208.83017952547</v>
      </c>
      <c r="B52" s="14" t="s">
        <v>341</v>
      </c>
      <c r="C52" s="20">
        <v>6.0</v>
      </c>
      <c r="D52" s="14" t="s">
        <v>156</v>
      </c>
      <c r="F52" s="14" t="s">
        <v>153</v>
      </c>
      <c r="G52" s="14" t="s">
        <v>344</v>
      </c>
      <c r="H52" s="14" t="s">
        <v>362</v>
      </c>
    </row>
    <row r="53">
      <c r="A53" s="32">
        <v>46208.830707291665</v>
      </c>
      <c r="B53" s="14" t="s">
        <v>341</v>
      </c>
      <c r="C53" s="20">
        <v>6.0</v>
      </c>
      <c r="D53" s="14" t="s">
        <v>168</v>
      </c>
      <c r="F53" s="14" t="s">
        <v>153</v>
      </c>
      <c r="G53" s="14" t="s">
        <v>367</v>
      </c>
      <c r="H53" s="14" t="s">
        <v>365</v>
      </c>
    </row>
    <row r="54">
      <c r="A54" s="32">
        <v>46209.5596672338</v>
      </c>
      <c r="B54" s="14" t="s">
        <v>368</v>
      </c>
      <c r="C54" s="20">
        <v>6.0</v>
      </c>
      <c r="D54" s="14" t="s">
        <v>171</v>
      </c>
      <c r="F54" s="14" t="s">
        <v>153</v>
      </c>
      <c r="G54" s="14" t="s">
        <v>366</v>
      </c>
      <c r="H54" s="14" t="s">
        <v>366</v>
      </c>
      <c r="R54" s="14" t="s">
        <v>369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9.38"/>
    <col customWidth="1" min="3" max="3" width="7.5"/>
    <col customWidth="1" min="4" max="4" width="18.88"/>
    <col customWidth="1" min="5" max="5" width="11.25"/>
    <col customWidth="1" min="6" max="6" width="5.88"/>
    <col customWidth="1" min="7" max="7" width="6.63"/>
    <col customWidth="1" min="8" max="8" width="12.0"/>
    <col customWidth="1" min="9" max="10" width="18.88"/>
  </cols>
  <sheetData>
    <row r="1">
      <c r="A1" s="30" t="s">
        <v>100</v>
      </c>
      <c r="B1" s="30" t="s">
        <v>124</v>
      </c>
      <c r="C1" s="31" t="s">
        <v>120</v>
      </c>
      <c r="D1" s="30" t="s">
        <v>370</v>
      </c>
      <c r="E1" s="31" t="s">
        <v>125</v>
      </c>
      <c r="F1" s="30" t="s">
        <v>371</v>
      </c>
      <c r="G1" s="5" t="s">
        <v>105</v>
      </c>
      <c r="H1" s="5" t="s">
        <v>267</v>
      </c>
    </row>
    <row r="2">
      <c r="A2" s="32">
        <v>46208.6724559375</v>
      </c>
      <c r="B2" s="14" t="s">
        <v>372</v>
      </c>
      <c r="C2" s="14" t="s">
        <v>151</v>
      </c>
      <c r="D2" s="14" t="s">
        <v>373</v>
      </c>
      <c r="E2" s="14" t="s">
        <v>374</v>
      </c>
      <c r="F2" s="14" t="s">
        <v>375</v>
      </c>
      <c r="G2" s="14" t="s">
        <v>269</v>
      </c>
      <c r="H2" s="14"/>
    </row>
    <row r="3">
      <c r="A3" s="32">
        <v>46208.6727637963</v>
      </c>
      <c r="B3" s="14" t="s">
        <v>376</v>
      </c>
      <c r="C3" s="14" t="s">
        <v>156</v>
      </c>
      <c r="D3" s="14" t="s">
        <v>377</v>
      </c>
      <c r="E3" s="14" t="s">
        <v>378</v>
      </c>
      <c r="F3" s="14" t="s">
        <v>375</v>
      </c>
      <c r="G3" s="14" t="s">
        <v>269</v>
      </c>
      <c r="H3" s="14"/>
    </row>
    <row r="4">
      <c r="A4" s="32">
        <v>46208.67297177084</v>
      </c>
      <c r="B4" s="14" t="s">
        <v>379</v>
      </c>
      <c r="C4" s="14" t="s">
        <v>159</v>
      </c>
      <c r="D4" s="14" t="s">
        <v>380</v>
      </c>
      <c r="E4" s="14" t="s">
        <v>381</v>
      </c>
      <c r="F4" s="14" t="s">
        <v>375</v>
      </c>
      <c r="G4" s="14" t="s">
        <v>269</v>
      </c>
      <c r="H4" s="14"/>
    </row>
    <row r="5">
      <c r="A5" s="32">
        <v>46208.67325773148</v>
      </c>
      <c r="B5" s="14" t="s">
        <v>382</v>
      </c>
      <c r="C5" s="14" t="s">
        <v>162</v>
      </c>
      <c r="D5" s="14" t="s">
        <v>383</v>
      </c>
      <c r="E5" s="14" t="s">
        <v>384</v>
      </c>
      <c r="F5" s="14" t="s">
        <v>375</v>
      </c>
      <c r="G5" s="14" t="s">
        <v>269</v>
      </c>
      <c r="H5" s="14"/>
    </row>
    <row r="6">
      <c r="A6" s="32">
        <v>46208.673523310186</v>
      </c>
      <c r="B6" s="14" t="s">
        <v>385</v>
      </c>
      <c r="C6" s="14" t="s">
        <v>165</v>
      </c>
      <c r="D6" s="14" t="s">
        <v>386</v>
      </c>
      <c r="E6" s="14" t="s">
        <v>387</v>
      </c>
      <c r="F6" s="14" t="s">
        <v>375</v>
      </c>
      <c r="G6" s="14" t="s">
        <v>269</v>
      </c>
      <c r="H6" s="14"/>
    </row>
    <row r="7">
      <c r="A7" s="32">
        <v>46208.78634479167</v>
      </c>
      <c r="B7" s="14" t="s">
        <v>388</v>
      </c>
      <c r="C7" s="14" t="s">
        <v>168</v>
      </c>
      <c r="D7" s="14" t="s">
        <v>389</v>
      </c>
      <c r="E7" s="14" t="s">
        <v>390</v>
      </c>
      <c r="F7" s="14" t="s">
        <v>375</v>
      </c>
      <c r="G7" s="14" t="s">
        <v>269</v>
      </c>
      <c r="H7" s="14"/>
    </row>
    <row r="8">
      <c r="A8" s="32">
        <v>46208.787864212965</v>
      </c>
      <c r="B8" s="14" t="s">
        <v>391</v>
      </c>
      <c r="C8" s="14" t="s">
        <v>171</v>
      </c>
      <c r="D8" s="14" t="s">
        <v>392</v>
      </c>
      <c r="E8" s="14" t="s">
        <v>393</v>
      </c>
      <c r="F8" s="14" t="s">
        <v>375</v>
      </c>
      <c r="G8" s="14" t="s">
        <v>269</v>
      </c>
      <c r="H8" s="14"/>
    </row>
    <row r="9">
      <c r="A9" s="32"/>
      <c r="B9" s="14"/>
      <c r="C9" s="14"/>
      <c r="D9" s="14"/>
      <c r="E9" s="14"/>
      <c r="F9" s="14"/>
      <c r="G9" s="14"/>
      <c r="H9"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6.0"/>
    <col customWidth="1" min="3" max="3" width="3.88"/>
    <col customWidth="1" min="4" max="4" width="7.0"/>
    <col customWidth="1" min="5" max="5" width="9.25"/>
    <col customWidth="1" min="6" max="6" width="14.38"/>
    <col customWidth="1" min="7" max="7" width="4.5"/>
    <col customWidth="1" min="8" max="8" width="6.75"/>
    <col customWidth="1" min="9" max="9" width="11.88"/>
    <col customWidth="1" min="10" max="10" width="10.13"/>
    <col customWidth="1" min="11" max="12" width="9.5"/>
    <col customWidth="1" min="13" max="13" width="18.63"/>
    <col customWidth="1" min="14" max="14" width="17.38"/>
  </cols>
  <sheetData>
    <row r="1">
      <c r="A1" s="5" t="s">
        <v>100</v>
      </c>
      <c r="B1" s="5" t="s">
        <v>394</v>
      </c>
      <c r="C1" s="5" t="s">
        <v>102</v>
      </c>
      <c r="D1" s="5" t="s">
        <v>127</v>
      </c>
      <c r="E1" s="5" t="s">
        <v>395</v>
      </c>
      <c r="F1" s="5" t="s">
        <v>396</v>
      </c>
      <c r="G1" s="5" t="s">
        <v>128</v>
      </c>
      <c r="H1" s="5" t="s">
        <v>397</v>
      </c>
      <c r="I1" s="5" t="s">
        <v>398</v>
      </c>
      <c r="J1" s="5" t="s">
        <v>399</v>
      </c>
      <c r="K1" s="5" t="s">
        <v>101</v>
      </c>
      <c r="L1" s="5" t="s">
        <v>284</v>
      </c>
      <c r="M1" s="5" t="s">
        <v>267</v>
      </c>
      <c r="N1" s="5" t="s">
        <v>105</v>
      </c>
    </row>
    <row r="2">
      <c r="A2" s="32">
        <v>46164.375</v>
      </c>
      <c r="B2" s="14" t="s">
        <v>400</v>
      </c>
      <c r="C2" s="14">
        <v>0.0</v>
      </c>
      <c r="D2" s="33" t="s">
        <v>401</v>
      </c>
      <c r="E2" s="33"/>
      <c r="F2" s="33"/>
      <c r="G2" s="33" t="s">
        <v>402</v>
      </c>
      <c r="H2" s="33"/>
      <c r="I2" s="33"/>
      <c r="J2" s="14" t="s">
        <v>403</v>
      </c>
      <c r="K2" s="33" t="s">
        <v>50</v>
      </c>
      <c r="L2" s="33"/>
      <c r="N2" s="14" t="s">
        <v>109</v>
      </c>
    </row>
    <row r="3">
      <c r="A3" s="32">
        <v>46165.375</v>
      </c>
      <c r="B3" s="14" t="s">
        <v>404</v>
      </c>
      <c r="C3" s="14">
        <v>1.0</v>
      </c>
      <c r="D3" s="33" t="s">
        <v>405</v>
      </c>
      <c r="E3" s="33"/>
      <c r="F3" s="33"/>
      <c r="G3" s="33" t="s">
        <v>406</v>
      </c>
      <c r="H3" s="33"/>
      <c r="I3" s="33"/>
      <c r="J3" s="14" t="s">
        <v>403</v>
      </c>
      <c r="K3" s="33" t="s">
        <v>50</v>
      </c>
      <c r="L3" s="33"/>
      <c r="N3" s="14" t="s">
        <v>109</v>
      </c>
    </row>
    <row r="4">
      <c r="A4" s="32">
        <v>46166.375</v>
      </c>
      <c r="B4" s="14" t="s">
        <v>407</v>
      </c>
      <c r="C4" s="14">
        <v>2.0</v>
      </c>
      <c r="D4" s="33" t="s">
        <v>405</v>
      </c>
      <c r="E4" s="33"/>
      <c r="F4" s="33"/>
      <c r="G4" s="33" t="s">
        <v>408</v>
      </c>
      <c r="H4" s="33"/>
      <c r="I4" s="33"/>
      <c r="J4" s="14" t="s">
        <v>403</v>
      </c>
      <c r="K4" s="33" t="s">
        <v>50</v>
      </c>
      <c r="L4" s="33"/>
      <c r="N4" s="14" t="s">
        <v>109</v>
      </c>
    </row>
    <row r="5">
      <c r="A5" s="32">
        <v>46167.375</v>
      </c>
      <c r="B5" s="14" t="s">
        <v>409</v>
      </c>
      <c r="C5" s="14">
        <v>3.0</v>
      </c>
      <c r="D5" s="33" t="s">
        <v>410</v>
      </c>
      <c r="E5" s="33"/>
      <c r="F5" s="33"/>
      <c r="G5" s="33" t="s">
        <v>408</v>
      </c>
      <c r="H5" s="33"/>
      <c r="I5" s="33"/>
      <c r="J5" s="14" t="s">
        <v>403</v>
      </c>
      <c r="K5" s="33" t="s">
        <v>50</v>
      </c>
      <c r="L5" s="33"/>
      <c r="N5" s="14" t="s">
        <v>109</v>
      </c>
    </row>
    <row r="6">
      <c r="A6" s="32">
        <v>46168.375</v>
      </c>
      <c r="B6" s="14" t="s">
        <v>411</v>
      </c>
      <c r="C6" s="14">
        <v>4.0</v>
      </c>
      <c r="D6" s="33" t="s">
        <v>410</v>
      </c>
      <c r="E6" s="33"/>
      <c r="F6" s="33"/>
      <c r="G6" s="33" t="s">
        <v>412</v>
      </c>
      <c r="H6" s="33"/>
      <c r="I6" s="33"/>
      <c r="J6" s="14" t="s">
        <v>403</v>
      </c>
      <c r="K6" s="33" t="s">
        <v>50</v>
      </c>
      <c r="L6" s="33"/>
      <c r="N6" s="14" t="s">
        <v>109</v>
      </c>
    </row>
    <row r="7">
      <c r="A7" s="32">
        <v>46169.375</v>
      </c>
      <c r="B7" s="14" t="s">
        <v>413</v>
      </c>
      <c r="C7" s="14">
        <v>5.0</v>
      </c>
      <c r="D7" s="14" t="s">
        <v>414</v>
      </c>
      <c r="E7" s="14"/>
      <c r="F7" s="14"/>
      <c r="G7" s="14" t="s">
        <v>412</v>
      </c>
      <c r="H7" s="14"/>
      <c r="I7" s="14"/>
      <c r="J7" s="14" t="s">
        <v>403</v>
      </c>
      <c r="K7" s="14" t="s">
        <v>50</v>
      </c>
      <c r="L7" s="14"/>
      <c r="N7" s="14" t="s">
        <v>109</v>
      </c>
    </row>
    <row r="8">
      <c r="A8" s="32">
        <v>46170.375</v>
      </c>
      <c r="B8" s="14" t="s">
        <v>415</v>
      </c>
      <c r="C8" s="14">
        <v>6.0</v>
      </c>
      <c r="D8" s="14" t="s">
        <v>414</v>
      </c>
      <c r="E8" s="14"/>
      <c r="F8" s="14"/>
      <c r="G8" s="14" t="s">
        <v>412</v>
      </c>
      <c r="H8" s="14"/>
      <c r="I8" s="14"/>
      <c r="J8" s="14" t="s">
        <v>403</v>
      </c>
      <c r="K8" s="14" t="s">
        <v>50</v>
      </c>
      <c r="L8" s="14"/>
      <c r="N8" s="14" t="s">
        <v>109</v>
      </c>
    </row>
    <row r="9">
      <c r="A9" s="34">
        <v>46195.82824055555</v>
      </c>
      <c r="B9" s="14" t="s">
        <v>416</v>
      </c>
      <c r="C9" s="20">
        <v>1.0</v>
      </c>
      <c r="D9" s="14" t="s">
        <v>405</v>
      </c>
      <c r="E9" s="14"/>
      <c r="F9" s="14"/>
      <c r="G9" s="14" t="s">
        <v>406</v>
      </c>
      <c r="H9" s="14"/>
      <c r="I9" s="14"/>
      <c r="J9" s="14" t="s">
        <v>417</v>
      </c>
      <c r="K9" s="14" t="s">
        <v>418</v>
      </c>
      <c r="L9" s="14"/>
      <c r="M9" s="14" t="s">
        <v>419</v>
      </c>
      <c r="N9" s="14" t="s">
        <v>109</v>
      </c>
    </row>
    <row r="10">
      <c r="A10" s="35">
        <v>46195.82824055555</v>
      </c>
      <c r="B10" s="14" t="s">
        <v>420</v>
      </c>
      <c r="C10" s="20">
        <v>2.0</v>
      </c>
      <c r="D10" s="14" t="s">
        <v>421</v>
      </c>
      <c r="E10" s="14"/>
      <c r="F10" s="14"/>
      <c r="G10" s="14" t="s">
        <v>422</v>
      </c>
      <c r="H10" s="14"/>
      <c r="I10" s="14"/>
      <c r="J10" s="14" t="s">
        <v>417</v>
      </c>
      <c r="K10" s="14" t="s">
        <v>418</v>
      </c>
      <c r="L10" s="14"/>
      <c r="M10" s="14" t="s">
        <v>419</v>
      </c>
      <c r="N10" s="14" t="s">
        <v>109</v>
      </c>
    </row>
    <row r="11">
      <c r="A11" s="35">
        <v>46195.82824055555</v>
      </c>
      <c r="B11" s="14" t="s">
        <v>423</v>
      </c>
      <c r="C11" s="20">
        <v>3.0</v>
      </c>
      <c r="D11" s="14" t="s">
        <v>421</v>
      </c>
      <c r="E11" s="14"/>
      <c r="F11" s="14"/>
      <c r="G11" s="14" t="s">
        <v>422</v>
      </c>
      <c r="H11" s="14"/>
      <c r="I11" s="14"/>
      <c r="J11" s="14" t="s">
        <v>417</v>
      </c>
      <c r="K11" s="14" t="s">
        <v>418</v>
      </c>
      <c r="L11" s="14"/>
      <c r="M11" s="14" t="s">
        <v>419</v>
      </c>
      <c r="N11" s="14" t="s">
        <v>109</v>
      </c>
    </row>
    <row r="12">
      <c r="A12" s="35">
        <v>46195.82824055555</v>
      </c>
      <c r="B12" s="14" t="s">
        <v>424</v>
      </c>
      <c r="C12" s="20">
        <v>4.0</v>
      </c>
      <c r="D12" s="14" t="s">
        <v>414</v>
      </c>
      <c r="E12" s="14"/>
      <c r="F12" s="14"/>
      <c r="G12" s="14" t="s">
        <v>412</v>
      </c>
      <c r="H12" s="14"/>
      <c r="I12" s="14"/>
      <c r="J12" s="14" t="s">
        <v>417</v>
      </c>
      <c r="K12" s="14" t="s">
        <v>418</v>
      </c>
      <c r="L12" s="14"/>
      <c r="M12" s="14" t="s">
        <v>419</v>
      </c>
      <c r="N12" s="14" t="s">
        <v>109</v>
      </c>
    </row>
    <row r="13">
      <c r="A13" s="35">
        <v>46195.82824055555</v>
      </c>
      <c r="B13" s="14" t="s">
        <v>425</v>
      </c>
      <c r="C13" s="20">
        <v>5.0</v>
      </c>
      <c r="D13" s="14" t="s">
        <v>414</v>
      </c>
      <c r="E13" s="14"/>
      <c r="F13" s="14"/>
      <c r="G13" s="14" t="s">
        <v>412</v>
      </c>
      <c r="H13" s="14"/>
      <c r="I13" s="14"/>
      <c r="J13" s="14" t="s">
        <v>417</v>
      </c>
      <c r="K13" s="14" t="s">
        <v>418</v>
      </c>
      <c r="L13" s="14"/>
      <c r="M13" s="14" t="s">
        <v>419</v>
      </c>
      <c r="N13" s="14" t="s">
        <v>109</v>
      </c>
    </row>
    <row r="14">
      <c r="A14" s="35">
        <v>46195.82824055555</v>
      </c>
      <c r="B14" s="14" t="s">
        <v>426</v>
      </c>
      <c r="C14" s="20">
        <v>6.0</v>
      </c>
      <c r="D14" s="14" t="s">
        <v>414</v>
      </c>
      <c r="E14" s="14"/>
      <c r="F14" s="14"/>
      <c r="G14" s="14" t="s">
        <v>412</v>
      </c>
      <c r="H14" s="14"/>
      <c r="I14" s="14"/>
      <c r="J14" s="14" t="s">
        <v>417</v>
      </c>
      <c r="K14" s="14" t="s">
        <v>418</v>
      </c>
      <c r="L14" s="14"/>
      <c r="M14" s="14" t="s">
        <v>419</v>
      </c>
      <c r="N14" s="14" t="s">
        <v>109</v>
      </c>
    </row>
    <row r="15">
      <c r="A15" s="35">
        <v>46195.83538297453</v>
      </c>
      <c r="B15" s="14" t="s">
        <v>427</v>
      </c>
      <c r="C15" s="20">
        <v>1.0</v>
      </c>
      <c r="D15" s="14" t="s">
        <v>410</v>
      </c>
      <c r="E15" s="14"/>
      <c r="F15" s="14"/>
      <c r="G15" s="14" t="s">
        <v>408</v>
      </c>
      <c r="H15" s="14"/>
      <c r="I15" s="14"/>
      <c r="J15" s="14" t="s">
        <v>417</v>
      </c>
      <c r="K15" s="14" t="s">
        <v>111</v>
      </c>
      <c r="L15" s="14"/>
      <c r="M15" s="14" t="s">
        <v>419</v>
      </c>
      <c r="N15" s="14" t="s">
        <v>109</v>
      </c>
    </row>
    <row r="16">
      <c r="A16" s="35">
        <v>46195.83538297453</v>
      </c>
      <c r="B16" s="14" t="s">
        <v>428</v>
      </c>
      <c r="C16" s="20">
        <v>2.0</v>
      </c>
      <c r="D16" s="14" t="s">
        <v>410</v>
      </c>
      <c r="E16" s="14"/>
      <c r="F16" s="14"/>
      <c r="G16" s="14" t="s">
        <v>408</v>
      </c>
      <c r="H16" s="14"/>
      <c r="I16" s="14"/>
      <c r="J16" s="14" t="s">
        <v>417</v>
      </c>
      <c r="K16" s="14" t="s">
        <v>111</v>
      </c>
      <c r="L16" s="14"/>
      <c r="M16" s="14" t="s">
        <v>419</v>
      </c>
      <c r="N16" s="14" t="s">
        <v>109</v>
      </c>
    </row>
    <row r="17">
      <c r="A17" s="35">
        <v>46195.83538297453</v>
      </c>
      <c r="B17" s="14" t="s">
        <v>429</v>
      </c>
      <c r="C17" s="20">
        <v>3.0</v>
      </c>
      <c r="D17" s="14" t="s">
        <v>405</v>
      </c>
      <c r="E17" s="14"/>
      <c r="F17" s="14"/>
      <c r="G17" s="14" t="s">
        <v>408</v>
      </c>
      <c r="H17" s="14"/>
      <c r="I17" s="14"/>
      <c r="J17" s="14" t="s">
        <v>417</v>
      </c>
      <c r="K17" s="14" t="s">
        <v>111</v>
      </c>
      <c r="L17" s="14"/>
      <c r="M17" s="14" t="s">
        <v>419</v>
      </c>
      <c r="N17" s="14" t="s">
        <v>109</v>
      </c>
    </row>
    <row r="18">
      <c r="A18" s="35">
        <v>46195.83538297453</v>
      </c>
      <c r="B18" s="14" t="s">
        <v>430</v>
      </c>
      <c r="C18" s="20">
        <v>4.0</v>
      </c>
      <c r="D18" s="14" t="s">
        <v>405</v>
      </c>
      <c r="E18" s="14"/>
      <c r="F18" s="14"/>
      <c r="G18" s="14" t="s">
        <v>412</v>
      </c>
      <c r="H18" s="14"/>
      <c r="I18" s="14"/>
      <c r="J18" s="14" t="s">
        <v>417</v>
      </c>
      <c r="K18" s="14" t="s">
        <v>111</v>
      </c>
      <c r="L18" s="14"/>
      <c r="M18" s="14" t="s">
        <v>419</v>
      </c>
      <c r="N18" s="14" t="s">
        <v>109</v>
      </c>
    </row>
    <row r="19">
      <c r="A19" s="35">
        <v>46195.83538297453</v>
      </c>
      <c r="B19" s="14" t="s">
        <v>431</v>
      </c>
      <c r="C19" s="20">
        <v>5.0</v>
      </c>
      <c r="D19" s="14" t="s">
        <v>410</v>
      </c>
      <c r="E19" s="14"/>
      <c r="F19" s="14"/>
      <c r="G19" s="14" t="s">
        <v>412</v>
      </c>
      <c r="H19" s="14"/>
      <c r="I19" s="14"/>
      <c r="J19" s="14" t="s">
        <v>417</v>
      </c>
      <c r="K19" s="14" t="s">
        <v>111</v>
      </c>
      <c r="L19" s="14"/>
      <c r="M19" s="14" t="s">
        <v>419</v>
      </c>
      <c r="N19" s="14" t="s">
        <v>109</v>
      </c>
    </row>
    <row r="20">
      <c r="A20" s="35">
        <v>46195.83538297453</v>
      </c>
      <c r="B20" s="14" t="s">
        <v>432</v>
      </c>
      <c r="C20" s="20">
        <v>6.0</v>
      </c>
      <c r="D20" s="14" t="s">
        <v>410</v>
      </c>
      <c r="E20" s="14"/>
      <c r="F20" s="14"/>
      <c r="G20" s="14" t="s">
        <v>412</v>
      </c>
      <c r="H20" s="14"/>
      <c r="I20" s="14"/>
      <c r="J20" s="14" t="s">
        <v>417</v>
      </c>
      <c r="K20" s="14" t="s">
        <v>111</v>
      </c>
      <c r="L20" s="14"/>
      <c r="M20" s="14" t="s">
        <v>419</v>
      </c>
      <c r="N20" s="14" t="s">
        <v>109</v>
      </c>
    </row>
    <row r="21">
      <c r="A21" s="35">
        <v>46196.4184966551</v>
      </c>
      <c r="B21" s="14" t="s">
        <v>427</v>
      </c>
      <c r="C21" s="20">
        <v>1.0</v>
      </c>
      <c r="D21" s="14" t="s">
        <v>410</v>
      </c>
      <c r="E21" s="14"/>
      <c r="F21" s="14"/>
      <c r="G21" s="14" t="s">
        <v>408</v>
      </c>
      <c r="H21" s="14"/>
      <c r="I21" s="14"/>
      <c r="J21" s="14" t="s">
        <v>417</v>
      </c>
      <c r="K21" s="14" t="s">
        <v>111</v>
      </c>
      <c r="L21" s="14"/>
      <c r="M21" s="14" t="s">
        <v>419</v>
      </c>
      <c r="N21" s="14" t="s">
        <v>109</v>
      </c>
    </row>
    <row r="22">
      <c r="A22" s="35">
        <v>46196.4184966551</v>
      </c>
      <c r="B22" s="14" t="s">
        <v>428</v>
      </c>
      <c r="C22" s="20">
        <v>2.0</v>
      </c>
      <c r="D22" s="14" t="s">
        <v>410</v>
      </c>
      <c r="E22" s="14"/>
      <c r="F22" s="14"/>
      <c r="G22" s="14" t="s">
        <v>408</v>
      </c>
      <c r="H22" s="14"/>
      <c r="I22" s="14"/>
      <c r="J22" s="14" t="s">
        <v>417</v>
      </c>
      <c r="K22" s="14" t="s">
        <v>111</v>
      </c>
      <c r="L22" s="14"/>
      <c r="M22" s="14" t="s">
        <v>419</v>
      </c>
      <c r="N22" s="14" t="s">
        <v>109</v>
      </c>
    </row>
    <row r="23">
      <c r="A23" s="35">
        <v>46196.4184966551</v>
      </c>
      <c r="B23" s="14" t="s">
        <v>429</v>
      </c>
      <c r="C23" s="20">
        <v>3.0</v>
      </c>
      <c r="D23" s="14" t="s">
        <v>405</v>
      </c>
      <c r="E23" s="14"/>
      <c r="F23" s="14"/>
      <c r="G23" s="14" t="s">
        <v>408</v>
      </c>
      <c r="H23" s="14"/>
      <c r="I23" s="14"/>
      <c r="J23" s="14" t="s">
        <v>417</v>
      </c>
      <c r="K23" s="14" t="s">
        <v>111</v>
      </c>
      <c r="L23" s="14"/>
      <c r="M23" s="14" t="s">
        <v>419</v>
      </c>
      <c r="N23" s="14" t="s">
        <v>109</v>
      </c>
    </row>
    <row r="24">
      <c r="A24" s="35">
        <v>46196.4184966551</v>
      </c>
      <c r="B24" s="14" t="s">
        <v>430</v>
      </c>
      <c r="C24" s="20">
        <v>4.0</v>
      </c>
      <c r="D24" s="14" t="s">
        <v>405</v>
      </c>
      <c r="E24" s="14"/>
      <c r="F24" s="14"/>
      <c r="G24" s="14" t="s">
        <v>412</v>
      </c>
      <c r="H24" s="14"/>
      <c r="I24" s="14"/>
      <c r="J24" s="14" t="s">
        <v>417</v>
      </c>
      <c r="K24" s="14" t="s">
        <v>111</v>
      </c>
      <c r="L24" s="14"/>
      <c r="M24" s="14" t="s">
        <v>419</v>
      </c>
      <c r="N24" s="14" t="s">
        <v>109</v>
      </c>
    </row>
    <row r="25">
      <c r="A25" s="35">
        <v>46196.4184966551</v>
      </c>
      <c r="B25" s="14" t="s">
        <v>431</v>
      </c>
      <c r="C25" s="20">
        <v>5.0</v>
      </c>
      <c r="D25" s="14" t="s">
        <v>410</v>
      </c>
      <c r="E25" s="14"/>
      <c r="F25" s="14"/>
      <c r="G25" s="14" t="s">
        <v>412</v>
      </c>
      <c r="H25" s="14"/>
      <c r="I25" s="14"/>
      <c r="J25" s="14" t="s">
        <v>417</v>
      </c>
      <c r="K25" s="14" t="s">
        <v>111</v>
      </c>
      <c r="L25" s="14"/>
      <c r="M25" s="14" t="s">
        <v>419</v>
      </c>
      <c r="N25" s="14" t="s">
        <v>109</v>
      </c>
    </row>
    <row r="26">
      <c r="A26" s="35">
        <v>46196.4184966551</v>
      </c>
      <c r="B26" s="14" t="s">
        <v>432</v>
      </c>
      <c r="C26" s="20">
        <v>6.0</v>
      </c>
      <c r="D26" s="14" t="s">
        <v>410</v>
      </c>
      <c r="E26" s="14"/>
      <c r="F26" s="14"/>
      <c r="G26" s="14" t="s">
        <v>412</v>
      </c>
      <c r="H26" s="14"/>
      <c r="I26" s="14"/>
      <c r="J26" s="14" t="s">
        <v>417</v>
      </c>
      <c r="K26" s="14" t="s">
        <v>111</v>
      </c>
      <c r="L26" s="14"/>
      <c r="M26" s="14" t="s">
        <v>419</v>
      </c>
      <c r="N26" s="14" t="s">
        <v>109</v>
      </c>
    </row>
    <row r="27">
      <c r="A27" s="35">
        <v>46201.65032811342</v>
      </c>
      <c r="B27" s="14" t="s">
        <v>433</v>
      </c>
      <c r="C27" s="20">
        <v>1.0</v>
      </c>
      <c r="D27" s="14" t="s">
        <v>414</v>
      </c>
      <c r="E27" s="14" t="s">
        <v>434</v>
      </c>
      <c r="F27" s="14" t="s">
        <v>435</v>
      </c>
      <c r="G27" s="14" t="s">
        <v>406</v>
      </c>
      <c r="H27" s="14" t="s">
        <v>436</v>
      </c>
      <c r="I27" s="14" t="s">
        <v>437</v>
      </c>
      <c r="J27" s="14" t="s">
        <v>417</v>
      </c>
      <c r="K27" s="14" t="s">
        <v>116</v>
      </c>
      <c r="L27" s="14" t="s">
        <v>438</v>
      </c>
      <c r="M27" s="14" t="s">
        <v>419</v>
      </c>
      <c r="N27" s="14" t="s">
        <v>109</v>
      </c>
    </row>
    <row r="28">
      <c r="A28" s="35">
        <v>46201.65032811342</v>
      </c>
      <c r="B28" s="14" t="s">
        <v>439</v>
      </c>
      <c r="C28" s="20">
        <v>2.0</v>
      </c>
      <c r="D28" s="14" t="s">
        <v>414</v>
      </c>
      <c r="E28" s="14" t="s">
        <v>434</v>
      </c>
      <c r="F28" s="14" t="s">
        <v>435</v>
      </c>
      <c r="G28" s="14" t="s">
        <v>408</v>
      </c>
      <c r="H28" s="14" t="s">
        <v>440</v>
      </c>
      <c r="I28" s="14" t="s">
        <v>441</v>
      </c>
      <c r="J28" s="14" t="s">
        <v>417</v>
      </c>
      <c r="K28" s="14" t="s">
        <v>116</v>
      </c>
      <c r="L28" s="14" t="s">
        <v>438</v>
      </c>
      <c r="M28" s="14" t="s">
        <v>419</v>
      </c>
      <c r="N28" s="14" t="s">
        <v>109</v>
      </c>
    </row>
    <row r="29">
      <c r="A29" s="35">
        <v>46201.65032811342</v>
      </c>
      <c r="B29" s="14" t="s">
        <v>442</v>
      </c>
      <c r="C29" s="20">
        <v>3.0</v>
      </c>
      <c r="D29" s="14" t="s">
        <v>421</v>
      </c>
      <c r="E29" s="14" t="s">
        <v>443</v>
      </c>
      <c r="F29" s="14" t="s">
        <v>444</v>
      </c>
      <c r="G29" s="14" t="s">
        <v>422</v>
      </c>
      <c r="H29" s="14" t="s">
        <v>445</v>
      </c>
      <c r="I29" s="14" t="s">
        <v>446</v>
      </c>
      <c r="J29" s="14" t="s">
        <v>417</v>
      </c>
      <c r="K29" s="14" t="s">
        <v>116</v>
      </c>
      <c r="L29" s="14" t="s">
        <v>438</v>
      </c>
      <c r="M29" s="14" t="s">
        <v>419</v>
      </c>
      <c r="N29" s="14" t="s">
        <v>109</v>
      </c>
    </row>
    <row r="30">
      <c r="A30" s="35">
        <v>46201.65032811342</v>
      </c>
      <c r="B30" s="14" t="s">
        <v>447</v>
      </c>
      <c r="C30" s="20">
        <v>4.0</v>
      </c>
      <c r="D30" s="14" t="s">
        <v>414</v>
      </c>
      <c r="E30" s="14" t="s">
        <v>434</v>
      </c>
      <c r="F30" s="14" t="s">
        <v>435</v>
      </c>
      <c r="G30" s="14" t="s">
        <v>412</v>
      </c>
      <c r="H30" s="14" t="s">
        <v>448</v>
      </c>
      <c r="I30" s="14" t="s">
        <v>449</v>
      </c>
      <c r="J30" s="14" t="s">
        <v>417</v>
      </c>
      <c r="K30" s="14" t="s">
        <v>116</v>
      </c>
      <c r="L30" s="14" t="s">
        <v>438</v>
      </c>
      <c r="M30" s="14" t="s">
        <v>419</v>
      </c>
      <c r="N30" s="14" t="s">
        <v>109</v>
      </c>
    </row>
    <row r="31">
      <c r="A31" s="35">
        <v>46201.65032811342</v>
      </c>
      <c r="B31" s="14" t="s">
        <v>450</v>
      </c>
      <c r="C31" s="20">
        <v>5.0</v>
      </c>
      <c r="D31" s="14" t="s">
        <v>421</v>
      </c>
      <c r="E31" s="14" t="s">
        <v>443</v>
      </c>
      <c r="F31" s="14" t="s">
        <v>444</v>
      </c>
      <c r="G31" s="14" t="s">
        <v>412</v>
      </c>
      <c r="H31" s="14" t="s">
        <v>448</v>
      </c>
      <c r="I31" s="14" t="s">
        <v>449</v>
      </c>
      <c r="J31" s="14" t="s">
        <v>417</v>
      </c>
      <c r="K31" s="14" t="s">
        <v>116</v>
      </c>
      <c r="L31" s="14" t="s">
        <v>438</v>
      </c>
      <c r="M31" s="14" t="s">
        <v>419</v>
      </c>
      <c r="N31" s="14" t="s">
        <v>109</v>
      </c>
    </row>
    <row r="32">
      <c r="A32" s="35">
        <v>46201.65032811342</v>
      </c>
      <c r="B32" s="14" t="s">
        <v>451</v>
      </c>
      <c r="C32" s="20">
        <v>6.0</v>
      </c>
      <c r="D32" s="14" t="s">
        <v>421</v>
      </c>
      <c r="E32" s="14" t="s">
        <v>443</v>
      </c>
      <c r="F32" s="14" t="s">
        <v>444</v>
      </c>
      <c r="G32" s="14" t="s">
        <v>412</v>
      </c>
      <c r="H32" s="14" t="s">
        <v>448</v>
      </c>
      <c r="I32" s="14" t="s">
        <v>449</v>
      </c>
      <c r="J32" s="14" t="s">
        <v>417</v>
      </c>
      <c r="K32" s="14" t="s">
        <v>116</v>
      </c>
      <c r="L32" s="14" t="s">
        <v>438</v>
      </c>
      <c r="M32" s="14" t="s">
        <v>419</v>
      </c>
      <c r="N32" s="14" t="s">
        <v>109</v>
      </c>
    </row>
    <row r="33">
      <c r="A33" s="35">
        <v>46208.65507621528</v>
      </c>
      <c r="B33" s="14" t="s">
        <v>452</v>
      </c>
      <c r="C33" s="20">
        <v>1.0</v>
      </c>
      <c r="D33" s="14" t="s">
        <v>405</v>
      </c>
      <c r="E33" s="14" t="s">
        <v>453</v>
      </c>
      <c r="F33" s="14" t="s">
        <v>454</v>
      </c>
      <c r="G33" s="14" t="s">
        <v>406</v>
      </c>
      <c r="H33" s="14" t="s">
        <v>436</v>
      </c>
      <c r="I33" s="14" t="s">
        <v>437</v>
      </c>
      <c r="J33" s="14" t="s">
        <v>417</v>
      </c>
      <c r="K33" s="14" t="s">
        <v>50</v>
      </c>
      <c r="L33" s="14" t="s">
        <v>295</v>
      </c>
      <c r="M33" s="14" t="s">
        <v>419</v>
      </c>
      <c r="N33" s="14" t="s">
        <v>269</v>
      </c>
    </row>
    <row r="34">
      <c r="A34" s="35">
        <v>46208.65507621528</v>
      </c>
      <c r="B34" s="14" t="s">
        <v>455</v>
      </c>
      <c r="C34" s="20">
        <v>2.0</v>
      </c>
      <c r="D34" s="14" t="s">
        <v>405</v>
      </c>
      <c r="E34" s="14" t="s">
        <v>453</v>
      </c>
      <c r="F34" s="14" t="s">
        <v>454</v>
      </c>
      <c r="G34" s="14" t="s">
        <v>408</v>
      </c>
      <c r="H34" s="14" t="s">
        <v>440</v>
      </c>
      <c r="I34" s="14" t="s">
        <v>441</v>
      </c>
      <c r="J34" s="14" t="s">
        <v>417</v>
      </c>
      <c r="K34" s="14" t="s">
        <v>50</v>
      </c>
      <c r="L34" s="14" t="s">
        <v>295</v>
      </c>
      <c r="M34" s="14" t="s">
        <v>419</v>
      </c>
      <c r="N34" s="14" t="s">
        <v>269</v>
      </c>
    </row>
    <row r="35">
      <c r="A35" s="35">
        <v>46208.65507621528</v>
      </c>
      <c r="B35" s="14" t="s">
        <v>456</v>
      </c>
      <c r="C35" s="20">
        <v>3.0</v>
      </c>
      <c r="D35" s="14" t="s">
        <v>410</v>
      </c>
      <c r="E35" s="14" t="s">
        <v>457</v>
      </c>
      <c r="F35" s="14" t="s">
        <v>458</v>
      </c>
      <c r="G35" s="14" t="s">
        <v>408</v>
      </c>
      <c r="H35" s="14" t="s">
        <v>440</v>
      </c>
      <c r="I35" s="14" t="s">
        <v>441</v>
      </c>
      <c r="J35" s="14" t="s">
        <v>417</v>
      </c>
      <c r="K35" s="14" t="s">
        <v>50</v>
      </c>
      <c r="L35" s="14" t="s">
        <v>295</v>
      </c>
      <c r="M35" s="14" t="s">
        <v>419</v>
      </c>
      <c r="N35" s="14" t="s">
        <v>269</v>
      </c>
    </row>
    <row r="36">
      <c r="A36" s="35">
        <v>46208.65507621528</v>
      </c>
      <c r="B36" s="14" t="s">
        <v>459</v>
      </c>
      <c r="C36" s="20">
        <v>4.0</v>
      </c>
      <c r="D36" s="14" t="s">
        <v>410</v>
      </c>
      <c r="E36" s="14" t="s">
        <v>457</v>
      </c>
      <c r="F36" s="14" t="s">
        <v>458</v>
      </c>
      <c r="G36" s="14" t="s">
        <v>412</v>
      </c>
      <c r="H36" s="14" t="s">
        <v>448</v>
      </c>
      <c r="I36" s="14" t="s">
        <v>449</v>
      </c>
      <c r="J36" s="14" t="s">
        <v>417</v>
      </c>
      <c r="K36" s="14" t="s">
        <v>50</v>
      </c>
      <c r="L36" s="14" t="s">
        <v>295</v>
      </c>
      <c r="M36" s="14" t="s">
        <v>419</v>
      </c>
      <c r="N36" s="14" t="s">
        <v>269</v>
      </c>
    </row>
    <row r="37">
      <c r="A37" s="35">
        <v>46208.65507621528</v>
      </c>
      <c r="B37" s="14" t="s">
        <v>460</v>
      </c>
      <c r="C37" s="20">
        <v>5.0</v>
      </c>
      <c r="D37" s="14" t="s">
        <v>414</v>
      </c>
      <c r="E37" s="14" t="s">
        <v>434</v>
      </c>
      <c r="F37" s="14" t="s">
        <v>435</v>
      </c>
      <c r="G37" s="14" t="s">
        <v>412</v>
      </c>
      <c r="H37" s="14" t="s">
        <v>448</v>
      </c>
      <c r="I37" s="14" t="s">
        <v>449</v>
      </c>
      <c r="J37" s="14" t="s">
        <v>417</v>
      </c>
      <c r="K37" s="14" t="s">
        <v>50</v>
      </c>
      <c r="L37" s="14" t="s">
        <v>295</v>
      </c>
      <c r="M37" s="14" t="s">
        <v>419</v>
      </c>
      <c r="N37" s="14" t="s">
        <v>269</v>
      </c>
    </row>
    <row r="38">
      <c r="A38" s="35">
        <v>46208.65507621528</v>
      </c>
      <c r="B38" s="14" t="s">
        <v>461</v>
      </c>
      <c r="C38" s="20">
        <v>6.0</v>
      </c>
      <c r="D38" s="14" t="s">
        <v>414</v>
      </c>
      <c r="E38" s="14" t="s">
        <v>434</v>
      </c>
      <c r="F38" s="14" t="s">
        <v>435</v>
      </c>
      <c r="G38" s="14" t="s">
        <v>412</v>
      </c>
      <c r="H38" s="14" t="s">
        <v>448</v>
      </c>
      <c r="I38" s="14" t="s">
        <v>449</v>
      </c>
      <c r="J38" s="14" t="s">
        <v>417</v>
      </c>
      <c r="K38" s="14" t="s">
        <v>50</v>
      </c>
      <c r="L38" s="14" t="s">
        <v>295</v>
      </c>
      <c r="M38" s="14" t="s">
        <v>419</v>
      </c>
      <c r="N38" s="14" t="s">
        <v>269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0.38"/>
    <col customWidth="1" min="2" max="2" width="17.63"/>
    <col customWidth="1" min="3" max="3" width="29.75"/>
  </cols>
  <sheetData>
    <row r="1">
      <c r="A1" s="5" t="s">
        <v>281</v>
      </c>
      <c r="B1" s="14" t="s">
        <v>462</v>
      </c>
      <c r="C1" s="14" t="s">
        <v>286</v>
      </c>
      <c r="D1" s="14" t="s">
        <v>463</v>
      </c>
      <c r="E1" s="14" t="s">
        <v>464</v>
      </c>
      <c r="F1" s="14" t="s">
        <v>465</v>
      </c>
      <c r="G1" s="14" t="s">
        <v>466</v>
      </c>
    </row>
    <row r="2">
      <c r="A2" s="14" t="s">
        <v>315</v>
      </c>
      <c r="B2" s="14" t="s">
        <v>316</v>
      </c>
      <c r="C2" s="14" t="s">
        <v>467</v>
      </c>
      <c r="D2" s="14" t="s">
        <v>309</v>
      </c>
      <c r="E2" s="14" t="s">
        <v>302</v>
      </c>
      <c r="F2" s="14" t="s">
        <v>468</v>
      </c>
      <c r="G2" s="14" t="s">
        <v>469</v>
      </c>
    </row>
    <row r="3">
      <c r="A3" s="14" t="s">
        <v>470</v>
      </c>
      <c r="B3" s="14" t="s">
        <v>471</v>
      </c>
      <c r="C3" s="14" t="s">
        <v>472</v>
      </c>
      <c r="D3" s="14" t="s">
        <v>323</v>
      </c>
      <c r="E3" s="14" t="s">
        <v>302</v>
      </c>
      <c r="F3" s="14" t="s">
        <v>473</v>
      </c>
      <c r="G3" s="14" t="s">
        <v>474</v>
      </c>
    </row>
    <row r="4">
      <c r="A4" s="14" t="s">
        <v>475</v>
      </c>
      <c r="B4" s="14" t="s">
        <v>476</v>
      </c>
      <c r="C4" s="14" t="s">
        <v>477</v>
      </c>
      <c r="D4" s="14" t="s">
        <v>323</v>
      </c>
      <c r="E4" s="14" t="s">
        <v>302</v>
      </c>
      <c r="F4" s="14" t="s">
        <v>478</v>
      </c>
      <c r="G4" s="14" t="s">
        <v>292</v>
      </c>
    </row>
    <row r="5">
      <c r="A5" s="14" t="s">
        <v>479</v>
      </c>
      <c r="B5" s="14" t="s">
        <v>480</v>
      </c>
      <c r="C5" s="14" t="s">
        <v>481</v>
      </c>
      <c r="D5" s="14" t="s">
        <v>309</v>
      </c>
      <c r="E5" s="14" t="s">
        <v>302</v>
      </c>
      <c r="F5" s="14" t="s">
        <v>482</v>
      </c>
      <c r="G5" s="14" t="s">
        <v>473</v>
      </c>
    </row>
    <row r="6">
      <c r="A6" s="14" t="s">
        <v>483</v>
      </c>
      <c r="B6" s="14" t="s">
        <v>484</v>
      </c>
      <c r="C6" s="14" t="s">
        <v>485</v>
      </c>
      <c r="D6" s="14" t="s">
        <v>302</v>
      </c>
      <c r="E6" s="14" t="s">
        <v>486</v>
      </c>
      <c r="F6" s="14" t="s">
        <v>478</v>
      </c>
      <c r="G6" s="14" t="s">
        <v>474</v>
      </c>
    </row>
    <row r="7">
      <c r="A7" s="14" t="s">
        <v>301</v>
      </c>
      <c r="B7" s="14" t="s">
        <v>304</v>
      </c>
      <c r="C7" s="14" t="s">
        <v>487</v>
      </c>
      <c r="D7" s="14" t="s">
        <v>309</v>
      </c>
      <c r="E7" s="14" t="s">
        <v>323</v>
      </c>
      <c r="F7" s="14" t="s">
        <v>302</v>
      </c>
      <c r="G7" s="14" t="s">
        <v>473</v>
      </c>
    </row>
    <row r="8">
      <c r="A8" s="14" t="s">
        <v>291</v>
      </c>
      <c r="B8" s="14" t="s">
        <v>297</v>
      </c>
      <c r="C8" s="14" t="s">
        <v>488</v>
      </c>
      <c r="D8" s="14" t="s">
        <v>323</v>
      </c>
      <c r="E8" s="14" t="s">
        <v>302</v>
      </c>
      <c r="F8" s="14" t="s">
        <v>482</v>
      </c>
      <c r="G8" s="14" t="s">
        <v>292</v>
      </c>
    </row>
    <row r="9">
      <c r="A9" s="14" t="s">
        <v>489</v>
      </c>
      <c r="B9" s="14" t="s">
        <v>490</v>
      </c>
      <c r="C9" s="14" t="s">
        <v>491</v>
      </c>
      <c r="D9" s="14" t="s">
        <v>309</v>
      </c>
      <c r="E9" s="14" t="s">
        <v>302</v>
      </c>
      <c r="F9" s="14" t="s">
        <v>482</v>
      </c>
      <c r="G9" s="14" t="s">
        <v>320</v>
      </c>
    </row>
    <row r="10">
      <c r="A10" s="14" t="s">
        <v>492</v>
      </c>
      <c r="B10" s="14" t="s">
        <v>493</v>
      </c>
      <c r="C10" s="14" t="s">
        <v>494</v>
      </c>
      <c r="D10" s="14" t="s">
        <v>309</v>
      </c>
      <c r="E10" s="14" t="s">
        <v>302</v>
      </c>
      <c r="F10" s="14" t="s">
        <v>468</v>
      </c>
      <c r="G10" s="14" t="s">
        <v>320</v>
      </c>
    </row>
    <row r="11">
      <c r="A11" s="14" t="s">
        <v>495</v>
      </c>
      <c r="B11" s="14" t="s">
        <v>496</v>
      </c>
      <c r="C11" s="14" t="s">
        <v>497</v>
      </c>
      <c r="D11" s="14" t="s">
        <v>323</v>
      </c>
      <c r="E11" s="14" t="s">
        <v>486</v>
      </c>
      <c r="F11" s="14" t="s">
        <v>478</v>
      </c>
      <c r="G11" s="14" t="s">
        <v>292</v>
      </c>
    </row>
    <row r="12">
      <c r="A12" s="14" t="s">
        <v>498</v>
      </c>
      <c r="B12" s="14" t="s">
        <v>499</v>
      </c>
      <c r="C12" s="14" t="s">
        <v>500</v>
      </c>
      <c r="D12" s="14" t="s">
        <v>486</v>
      </c>
      <c r="E12" s="14" t="s">
        <v>478</v>
      </c>
      <c r="F12" s="14" t="s">
        <v>474</v>
      </c>
      <c r="G12" s="14" t="s">
        <v>292</v>
      </c>
    </row>
    <row r="13">
      <c r="A13" s="14" t="s">
        <v>308</v>
      </c>
      <c r="B13" s="14" t="s">
        <v>311</v>
      </c>
      <c r="C13" s="14" t="s">
        <v>501</v>
      </c>
      <c r="D13" s="14" t="s">
        <v>309</v>
      </c>
      <c r="E13" s="14" t="s">
        <v>302</v>
      </c>
      <c r="F13" s="14" t="s">
        <v>482</v>
      </c>
      <c r="G13" s="14" t="s">
        <v>468</v>
      </c>
    </row>
    <row r="14">
      <c r="A14" s="14" t="s">
        <v>502</v>
      </c>
      <c r="B14" s="14" t="s">
        <v>503</v>
      </c>
      <c r="C14" s="14" t="s">
        <v>504</v>
      </c>
      <c r="D14" s="14" t="s">
        <v>323</v>
      </c>
      <c r="E14" s="14" t="s">
        <v>486</v>
      </c>
      <c r="F14" s="14" t="s">
        <v>478</v>
      </c>
      <c r="G14" s="14" t="s">
        <v>469</v>
      </c>
    </row>
    <row r="15">
      <c r="A15" s="14" t="s">
        <v>505</v>
      </c>
      <c r="B15" s="14" t="s">
        <v>506</v>
      </c>
      <c r="C15" s="14" t="s">
        <v>507</v>
      </c>
      <c r="D15" s="14" t="s">
        <v>309</v>
      </c>
      <c r="E15" s="14" t="s">
        <v>302</v>
      </c>
      <c r="F15" s="14" t="s">
        <v>473</v>
      </c>
      <c r="G15" s="14" t="s">
        <v>320</v>
      </c>
    </row>
    <row r="16">
      <c r="A16" s="14" t="s">
        <v>319</v>
      </c>
      <c r="B16" s="14" t="s">
        <v>321</v>
      </c>
      <c r="C16" s="14" t="s">
        <v>508</v>
      </c>
      <c r="D16" s="14" t="s">
        <v>309</v>
      </c>
      <c r="E16" s="14" t="s">
        <v>302</v>
      </c>
      <c r="F16" s="14" t="s">
        <v>473</v>
      </c>
      <c r="G16" s="14" t="s">
        <v>320</v>
      </c>
    </row>
    <row r="17">
      <c r="A17" s="14" t="s">
        <v>509</v>
      </c>
      <c r="B17" s="14" t="s">
        <v>510</v>
      </c>
      <c r="C17" s="14" t="s">
        <v>511</v>
      </c>
      <c r="D17" s="14" t="s">
        <v>486</v>
      </c>
      <c r="E17" s="14" t="s">
        <v>478</v>
      </c>
      <c r="F17" s="14" t="s">
        <v>482</v>
      </c>
      <c r="G17" s="14" t="s">
        <v>474</v>
      </c>
    </row>
    <row r="18">
      <c r="A18" s="14" t="s">
        <v>512</v>
      </c>
      <c r="B18" s="14" t="s">
        <v>471</v>
      </c>
      <c r="C18" s="14" t="s">
        <v>513</v>
      </c>
      <c r="D18" s="14" t="s">
        <v>323</v>
      </c>
      <c r="E18" s="14" t="s">
        <v>302</v>
      </c>
      <c r="F18" s="14" t="s">
        <v>482</v>
      </c>
      <c r="G18" s="14" t="s">
        <v>473</v>
      </c>
    </row>
    <row r="19">
      <c r="A19" s="14" t="s">
        <v>514</v>
      </c>
      <c r="B19" s="14" t="s">
        <v>515</v>
      </c>
      <c r="C19" s="14" t="s">
        <v>516</v>
      </c>
      <c r="D19" s="14" t="s">
        <v>323</v>
      </c>
      <c r="E19" s="14" t="s">
        <v>302</v>
      </c>
      <c r="F19" s="14" t="s">
        <v>482</v>
      </c>
      <c r="G19" s="14" t="s">
        <v>468</v>
      </c>
    </row>
    <row r="20">
      <c r="A20" s="14" t="s">
        <v>517</v>
      </c>
      <c r="B20" s="14" t="s">
        <v>518</v>
      </c>
      <c r="C20" s="14" t="s">
        <v>519</v>
      </c>
      <c r="D20" s="14" t="s">
        <v>323</v>
      </c>
      <c r="E20" s="14" t="s">
        <v>486</v>
      </c>
      <c r="F20" s="14" t="s">
        <v>478</v>
      </c>
      <c r="G20" s="14" t="s">
        <v>292</v>
      </c>
    </row>
    <row r="21">
      <c r="A21" s="14" t="s">
        <v>520</v>
      </c>
      <c r="B21" s="14" t="s">
        <v>521</v>
      </c>
      <c r="C21" s="14" t="s">
        <v>522</v>
      </c>
      <c r="D21" s="14" t="s">
        <v>323</v>
      </c>
      <c r="E21" s="14" t="s">
        <v>486</v>
      </c>
      <c r="F21" s="14" t="s">
        <v>478</v>
      </c>
      <c r="G21" s="14" t="s">
        <v>474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63"/>
    <col customWidth="1" min="11" max="11" width="21.0"/>
  </cols>
  <sheetData>
    <row r="1">
      <c r="A1" s="14" t="s">
        <v>126</v>
      </c>
      <c r="B1" s="14" t="s">
        <v>523</v>
      </c>
      <c r="C1" s="14" t="s">
        <v>287</v>
      </c>
      <c r="D1" s="14" t="s">
        <v>524</v>
      </c>
      <c r="E1" s="14" t="s">
        <v>525</v>
      </c>
      <c r="F1" s="14" t="s">
        <v>134</v>
      </c>
      <c r="G1" s="14" t="s">
        <v>135</v>
      </c>
      <c r="H1" s="14" t="s">
        <v>136</v>
      </c>
      <c r="I1" s="14" t="s">
        <v>137</v>
      </c>
      <c r="J1" s="14" t="s">
        <v>138</v>
      </c>
      <c r="K1" s="14" t="s">
        <v>526</v>
      </c>
      <c r="L1" s="14" t="s">
        <v>527</v>
      </c>
      <c r="M1" s="14" t="s">
        <v>528</v>
      </c>
      <c r="N1" s="14" t="s">
        <v>529</v>
      </c>
      <c r="O1" s="14" t="s">
        <v>530</v>
      </c>
      <c r="P1" s="14" t="s">
        <v>531</v>
      </c>
      <c r="Q1" s="14" t="s">
        <v>532</v>
      </c>
      <c r="R1" s="14" t="s">
        <v>533</v>
      </c>
      <c r="S1" s="14" t="s">
        <v>534</v>
      </c>
    </row>
    <row r="2">
      <c r="A2" s="14" t="s">
        <v>309</v>
      </c>
      <c r="B2" s="14" t="s">
        <v>312</v>
      </c>
      <c r="C2" s="14" t="s">
        <v>535</v>
      </c>
      <c r="D2" s="14">
        <v>6500.0</v>
      </c>
      <c r="E2" s="14">
        <v>2500.0</v>
      </c>
      <c r="F2" s="14">
        <v>0.58</v>
      </c>
      <c r="G2" s="14">
        <v>1.45</v>
      </c>
      <c r="H2" s="14">
        <v>0.012</v>
      </c>
      <c r="I2" s="14">
        <v>3800.0</v>
      </c>
      <c r="J2" s="14">
        <v>55.0</v>
      </c>
      <c r="K2" s="14" t="s">
        <v>536</v>
      </c>
      <c r="L2" s="14">
        <v>1.1</v>
      </c>
      <c r="M2" s="14">
        <v>1.0</v>
      </c>
      <c r="N2" s="14">
        <v>1.0</v>
      </c>
      <c r="O2" s="14">
        <v>0.95</v>
      </c>
      <c r="P2" s="14">
        <v>1.0</v>
      </c>
      <c r="Q2" s="14">
        <v>1.0</v>
      </c>
      <c r="R2" s="14">
        <v>1.0</v>
      </c>
      <c r="S2" s="14" t="s">
        <v>313</v>
      </c>
    </row>
    <row r="3">
      <c r="A3" s="14" t="s">
        <v>323</v>
      </c>
      <c r="B3" s="14" t="s">
        <v>324</v>
      </c>
      <c r="C3" s="14" t="s">
        <v>537</v>
      </c>
      <c r="D3" s="14">
        <v>5500.0</v>
      </c>
      <c r="E3" s="14">
        <v>3500.0</v>
      </c>
      <c r="F3" s="14">
        <v>0.6</v>
      </c>
      <c r="G3" s="14">
        <v>1.4</v>
      </c>
      <c r="H3" s="14">
        <v>0.011</v>
      </c>
      <c r="I3" s="14">
        <v>4200.0</v>
      </c>
      <c r="J3" s="14">
        <v>55.0</v>
      </c>
      <c r="K3" s="14" t="s">
        <v>538</v>
      </c>
      <c r="L3" s="14">
        <v>1.0</v>
      </c>
      <c r="M3" s="14">
        <v>1.45</v>
      </c>
      <c r="N3" s="14">
        <v>1.0</v>
      </c>
      <c r="O3" s="14">
        <v>1.0</v>
      </c>
      <c r="P3" s="14">
        <v>0.9</v>
      </c>
      <c r="Q3" s="14">
        <v>1.0</v>
      </c>
      <c r="R3" s="14">
        <v>1.2</v>
      </c>
      <c r="S3" s="14" t="s">
        <v>306</v>
      </c>
    </row>
    <row r="4">
      <c r="A4" s="14" t="s">
        <v>302</v>
      </c>
      <c r="B4" s="14" t="s">
        <v>305</v>
      </c>
      <c r="C4" s="14" t="s">
        <v>539</v>
      </c>
      <c r="D4" s="14">
        <v>8500.0</v>
      </c>
      <c r="E4" s="14">
        <v>1500.0</v>
      </c>
      <c r="F4" s="14">
        <v>0.54</v>
      </c>
      <c r="G4" s="14">
        <v>1.75</v>
      </c>
      <c r="H4" s="14">
        <v>0.012</v>
      </c>
      <c r="I4" s="14">
        <v>4000.0</v>
      </c>
      <c r="J4" s="14">
        <v>40.0</v>
      </c>
      <c r="K4" s="14" t="s">
        <v>540</v>
      </c>
      <c r="L4" s="14">
        <v>1.15</v>
      </c>
      <c r="M4" s="14">
        <v>0.85</v>
      </c>
      <c r="N4" s="14">
        <v>1.0</v>
      </c>
      <c r="O4" s="14">
        <v>1.15</v>
      </c>
      <c r="P4" s="14">
        <v>1.0</v>
      </c>
      <c r="Q4" s="14">
        <v>1.0</v>
      </c>
      <c r="R4" s="14">
        <v>0.85</v>
      </c>
      <c r="S4" s="14" t="s">
        <v>306</v>
      </c>
    </row>
    <row r="5">
      <c r="A5" s="14" t="s">
        <v>486</v>
      </c>
      <c r="B5" s="14" t="s">
        <v>541</v>
      </c>
      <c r="C5" s="14" t="s">
        <v>542</v>
      </c>
      <c r="D5" s="14">
        <v>7500.0</v>
      </c>
      <c r="E5" s="14">
        <v>2500.0</v>
      </c>
      <c r="F5" s="14">
        <v>0.52</v>
      </c>
      <c r="G5" s="14">
        <v>1.6</v>
      </c>
      <c r="H5" s="14">
        <v>0.012</v>
      </c>
      <c r="I5" s="14">
        <v>5200.0</v>
      </c>
      <c r="J5" s="14">
        <v>45.0</v>
      </c>
      <c r="K5" s="14" t="s">
        <v>543</v>
      </c>
      <c r="L5" s="14">
        <v>0.95</v>
      </c>
      <c r="M5" s="14">
        <v>1.0</v>
      </c>
      <c r="N5" s="14">
        <v>1.0</v>
      </c>
      <c r="O5" s="14">
        <v>1.0</v>
      </c>
      <c r="P5" s="14">
        <v>1.0</v>
      </c>
      <c r="Q5" s="14">
        <v>1.05</v>
      </c>
      <c r="R5" s="14">
        <v>1.0</v>
      </c>
      <c r="S5" s="14" t="s">
        <v>296</v>
      </c>
    </row>
    <row r="6">
      <c r="A6" s="14" t="s">
        <v>478</v>
      </c>
      <c r="B6" s="14" t="s">
        <v>544</v>
      </c>
      <c r="C6" s="14" t="s">
        <v>545</v>
      </c>
      <c r="D6" s="14">
        <v>6500.0</v>
      </c>
      <c r="E6" s="14">
        <v>3000.0</v>
      </c>
      <c r="F6" s="14">
        <v>0.61</v>
      </c>
      <c r="G6" s="14">
        <v>1.45</v>
      </c>
      <c r="H6" s="14">
        <v>0.01</v>
      </c>
      <c r="I6" s="14">
        <v>3400.0</v>
      </c>
      <c r="J6" s="14">
        <v>60.0</v>
      </c>
      <c r="K6" s="14" t="s">
        <v>546</v>
      </c>
      <c r="L6" s="14">
        <v>1.0</v>
      </c>
      <c r="M6" s="14">
        <v>1.25</v>
      </c>
      <c r="N6" s="14">
        <v>1.0</v>
      </c>
      <c r="O6" s="14">
        <v>1.0</v>
      </c>
      <c r="P6" s="14">
        <v>0.95</v>
      </c>
      <c r="Q6" s="14">
        <v>1.0</v>
      </c>
      <c r="R6" s="14">
        <v>1.2</v>
      </c>
      <c r="S6" s="14" t="s">
        <v>306</v>
      </c>
    </row>
    <row r="7">
      <c r="A7" s="14" t="s">
        <v>482</v>
      </c>
      <c r="B7" s="14" t="s">
        <v>547</v>
      </c>
      <c r="C7" s="14" t="s">
        <v>548</v>
      </c>
      <c r="D7" s="14">
        <v>7000.0</v>
      </c>
      <c r="E7" s="14">
        <v>1000.0</v>
      </c>
      <c r="F7" s="14">
        <v>0.53</v>
      </c>
      <c r="G7" s="14">
        <v>1.7</v>
      </c>
      <c r="H7" s="14">
        <v>0.013</v>
      </c>
      <c r="I7" s="14">
        <v>4800.0</v>
      </c>
      <c r="J7" s="14">
        <v>35.0</v>
      </c>
      <c r="K7" s="14" t="s">
        <v>549</v>
      </c>
      <c r="L7" s="14">
        <v>1.05</v>
      </c>
      <c r="M7" s="14">
        <v>0.85</v>
      </c>
      <c r="N7" s="14">
        <v>1.0</v>
      </c>
      <c r="O7" s="14">
        <v>1.05</v>
      </c>
      <c r="P7" s="14">
        <v>1.0</v>
      </c>
      <c r="Q7" s="14">
        <v>1.0</v>
      </c>
      <c r="R7" s="14">
        <v>1.0</v>
      </c>
      <c r="S7" s="14" t="s">
        <v>313</v>
      </c>
    </row>
    <row r="8">
      <c r="A8" s="14" t="s">
        <v>473</v>
      </c>
      <c r="B8" s="14" t="s">
        <v>550</v>
      </c>
      <c r="C8" s="14" t="s">
        <v>551</v>
      </c>
      <c r="D8" s="14">
        <v>7000.0</v>
      </c>
      <c r="E8" s="14">
        <v>2500.0</v>
      </c>
      <c r="F8" s="14">
        <v>0.64</v>
      </c>
      <c r="G8" s="14">
        <v>1.35</v>
      </c>
      <c r="H8" s="14">
        <v>0.009</v>
      </c>
      <c r="I8" s="14">
        <v>4200.0</v>
      </c>
      <c r="J8" s="14">
        <v>55.0</v>
      </c>
      <c r="K8" s="14" t="s">
        <v>552</v>
      </c>
      <c r="L8" s="14">
        <v>1.0</v>
      </c>
      <c r="M8" s="14">
        <v>1.0</v>
      </c>
      <c r="N8" s="14">
        <v>1.15</v>
      </c>
      <c r="O8" s="14">
        <v>1.0</v>
      </c>
      <c r="P8" s="14">
        <v>0.95</v>
      </c>
      <c r="Q8" s="14">
        <v>1.0</v>
      </c>
      <c r="R8" s="14">
        <v>1.0</v>
      </c>
      <c r="S8" s="14" t="s">
        <v>299</v>
      </c>
    </row>
    <row r="9">
      <c r="A9" s="14" t="s">
        <v>468</v>
      </c>
      <c r="B9" s="14" t="s">
        <v>553</v>
      </c>
      <c r="C9" s="14" t="s">
        <v>554</v>
      </c>
      <c r="D9" s="14">
        <v>8500.0</v>
      </c>
      <c r="E9" s="14">
        <v>3500.0</v>
      </c>
      <c r="F9" s="14">
        <v>0.58</v>
      </c>
      <c r="G9" s="14">
        <v>1.45</v>
      </c>
      <c r="H9" s="14">
        <v>0.011</v>
      </c>
      <c r="I9" s="14">
        <v>3900.0</v>
      </c>
      <c r="J9" s="14">
        <v>60.0</v>
      </c>
      <c r="K9" s="14" t="s">
        <v>555</v>
      </c>
      <c r="L9" s="14">
        <v>1.1</v>
      </c>
      <c r="M9" s="14">
        <v>1.25</v>
      </c>
      <c r="N9" s="14">
        <v>1.0</v>
      </c>
      <c r="O9" s="14">
        <v>1.0</v>
      </c>
      <c r="P9" s="14">
        <v>1.0</v>
      </c>
      <c r="Q9" s="14">
        <v>1.0</v>
      </c>
      <c r="R9" s="14">
        <v>0.9</v>
      </c>
      <c r="S9" s="14" t="s">
        <v>313</v>
      </c>
    </row>
    <row r="10">
      <c r="A10" s="14" t="s">
        <v>474</v>
      </c>
      <c r="B10" s="14" t="s">
        <v>556</v>
      </c>
      <c r="C10" s="14" t="s">
        <v>557</v>
      </c>
      <c r="D10" s="14">
        <v>5500.0</v>
      </c>
      <c r="E10" s="14">
        <v>1000.0</v>
      </c>
      <c r="F10" s="14">
        <v>0.56</v>
      </c>
      <c r="G10" s="14">
        <v>1.45</v>
      </c>
      <c r="H10" s="14">
        <v>0.01</v>
      </c>
      <c r="I10" s="14">
        <v>7800.0</v>
      </c>
      <c r="J10" s="14">
        <v>45.0</v>
      </c>
      <c r="K10" s="14" t="s">
        <v>558</v>
      </c>
      <c r="L10" s="14">
        <v>1.0</v>
      </c>
      <c r="M10" s="14">
        <v>0.9</v>
      </c>
      <c r="N10" s="14">
        <v>1.0</v>
      </c>
      <c r="O10" s="14">
        <v>1.0</v>
      </c>
      <c r="P10" s="14">
        <v>0.95</v>
      </c>
      <c r="Q10" s="14">
        <v>1.025</v>
      </c>
      <c r="R10" s="14">
        <v>1.0</v>
      </c>
      <c r="S10" s="14" t="s">
        <v>299</v>
      </c>
    </row>
    <row r="11">
      <c r="A11" s="14" t="s">
        <v>292</v>
      </c>
      <c r="B11" s="14" t="s">
        <v>298</v>
      </c>
      <c r="C11" s="14" t="s">
        <v>559</v>
      </c>
      <c r="D11" s="14">
        <v>6500.0</v>
      </c>
      <c r="E11" s="14">
        <v>3500.0</v>
      </c>
      <c r="F11" s="14">
        <v>0.62</v>
      </c>
      <c r="G11" s="14">
        <v>1.4</v>
      </c>
      <c r="H11" s="14">
        <v>0.01</v>
      </c>
      <c r="I11" s="14">
        <v>3600.0</v>
      </c>
      <c r="J11" s="14">
        <v>65.0</v>
      </c>
      <c r="K11" s="14" t="s">
        <v>560</v>
      </c>
      <c r="L11" s="14">
        <v>1.0</v>
      </c>
      <c r="M11" s="14">
        <v>1.25</v>
      </c>
      <c r="N11" s="14">
        <v>1.0</v>
      </c>
      <c r="O11" s="14">
        <v>1.0</v>
      </c>
      <c r="P11" s="14">
        <v>1.0</v>
      </c>
      <c r="Q11" s="14">
        <v>1.0</v>
      </c>
      <c r="R11" s="14">
        <v>0.8</v>
      </c>
      <c r="S11" s="14" t="s">
        <v>299</v>
      </c>
    </row>
    <row r="12">
      <c r="A12" s="14" t="s">
        <v>469</v>
      </c>
      <c r="B12" s="14" t="s">
        <v>561</v>
      </c>
      <c r="C12" s="14" t="s">
        <v>562</v>
      </c>
      <c r="D12" s="14">
        <v>10000.0</v>
      </c>
      <c r="E12" s="14">
        <v>4000.0</v>
      </c>
      <c r="F12" s="14">
        <v>0.63</v>
      </c>
      <c r="G12" s="14">
        <v>1.35</v>
      </c>
      <c r="H12" s="14">
        <v>0.009</v>
      </c>
      <c r="I12" s="14">
        <v>3000.0</v>
      </c>
      <c r="J12" s="14">
        <v>45.0</v>
      </c>
      <c r="K12" s="14" t="s">
        <v>563</v>
      </c>
      <c r="L12" s="14">
        <v>1.2</v>
      </c>
      <c r="M12" s="14">
        <v>1.1</v>
      </c>
      <c r="N12" s="14">
        <v>1.0</v>
      </c>
      <c r="O12" s="14">
        <v>1.0</v>
      </c>
      <c r="P12" s="14">
        <v>1.0</v>
      </c>
      <c r="Q12" s="14">
        <v>0.9</v>
      </c>
      <c r="R12" s="14">
        <v>1.0</v>
      </c>
      <c r="S12" s="14" t="s">
        <v>564</v>
      </c>
    </row>
    <row r="13">
      <c r="A13" s="14" t="s">
        <v>320</v>
      </c>
      <c r="B13" s="14" t="s">
        <v>322</v>
      </c>
      <c r="C13" s="14" t="s">
        <v>565</v>
      </c>
      <c r="D13" s="14">
        <v>8000.0</v>
      </c>
      <c r="E13" s="14">
        <v>2500.0</v>
      </c>
      <c r="F13" s="14">
        <v>0.57</v>
      </c>
      <c r="G13" s="14">
        <v>1.55</v>
      </c>
      <c r="H13" s="14">
        <v>0.011</v>
      </c>
      <c r="I13" s="14">
        <v>4200.0</v>
      </c>
      <c r="J13" s="14">
        <v>50.0</v>
      </c>
      <c r="K13" s="14" t="s">
        <v>566</v>
      </c>
      <c r="L13" s="14">
        <v>1.05</v>
      </c>
      <c r="M13" s="14">
        <v>1.1</v>
      </c>
      <c r="N13" s="14">
        <v>1.05</v>
      </c>
      <c r="O13" s="14">
        <v>1.05</v>
      </c>
      <c r="P13" s="14">
        <v>1.05</v>
      </c>
      <c r="Q13" s="14">
        <v>1.025</v>
      </c>
      <c r="R13" s="14">
        <v>1.05</v>
      </c>
      <c r="S13" s="14" t="s">
        <v>296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38"/>
  </cols>
  <sheetData>
    <row r="1">
      <c r="A1" s="14" t="s">
        <v>126</v>
      </c>
      <c r="B1" s="14" t="s">
        <v>523</v>
      </c>
      <c r="C1" s="14" t="s">
        <v>567</v>
      </c>
      <c r="D1" s="14" t="s">
        <v>129</v>
      </c>
      <c r="E1" s="14" t="s">
        <v>568</v>
      </c>
      <c r="F1" s="14" t="s">
        <v>524</v>
      </c>
      <c r="G1" s="14" t="s">
        <v>525</v>
      </c>
      <c r="H1" s="14" t="s">
        <v>134</v>
      </c>
      <c r="I1" s="14" t="s">
        <v>135</v>
      </c>
      <c r="J1" s="14" t="s">
        <v>136</v>
      </c>
      <c r="K1" s="14" t="s">
        <v>137</v>
      </c>
      <c r="L1" s="14" t="s">
        <v>138</v>
      </c>
      <c r="M1" s="14" t="s">
        <v>290</v>
      </c>
    </row>
    <row r="2">
      <c r="A2" s="14" t="s">
        <v>309</v>
      </c>
      <c r="B2" s="14" t="s">
        <v>312</v>
      </c>
      <c r="C2" s="14" t="s">
        <v>569</v>
      </c>
      <c r="D2" s="14" t="s">
        <v>570</v>
      </c>
      <c r="E2" s="14" t="s">
        <v>571</v>
      </c>
      <c r="F2" s="14">
        <v>1.15</v>
      </c>
      <c r="G2" s="14">
        <v>1.0</v>
      </c>
      <c r="H2" s="14">
        <v>1.0</v>
      </c>
      <c r="I2" s="14">
        <v>1.0</v>
      </c>
      <c r="J2" s="14">
        <v>1.0</v>
      </c>
      <c r="K2" s="14">
        <v>1.0</v>
      </c>
      <c r="L2" s="14">
        <v>1.0</v>
      </c>
      <c r="M2" s="14">
        <v>5.0</v>
      </c>
    </row>
    <row r="3">
      <c r="A3" s="14" t="s">
        <v>309</v>
      </c>
      <c r="B3" s="14" t="s">
        <v>312</v>
      </c>
      <c r="C3" s="14" t="s">
        <v>569</v>
      </c>
      <c r="D3" s="14" t="s">
        <v>310</v>
      </c>
      <c r="E3" s="14" t="s">
        <v>314</v>
      </c>
      <c r="F3" s="14">
        <v>1.0</v>
      </c>
      <c r="G3" s="14">
        <v>1.05</v>
      </c>
      <c r="H3" s="14">
        <v>1.0</v>
      </c>
      <c r="I3" s="14">
        <v>1.0</v>
      </c>
      <c r="J3" s="14">
        <v>1.0</v>
      </c>
      <c r="K3" s="14">
        <v>1.0</v>
      </c>
      <c r="L3" s="14">
        <v>1.0</v>
      </c>
      <c r="M3" s="14">
        <v>2.0</v>
      </c>
    </row>
    <row r="4">
      <c r="A4" s="14" t="s">
        <v>309</v>
      </c>
      <c r="B4" s="14" t="s">
        <v>312</v>
      </c>
      <c r="C4" s="14" t="s">
        <v>572</v>
      </c>
      <c r="D4" s="14" t="s">
        <v>573</v>
      </c>
      <c r="E4" s="14" t="s">
        <v>574</v>
      </c>
      <c r="F4" s="14">
        <v>1.0</v>
      </c>
      <c r="G4" s="14">
        <v>1.0</v>
      </c>
      <c r="H4" s="14">
        <v>0.95</v>
      </c>
      <c r="I4" s="14">
        <v>1.0</v>
      </c>
      <c r="J4" s="14">
        <v>1.0</v>
      </c>
      <c r="K4" s="14">
        <v>1.0</v>
      </c>
      <c r="L4" s="14">
        <v>1.0</v>
      </c>
      <c r="M4" s="14">
        <v>3.0</v>
      </c>
    </row>
    <row r="5">
      <c r="A5" s="14" t="s">
        <v>309</v>
      </c>
      <c r="B5" s="14" t="s">
        <v>312</v>
      </c>
      <c r="C5" s="14" t="s">
        <v>572</v>
      </c>
      <c r="D5" s="14" t="s">
        <v>303</v>
      </c>
      <c r="E5" s="14" t="s">
        <v>307</v>
      </c>
      <c r="F5" s="14">
        <v>1.0</v>
      </c>
      <c r="G5" s="14">
        <v>1.0</v>
      </c>
      <c r="H5" s="14">
        <v>1.0</v>
      </c>
      <c r="I5" s="14">
        <v>1.0</v>
      </c>
      <c r="J5" s="14">
        <v>1.1</v>
      </c>
      <c r="K5" s="14">
        <v>1.0</v>
      </c>
      <c r="L5" s="14">
        <v>1.0</v>
      </c>
      <c r="M5" s="14">
        <v>3.0</v>
      </c>
    </row>
    <row r="6">
      <c r="A6" s="14" t="s">
        <v>309</v>
      </c>
      <c r="B6" s="14" t="s">
        <v>312</v>
      </c>
      <c r="C6" s="14" t="s">
        <v>575</v>
      </c>
      <c r="D6" s="14" t="s">
        <v>317</v>
      </c>
      <c r="E6" s="14" t="s">
        <v>318</v>
      </c>
      <c r="F6" s="14">
        <v>1.0</v>
      </c>
      <c r="G6" s="14">
        <v>1.0</v>
      </c>
      <c r="H6" s="14">
        <v>1.0</v>
      </c>
      <c r="I6" s="14">
        <v>1.15</v>
      </c>
      <c r="J6" s="14">
        <v>1.0</v>
      </c>
      <c r="K6" s="14">
        <v>1.0</v>
      </c>
      <c r="L6" s="14">
        <v>1.0</v>
      </c>
      <c r="M6" s="14">
        <v>5.0</v>
      </c>
    </row>
    <row r="7">
      <c r="A7" s="14" t="s">
        <v>309</v>
      </c>
      <c r="B7" s="14" t="s">
        <v>312</v>
      </c>
      <c r="C7" s="14" t="s">
        <v>575</v>
      </c>
      <c r="D7" s="14" t="s">
        <v>576</v>
      </c>
      <c r="E7" s="14" t="s">
        <v>577</v>
      </c>
      <c r="F7" s="14">
        <v>1.0</v>
      </c>
      <c r="G7" s="14">
        <v>1.0</v>
      </c>
      <c r="H7" s="14">
        <v>1.0</v>
      </c>
      <c r="I7" s="14">
        <v>1.0</v>
      </c>
      <c r="J7" s="14">
        <v>1.1</v>
      </c>
      <c r="K7" s="14">
        <v>1.0</v>
      </c>
      <c r="L7" s="14">
        <v>1.0</v>
      </c>
      <c r="M7" s="14">
        <v>3.0</v>
      </c>
    </row>
    <row r="8">
      <c r="A8" s="14" t="s">
        <v>323</v>
      </c>
      <c r="B8" s="14" t="s">
        <v>324</v>
      </c>
      <c r="C8" s="14" t="s">
        <v>569</v>
      </c>
      <c r="D8" s="14" t="s">
        <v>310</v>
      </c>
      <c r="E8" s="14" t="s">
        <v>314</v>
      </c>
      <c r="F8" s="14">
        <v>1.0</v>
      </c>
      <c r="G8" s="14">
        <v>1.05</v>
      </c>
      <c r="H8" s="14">
        <v>1.0</v>
      </c>
      <c r="I8" s="14">
        <v>1.0</v>
      </c>
      <c r="J8" s="14">
        <v>1.0</v>
      </c>
      <c r="K8" s="14">
        <v>1.0</v>
      </c>
      <c r="L8" s="14">
        <v>1.0</v>
      </c>
      <c r="M8" s="14">
        <v>2.0</v>
      </c>
    </row>
    <row r="9">
      <c r="A9" s="14" t="s">
        <v>323</v>
      </c>
      <c r="B9" s="14" t="s">
        <v>324</v>
      </c>
      <c r="C9" s="14" t="s">
        <v>569</v>
      </c>
      <c r="D9" s="14" t="s">
        <v>293</v>
      </c>
      <c r="E9" s="14" t="s">
        <v>300</v>
      </c>
      <c r="F9" s="14">
        <v>1.0</v>
      </c>
      <c r="G9" s="14">
        <v>1.0</v>
      </c>
      <c r="H9" s="14">
        <v>1.0</v>
      </c>
      <c r="I9" s="14">
        <v>1.0</v>
      </c>
      <c r="J9" s="14">
        <v>1.0</v>
      </c>
      <c r="K9" s="14">
        <v>1.0</v>
      </c>
      <c r="L9" s="14">
        <v>0.95</v>
      </c>
      <c r="M9" s="14">
        <v>2.0</v>
      </c>
    </row>
    <row r="10">
      <c r="A10" s="14" t="s">
        <v>323</v>
      </c>
      <c r="B10" s="14" t="s">
        <v>324</v>
      </c>
      <c r="C10" s="14" t="s">
        <v>572</v>
      </c>
      <c r="D10" s="14" t="s">
        <v>303</v>
      </c>
      <c r="E10" s="14" t="s">
        <v>307</v>
      </c>
      <c r="F10" s="14">
        <v>1.0</v>
      </c>
      <c r="G10" s="14">
        <v>1.0</v>
      </c>
      <c r="H10" s="14">
        <v>1.0</v>
      </c>
      <c r="I10" s="14">
        <v>1.0</v>
      </c>
      <c r="J10" s="14">
        <v>1.1</v>
      </c>
      <c r="K10" s="14">
        <v>1.0</v>
      </c>
      <c r="L10" s="14">
        <v>1.0</v>
      </c>
      <c r="M10" s="14">
        <v>3.0</v>
      </c>
    </row>
    <row r="11">
      <c r="A11" s="14" t="s">
        <v>323</v>
      </c>
      <c r="B11" s="14" t="s">
        <v>324</v>
      </c>
      <c r="C11" s="14" t="s">
        <v>572</v>
      </c>
      <c r="D11" s="14" t="s">
        <v>573</v>
      </c>
      <c r="E11" s="14" t="s">
        <v>574</v>
      </c>
      <c r="F11" s="14">
        <v>1.0</v>
      </c>
      <c r="G11" s="14">
        <v>1.0</v>
      </c>
      <c r="H11" s="14">
        <v>0.95</v>
      </c>
      <c r="I11" s="14">
        <v>1.0</v>
      </c>
      <c r="J11" s="14">
        <v>1.0</v>
      </c>
      <c r="K11" s="14">
        <v>1.0</v>
      </c>
      <c r="L11" s="14">
        <v>1.0</v>
      </c>
      <c r="M11" s="14">
        <v>3.0</v>
      </c>
    </row>
    <row r="12">
      <c r="A12" s="14" t="s">
        <v>323</v>
      </c>
      <c r="B12" s="14" t="s">
        <v>324</v>
      </c>
      <c r="C12" s="14" t="s">
        <v>575</v>
      </c>
      <c r="D12" s="14" t="s">
        <v>317</v>
      </c>
      <c r="E12" s="14" t="s">
        <v>318</v>
      </c>
      <c r="F12" s="14">
        <v>1.0</v>
      </c>
      <c r="G12" s="14">
        <v>1.0</v>
      </c>
      <c r="H12" s="14">
        <v>1.0</v>
      </c>
      <c r="I12" s="14">
        <v>1.15</v>
      </c>
      <c r="J12" s="14">
        <v>1.0</v>
      </c>
      <c r="K12" s="14">
        <v>1.0</v>
      </c>
      <c r="L12" s="14">
        <v>1.0</v>
      </c>
      <c r="M12" s="14">
        <v>5.0</v>
      </c>
    </row>
    <row r="13">
      <c r="A13" s="14" t="s">
        <v>323</v>
      </c>
      <c r="B13" s="14" t="s">
        <v>324</v>
      </c>
      <c r="C13" s="14" t="s">
        <v>575</v>
      </c>
      <c r="D13" s="14" t="s">
        <v>570</v>
      </c>
      <c r="E13" s="14" t="s">
        <v>571</v>
      </c>
      <c r="F13" s="14">
        <v>1.15</v>
      </c>
      <c r="G13" s="14">
        <v>1.0</v>
      </c>
      <c r="H13" s="14">
        <v>1.0</v>
      </c>
      <c r="I13" s="14">
        <v>1.0</v>
      </c>
      <c r="J13" s="14">
        <v>1.0</v>
      </c>
      <c r="K13" s="14">
        <v>1.0</v>
      </c>
      <c r="L13" s="14">
        <v>1.0</v>
      </c>
      <c r="M13" s="14">
        <v>5.0</v>
      </c>
    </row>
    <row r="14">
      <c r="A14" s="14" t="s">
        <v>302</v>
      </c>
      <c r="B14" s="14" t="s">
        <v>305</v>
      </c>
      <c r="C14" s="14" t="s">
        <v>569</v>
      </c>
      <c r="D14" s="14" t="s">
        <v>317</v>
      </c>
      <c r="E14" s="14" t="s">
        <v>318</v>
      </c>
      <c r="F14" s="14">
        <v>1.0</v>
      </c>
      <c r="G14" s="14">
        <v>1.0</v>
      </c>
      <c r="H14" s="14">
        <v>1.0</v>
      </c>
      <c r="I14" s="14">
        <v>1.15</v>
      </c>
      <c r="J14" s="14">
        <v>1.0</v>
      </c>
      <c r="K14" s="14">
        <v>1.0</v>
      </c>
      <c r="L14" s="14">
        <v>1.0</v>
      </c>
      <c r="M14" s="14">
        <v>5.0</v>
      </c>
    </row>
    <row r="15">
      <c r="A15" s="14" t="s">
        <v>302</v>
      </c>
      <c r="B15" s="14" t="s">
        <v>305</v>
      </c>
      <c r="C15" s="14" t="s">
        <v>569</v>
      </c>
      <c r="D15" s="14" t="s">
        <v>578</v>
      </c>
      <c r="E15" s="14" t="s">
        <v>579</v>
      </c>
      <c r="F15" s="14">
        <v>1.0</v>
      </c>
      <c r="G15" s="14">
        <v>1.0</v>
      </c>
      <c r="H15" s="14">
        <v>1.0</v>
      </c>
      <c r="I15" s="14">
        <v>1.1</v>
      </c>
      <c r="J15" s="14">
        <v>1.0</v>
      </c>
      <c r="K15" s="14">
        <v>1.0</v>
      </c>
      <c r="L15" s="14">
        <v>1.0</v>
      </c>
      <c r="M15" s="14">
        <v>5.0</v>
      </c>
    </row>
    <row r="16">
      <c r="A16" s="14" t="s">
        <v>302</v>
      </c>
      <c r="B16" s="14" t="s">
        <v>305</v>
      </c>
      <c r="C16" s="14" t="s">
        <v>572</v>
      </c>
      <c r="D16" s="14" t="s">
        <v>303</v>
      </c>
      <c r="E16" s="14" t="s">
        <v>307</v>
      </c>
      <c r="F16" s="14">
        <v>1.0</v>
      </c>
      <c r="G16" s="14">
        <v>1.0</v>
      </c>
      <c r="H16" s="14">
        <v>1.0</v>
      </c>
      <c r="I16" s="14">
        <v>1.0</v>
      </c>
      <c r="J16" s="14">
        <v>1.1</v>
      </c>
      <c r="K16" s="14">
        <v>1.0</v>
      </c>
      <c r="L16" s="14">
        <v>1.0</v>
      </c>
      <c r="M16" s="14">
        <v>3.0</v>
      </c>
    </row>
    <row r="17">
      <c r="A17" s="14" t="s">
        <v>302</v>
      </c>
      <c r="B17" s="14" t="s">
        <v>305</v>
      </c>
      <c r="C17" s="14" t="s">
        <v>572</v>
      </c>
      <c r="D17" s="14" t="s">
        <v>573</v>
      </c>
      <c r="E17" s="14" t="s">
        <v>574</v>
      </c>
      <c r="F17" s="14">
        <v>1.0</v>
      </c>
      <c r="G17" s="14">
        <v>1.0</v>
      </c>
      <c r="H17" s="14">
        <v>0.95</v>
      </c>
      <c r="I17" s="14">
        <v>1.0</v>
      </c>
      <c r="J17" s="14">
        <v>1.0</v>
      </c>
      <c r="K17" s="14">
        <v>1.0</v>
      </c>
      <c r="L17" s="14">
        <v>1.0</v>
      </c>
      <c r="M17" s="14">
        <v>3.0</v>
      </c>
    </row>
    <row r="18">
      <c r="A18" s="14" t="s">
        <v>302</v>
      </c>
      <c r="B18" s="14" t="s">
        <v>305</v>
      </c>
      <c r="C18" s="14" t="s">
        <v>575</v>
      </c>
      <c r="D18" s="14" t="s">
        <v>576</v>
      </c>
      <c r="E18" s="14" t="s">
        <v>577</v>
      </c>
      <c r="F18" s="14">
        <v>1.0</v>
      </c>
      <c r="G18" s="14">
        <v>1.0</v>
      </c>
      <c r="H18" s="14">
        <v>1.0</v>
      </c>
      <c r="I18" s="14">
        <v>1.0</v>
      </c>
      <c r="J18" s="14">
        <v>1.1</v>
      </c>
      <c r="K18" s="14">
        <v>1.0</v>
      </c>
      <c r="L18" s="14">
        <v>1.0</v>
      </c>
      <c r="M18" s="14">
        <v>3.0</v>
      </c>
    </row>
    <row r="19">
      <c r="A19" s="14" t="s">
        <v>302</v>
      </c>
      <c r="B19" s="14" t="s">
        <v>305</v>
      </c>
      <c r="C19" s="14" t="s">
        <v>575</v>
      </c>
      <c r="D19" s="14" t="s">
        <v>570</v>
      </c>
      <c r="E19" s="14" t="s">
        <v>571</v>
      </c>
      <c r="F19" s="14">
        <v>1.15</v>
      </c>
      <c r="G19" s="14">
        <v>1.0</v>
      </c>
      <c r="H19" s="14">
        <v>1.0</v>
      </c>
      <c r="I19" s="14">
        <v>1.0</v>
      </c>
      <c r="J19" s="14">
        <v>1.0</v>
      </c>
      <c r="K19" s="14">
        <v>1.0</v>
      </c>
      <c r="L19" s="14">
        <v>1.0</v>
      </c>
      <c r="M19" s="14">
        <v>5.0</v>
      </c>
    </row>
    <row r="20">
      <c r="A20" s="14" t="s">
        <v>486</v>
      </c>
      <c r="B20" s="14" t="s">
        <v>541</v>
      </c>
      <c r="C20" s="14" t="s">
        <v>569</v>
      </c>
      <c r="D20" s="14" t="s">
        <v>580</v>
      </c>
      <c r="E20" s="14" t="s">
        <v>581</v>
      </c>
      <c r="F20" s="14">
        <v>1.0</v>
      </c>
      <c r="G20" s="14">
        <v>1.0</v>
      </c>
      <c r="H20" s="14">
        <v>1.0</v>
      </c>
      <c r="I20" s="14">
        <v>1.0</v>
      </c>
      <c r="J20" s="14">
        <v>1.0</v>
      </c>
      <c r="K20" s="14">
        <v>1.075</v>
      </c>
      <c r="L20" s="14">
        <v>1.0</v>
      </c>
      <c r="M20" s="14">
        <v>5.0</v>
      </c>
    </row>
    <row r="21">
      <c r="A21" s="14" t="s">
        <v>486</v>
      </c>
      <c r="B21" s="14" t="s">
        <v>541</v>
      </c>
      <c r="C21" s="14" t="s">
        <v>569</v>
      </c>
      <c r="D21" s="14" t="s">
        <v>582</v>
      </c>
      <c r="E21" s="14" t="s">
        <v>583</v>
      </c>
      <c r="F21" s="14">
        <v>1.0</v>
      </c>
      <c r="G21" s="14">
        <v>1.0</v>
      </c>
      <c r="H21" s="14">
        <v>1.0</v>
      </c>
      <c r="I21" s="14">
        <v>1.0</v>
      </c>
      <c r="J21" s="14">
        <v>1.0</v>
      </c>
      <c r="K21" s="14">
        <v>1.05</v>
      </c>
      <c r="L21" s="14">
        <v>1.0</v>
      </c>
      <c r="M21" s="14">
        <v>5.0</v>
      </c>
    </row>
    <row r="22">
      <c r="A22" s="14" t="s">
        <v>486</v>
      </c>
      <c r="B22" s="14" t="s">
        <v>541</v>
      </c>
      <c r="C22" s="14" t="s">
        <v>572</v>
      </c>
      <c r="D22" s="14" t="s">
        <v>317</v>
      </c>
      <c r="E22" s="14" t="s">
        <v>318</v>
      </c>
      <c r="F22" s="14">
        <v>1.0</v>
      </c>
      <c r="G22" s="14">
        <v>1.0</v>
      </c>
      <c r="H22" s="14">
        <v>1.0</v>
      </c>
      <c r="I22" s="14">
        <v>1.15</v>
      </c>
      <c r="J22" s="14">
        <v>1.0</v>
      </c>
      <c r="K22" s="14">
        <v>1.0</v>
      </c>
      <c r="L22" s="14">
        <v>1.0</v>
      </c>
      <c r="M22" s="14">
        <v>5.0</v>
      </c>
    </row>
    <row r="23">
      <c r="A23" s="14" t="s">
        <v>486</v>
      </c>
      <c r="B23" s="14" t="s">
        <v>541</v>
      </c>
      <c r="C23" s="14" t="s">
        <v>572</v>
      </c>
      <c r="D23" s="14" t="s">
        <v>578</v>
      </c>
      <c r="E23" s="14" t="s">
        <v>579</v>
      </c>
      <c r="F23" s="14">
        <v>1.0</v>
      </c>
      <c r="G23" s="14">
        <v>1.0</v>
      </c>
      <c r="H23" s="14">
        <v>1.0</v>
      </c>
      <c r="I23" s="14">
        <v>1.1</v>
      </c>
      <c r="J23" s="14">
        <v>1.0</v>
      </c>
      <c r="K23" s="14">
        <v>1.0</v>
      </c>
      <c r="L23" s="14">
        <v>1.0</v>
      </c>
      <c r="M23" s="14">
        <v>5.0</v>
      </c>
    </row>
    <row r="24">
      <c r="A24" s="14" t="s">
        <v>486</v>
      </c>
      <c r="B24" s="14" t="s">
        <v>541</v>
      </c>
      <c r="C24" s="14" t="s">
        <v>575</v>
      </c>
      <c r="D24" s="14" t="s">
        <v>576</v>
      </c>
      <c r="E24" s="14" t="s">
        <v>577</v>
      </c>
      <c r="F24" s="14">
        <v>1.0</v>
      </c>
      <c r="G24" s="14">
        <v>1.0</v>
      </c>
      <c r="H24" s="14">
        <v>1.0</v>
      </c>
      <c r="I24" s="14">
        <v>1.0</v>
      </c>
      <c r="J24" s="14">
        <v>1.1</v>
      </c>
      <c r="K24" s="14">
        <v>1.0</v>
      </c>
      <c r="L24" s="14">
        <v>1.0</v>
      </c>
      <c r="M24" s="14">
        <v>3.0</v>
      </c>
    </row>
    <row r="25">
      <c r="A25" s="14" t="s">
        <v>486</v>
      </c>
      <c r="B25" s="14" t="s">
        <v>541</v>
      </c>
      <c r="C25" s="14" t="s">
        <v>575</v>
      </c>
      <c r="D25" s="14" t="s">
        <v>570</v>
      </c>
      <c r="E25" s="14" t="s">
        <v>571</v>
      </c>
      <c r="F25" s="14">
        <v>1.15</v>
      </c>
      <c r="G25" s="14">
        <v>1.0</v>
      </c>
      <c r="H25" s="14">
        <v>1.0</v>
      </c>
      <c r="I25" s="14">
        <v>1.0</v>
      </c>
      <c r="J25" s="14">
        <v>1.0</v>
      </c>
      <c r="K25" s="14">
        <v>1.0</v>
      </c>
      <c r="L25" s="14">
        <v>1.0</v>
      </c>
      <c r="M25" s="14">
        <v>5.0</v>
      </c>
    </row>
    <row r="26">
      <c r="A26" s="14" t="s">
        <v>478</v>
      </c>
      <c r="B26" s="14" t="s">
        <v>544</v>
      </c>
      <c r="C26" s="14" t="s">
        <v>569</v>
      </c>
      <c r="D26" s="14" t="s">
        <v>293</v>
      </c>
      <c r="E26" s="14" t="s">
        <v>300</v>
      </c>
      <c r="F26" s="14">
        <v>1.0</v>
      </c>
      <c r="G26" s="14">
        <v>1.0</v>
      </c>
      <c r="H26" s="14">
        <v>1.0</v>
      </c>
      <c r="I26" s="14">
        <v>1.0</v>
      </c>
      <c r="J26" s="14">
        <v>1.0</v>
      </c>
      <c r="K26" s="14">
        <v>1.0</v>
      </c>
      <c r="L26" s="14">
        <v>0.95</v>
      </c>
      <c r="M26" s="14">
        <v>2.0</v>
      </c>
    </row>
    <row r="27">
      <c r="A27" s="14" t="s">
        <v>478</v>
      </c>
      <c r="B27" s="14" t="s">
        <v>544</v>
      </c>
      <c r="C27" s="14" t="s">
        <v>569</v>
      </c>
      <c r="D27" s="14" t="s">
        <v>580</v>
      </c>
      <c r="E27" s="14" t="s">
        <v>581</v>
      </c>
      <c r="F27" s="14">
        <v>1.0</v>
      </c>
      <c r="G27" s="14">
        <v>1.0</v>
      </c>
      <c r="H27" s="14">
        <v>1.0</v>
      </c>
      <c r="I27" s="14">
        <v>1.0</v>
      </c>
      <c r="J27" s="14">
        <v>1.0</v>
      </c>
      <c r="K27" s="14">
        <v>1.075</v>
      </c>
      <c r="L27" s="14">
        <v>1.0</v>
      </c>
      <c r="M27" s="14">
        <v>5.0</v>
      </c>
    </row>
    <row r="28">
      <c r="A28" s="14" t="s">
        <v>478</v>
      </c>
      <c r="B28" s="14" t="s">
        <v>544</v>
      </c>
      <c r="C28" s="14" t="s">
        <v>572</v>
      </c>
      <c r="D28" s="14" t="s">
        <v>303</v>
      </c>
      <c r="E28" s="14" t="s">
        <v>307</v>
      </c>
      <c r="F28" s="14">
        <v>1.0</v>
      </c>
      <c r="G28" s="14">
        <v>1.0</v>
      </c>
      <c r="H28" s="14">
        <v>1.0</v>
      </c>
      <c r="I28" s="14">
        <v>1.0</v>
      </c>
      <c r="J28" s="14">
        <v>1.1</v>
      </c>
      <c r="K28" s="14">
        <v>1.0</v>
      </c>
      <c r="L28" s="14">
        <v>1.0</v>
      </c>
      <c r="M28" s="14">
        <v>3.0</v>
      </c>
    </row>
    <row r="29">
      <c r="A29" s="14" t="s">
        <v>478</v>
      </c>
      <c r="B29" s="14" t="s">
        <v>544</v>
      </c>
      <c r="C29" s="14" t="s">
        <v>572</v>
      </c>
      <c r="D29" s="14" t="s">
        <v>573</v>
      </c>
      <c r="E29" s="14" t="s">
        <v>574</v>
      </c>
      <c r="F29" s="14">
        <v>1.0</v>
      </c>
      <c r="G29" s="14">
        <v>1.0</v>
      </c>
      <c r="H29" s="14">
        <v>0.95</v>
      </c>
      <c r="I29" s="14">
        <v>1.0</v>
      </c>
      <c r="J29" s="14">
        <v>1.0</v>
      </c>
      <c r="K29" s="14">
        <v>1.0</v>
      </c>
      <c r="L29" s="14">
        <v>1.0</v>
      </c>
      <c r="M29" s="14">
        <v>3.0</v>
      </c>
    </row>
    <row r="30">
      <c r="A30" s="14" t="s">
        <v>478</v>
      </c>
      <c r="B30" s="14" t="s">
        <v>544</v>
      </c>
      <c r="C30" s="14" t="s">
        <v>575</v>
      </c>
      <c r="D30" s="14" t="s">
        <v>582</v>
      </c>
      <c r="E30" s="14" t="s">
        <v>583</v>
      </c>
      <c r="F30" s="14">
        <v>1.0</v>
      </c>
      <c r="G30" s="14">
        <v>1.0</v>
      </c>
      <c r="H30" s="14">
        <v>1.0</v>
      </c>
      <c r="I30" s="14">
        <v>1.0</v>
      </c>
      <c r="J30" s="14">
        <v>1.0</v>
      </c>
      <c r="K30" s="14">
        <v>1.05</v>
      </c>
      <c r="L30" s="14">
        <v>1.0</v>
      </c>
      <c r="M30" s="14">
        <v>5.0</v>
      </c>
    </row>
    <row r="31">
      <c r="A31" s="14" t="s">
        <v>478</v>
      </c>
      <c r="B31" s="14" t="s">
        <v>544</v>
      </c>
      <c r="C31" s="14" t="s">
        <v>575</v>
      </c>
      <c r="D31" s="14" t="s">
        <v>576</v>
      </c>
      <c r="E31" s="14" t="s">
        <v>577</v>
      </c>
      <c r="F31" s="14">
        <v>1.0</v>
      </c>
      <c r="G31" s="14">
        <v>1.0</v>
      </c>
      <c r="H31" s="14">
        <v>1.0</v>
      </c>
      <c r="I31" s="14">
        <v>1.0</v>
      </c>
      <c r="J31" s="14">
        <v>1.1</v>
      </c>
      <c r="K31" s="14">
        <v>1.0</v>
      </c>
      <c r="L31" s="14">
        <v>1.0</v>
      </c>
      <c r="M31" s="14">
        <v>3.0</v>
      </c>
    </row>
    <row r="32">
      <c r="A32" s="14" t="s">
        <v>482</v>
      </c>
      <c r="B32" s="14" t="s">
        <v>547</v>
      </c>
      <c r="C32" s="14" t="s">
        <v>569</v>
      </c>
      <c r="D32" s="14" t="s">
        <v>570</v>
      </c>
      <c r="E32" s="14" t="s">
        <v>571</v>
      </c>
      <c r="F32" s="14">
        <v>1.15</v>
      </c>
      <c r="G32" s="14">
        <v>1.0</v>
      </c>
      <c r="H32" s="14">
        <v>1.0</v>
      </c>
      <c r="I32" s="14">
        <v>1.0</v>
      </c>
      <c r="J32" s="14">
        <v>1.0</v>
      </c>
      <c r="K32" s="14">
        <v>1.0</v>
      </c>
      <c r="L32" s="14">
        <v>1.0</v>
      </c>
      <c r="M32" s="14">
        <v>5.0</v>
      </c>
    </row>
    <row r="33">
      <c r="A33" s="14" t="s">
        <v>482</v>
      </c>
      <c r="B33" s="14" t="s">
        <v>547</v>
      </c>
      <c r="C33" s="14" t="s">
        <v>569</v>
      </c>
      <c r="D33" s="14" t="s">
        <v>576</v>
      </c>
      <c r="E33" s="14" t="s">
        <v>577</v>
      </c>
      <c r="F33" s="14">
        <v>1.0</v>
      </c>
      <c r="G33" s="14">
        <v>1.0</v>
      </c>
      <c r="H33" s="14">
        <v>1.0</v>
      </c>
      <c r="I33" s="14">
        <v>1.0</v>
      </c>
      <c r="J33" s="14">
        <v>1.1</v>
      </c>
      <c r="K33" s="14">
        <v>1.0</v>
      </c>
      <c r="L33" s="14">
        <v>1.0</v>
      </c>
      <c r="M33" s="14">
        <v>3.0</v>
      </c>
    </row>
    <row r="34">
      <c r="A34" s="14" t="s">
        <v>482</v>
      </c>
      <c r="B34" s="14" t="s">
        <v>547</v>
      </c>
      <c r="C34" s="14" t="s">
        <v>572</v>
      </c>
      <c r="D34" s="14" t="s">
        <v>580</v>
      </c>
      <c r="E34" s="14" t="s">
        <v>581</v>
      </c>
      <c r="F34" s="14">
        <v>1.0</v>
      </c>
      <c r="G34" s="14">
        <v>1.0</v>
      </c>
      <c r="H34" s="14">
        <v>1.0</v>
      </c>
      <c r="I34" s="14">
        <v>1.0</v>
      </c>
      <c r="J34" s="14">
        <v>1.0</v>
      </c>
      <c r="K34" s="14">
        <v>1.075</v>
      </c>
      <c r="L34" s="14">
        <v>1.0</v>
      </c>
      <c r="M34" s="14">
        <v>5.0</v>
      </c>
    </row>
    <row r="35">
      <c r="A35" s="14" t="s">
        <v>482</v>
      </c>
      <c r="B35" s="14" t="s">
        <v>547</v>
      </c>
      <c r="C35" s="14" t="s">
        <v>572</v>
      </c>
      <c r="D35" s="14" t="s">
        <v>582</v>
      </c>
      <c r="E35" s="14" t="s">
        <v>583</v>
      </c>
      <c r="F35" s="14">
        <v>1.0</v>
      </c>
      <c r="G35" s="14">
        <v>1.0</v>
      </c>
      <c r="H35" s="14">
        <v>1.0</v>
      </c>
      <c r="I35" s="14">
        <v>1.0</v>
      </c>
      <c r="J35" s="14">
        <v>1.0</v>
      </c>
      <c r="K35" s="14">
        <v>1.05</v>
      </c>
      <c r="L35" s="14">
        <v>1.0</v>
      </c>
      <c r="M35" s="14">
        <v>5.0</v>
      </c>
    </row>
    <row r="36">
      <c r="A36" s="14" t="s">
        <v>482</v>
      </c>
      <c r="B36" s="14" t="s">
        <v>547</v>
      </c>
      <c r="C36" s="14" t="s">
        <v>575</v>
      </c>
      <c r="D36" s="14" t="s">
        <v>317</v>
      </c>
      <c r="E36" s="14" t="s">
        <v>318</v>
      </c>
      <c r="F36" s="14">
        <v>1.0</v>
      </c>
      <c r="G36" s="14">
        <v>1.0</v>
      </c>
      <c r="H36" s="14">
        <v>1.0</v>
      </c>
      <c r="I36" s="14">
        <v>1.15</v>
      </c>
      <c r="J36" s="14">
        <v>1.0</v>
      </c>
      <c r="K36" s="14">
        <v>1.0</v>
      </c>
      <c r="L36" s="14">
        <v>1.0</v>
      </c>
      <c r="M36" s="14">
        <v>5.0</v>
      </c>
    </row>
    <row r="37">
      <c r="A37" s="14" t="s">
        <v>482</v>
      </c>
      <c r="B37" s="14" t="s">
        <v>547</v>
      </c>
      <c r="C37" s="14" t="s">
        <v>575</v>
      </c>
      <c r="D37" s="14" t="s">
        <v>303</v>
      </c>
      <c r="E37" s="14" t="s">
        <v>307</v>
      </c>
      <c r="F37" s="14">
        <v>1.0</v>
      </c>
      <c r="G37" s="14">
        <v>1.0</v>
      </c>
      <c r="H37" s="14">
        <v>1.0</v>
      </c>
      <c r="I37" s="14">
        <v>1.0</v>
      </c>
      <c r="J37" s="14">
        <v>1.1</v>
      </c>
      <c r="K37" s="14">
        <v>1.0</v>
      </c>
      <c r="L37" s="14">
        <v>1.0</v>
      </c>
      <c r="M37" s="14">
        <v>3.0</v>
      </c>
    </row>
    <row r="38">
      <c r="A38" s="14" t="s">
        <v>473</v>
      </c>
      <c r="B38" s="14" t="s">
        <v>550</v>
      </c>
      <c r="C38" s="14" t="s">
        <v>569</v>
      </c>
      <c r="D38" s="14" t="s">
        <v>303</v>
      </c>
      <c r="E38" s="14" t="s">
        <v>307</v>
      </c>
      <c r="F38" s="14">
        <v>1.0</v>
      </c>
      <c r="G38" s="14">
        <v>1.0</v>
      </c>
      <c r="H38" s="14">
        <v>1.0</v>
      </c>
      <c r="I38" s="14">
        <v>1.0</v>
      </c>
      <c r="J38" s="14">
        <v>1.1</v>
      </c>
      <c r="K38" s="14">
        <v>1.0</v>
      </c>
      <c r="L38" s="14">
        <v>1.0</v>
      </c>
      <c r="M38" s="14">
        <v>3.0</v>
      </c>
    </row>
    <row r="39">
      <c r="A39" s="14" t="s">
        <v>473</v>
      </c>
      <c r="B39" s="14" t="s">
        <v>550</v>
      </c>
      <c r="C39" s="14" t="s">
        <v>569</v>
      </c>
      <c r="D39" s="14" t="s">
        <v>317</v>
      </c>
      <c r="E39" s="14" t="s">
        <v>318</v>
      </c>
      <c r="F39" s="14">
        <v>1.0</v>
      </c>
      <c r="G39" s="14">
        <v>1.0</v>
      </c>
      <c r="H39" s="14">
        <v>1.0</v>
      </c>
      <c r="I39" s="14">
        <v>1.15</v>
      </c>
      <c r="J39" s="14">
        <v>1.0</v>
      </c>
      <c r="K39" s="14">
        <v>1.0</v>
      </c>
      <c r="L39" s="14">
        <v>1.0</v>
      </c>
      <c r="M39" s="14">
        <v>5.0</v>
      </c>
    </row>
    <row r="40">
      <c r="A40" s="14" t="s">
        <v>473</v>
      </c>
      <c r="B40" s="14" t="s">
        <v>550</v>
      </c>
      <c r="C40" s="14" t="s">
        <v>572</v>
      </c>
      <c r="D40" s="14" t="s">
        <v>573</v>
      </c>
      <c r="E40" s="14" t="s">
        <v>574</v>
      </c>
      <c r="F40" s="14">
        <v>1.0</v>
      </c>
      <c r="G40" s="14">
        <v>1.0</v>
      </c>
      <c r="H40" s="14">
        <v>0.95</v>
      </c>
      <c r="I40" s="14">
        <v>1.0</v>
      </c>
      <c r="J40" s="14">
        <v>1.0</v>
      </c>
      <c r="K40" s="14">
        <v>1.0</v>
      </c>
      <c r="L40" s="14">
        <v>1.0</v>
      </c>
      <c r="M40" s="14">
        <v>3.0</v>
      </c>
    </row>
    <row r="41">
      <c r="A41" s="14" t="s">
        <v>473</v>
      </c>
      <c r="B41" s="14" t="s">
        <v>550</v>
      </c>
      <c r="C41" s="14" t="s">
        <v>572</v>
      </c>
      <c r="D41" s="14" t="s">
        <v>578</v>
      </c>
      <c r="E41" s="14" t="s">
        <v>579</v>
      </c>
      <c r="F41" s="14">
        <v>1.0</v>
      </c>
      <c r="G41" s="14">
        <v>1.0</v>
      </c>
      <c r="H41" s="14">
        <v>1.0</v>
      </c>
      <c r="I41" s="14">
        <v>1.1</v>
      </c>
      <c r="J41" s="14">
        <v>1.0</v>
      </c>
      <c r="K41" s="14">
        <v>1.0</v>
      </c>
      <c r="L41" s="14">
        <v>1.0</v>
      </c>
      <c r="M41" s="14">
        <v>5.0</v>
      </c>
    </row>
    <row r="42">
      <c r="A42" s="14" t="s">
        <v>473</v>
      </c>
      <c r="B42" s="14" t="s">
        <v>550</v>
      </c>
      <c r="C42" s="14" t="s">
        <v>575</v>
      </c>
      <c r="D42" s="14" t="s">
        <v>576</v>
      </c>
      <c r="E42" s="14" t="s">
        <v>577</v>
      </c>
      <c r="F42" s="14">
        <v>1.0</v>
      </c>
      <c r="G42" s="14">
        <v>1.0</v>
      </c>
      <c r="H42" s="14">
        <v>1.0</v>
      </c>
      <c r="I42" s="14">
        <v>1.0</v>
      </c>
      <c r="J42" s="14">
        <v>1.1</v>
      </c>
      <c r="K42" s="14">
        <v>1.0</v>
      </c>
      <c r="L42" s="14">
        <v>1.0</v>
      </c>
      <c r="M42" s="14">
        <v>3.0</v>
      </c>
    </row>
    <row r="43">
      <c r="A43" s="14" t="s">
        <v>473</v>
      </c>
      <c r="B43" s="14" t="s">
        <v>550</v>
      </c>
      <c r="C43" s="14" t="s">
        <v>575</v>
      </c>
      <c r="D43" s="14" t="s">
        <v>580</v>
      </c>
      <c r="E43" s="14" t="s">
        <v>581</v>
      </c>
      <c r="F43" s="14">
        <v>1.0</v>
      </c>
      <c r="G43" s="14">
        <v>1.0</v>
      </c>
      <c r="H43" s="14">
        <v>1.0</v>
      </c>
      <c r="I43" s="14">
        <v>1.0</v>
      </c>
      <c r="J43" s="14">
        <v>1.0</v>
      </c>
      <c r="K43" s="14">
        <v>1.075</v>
      </c>
      <c r="L43" s="14">
        <v>1.0</v>
      </c>
      <c r="M43" s="14">
        <v>5.0</v>
      </c>
    </row>
    <row r="44">
      <c r="A44" s="14" t="s">
        <v>468</v>
      </c>
      <c r="B44" s="14" t="s">
        <v>553</v>
      </c>
      <c r="C44" s="14" t="s">
        <v>569</v>
      </c>
      <c r="D44" s="14" t="s">
        <v>310</v>
      </c>
      <c r="E44" s="14" t="s">
        <v>314</v>
      </c>
      <c r="F44" s="14">
        <v>1.0</v>
      </c>
      <c r="G44" s="14">
        <v>1.05</v>
      </c>
      <c r="H44" s="14">
        <v>1.0</v>
      </c>
      <c r="I44" s="14">
        <v>1.0</v>
      </c>
      <c r="J44" s="14">
        <v>1.0</v>
      </c>
      <c r="K44" s="14">
        <v>1.0</v>
      </c>
      <c r="L44" s="14">
        <v>1.0</v>
      </c>
      <c r="M44" s="14">
        <v>2.0</v>
      </c>
    </row>
    <row r="45">
      <c r="A45" s="14" t="s">
        <v>468</v>
      </c>
      <c r="B45" s="14" t="s">
        <v>553</v>
      </c>
      <c r="C45" s="14" t="s">
        <v>569</v>
      </c>
      <c r="D45" s="14" t="s">
        <v>293</v>
      </c>
      <c r="E45" s="14" t="s">
        <v>300</v>
      </c>
      <c r="F45" s="14">
        <v>1.0</v>
      </c>
      <c r="G45" s="14">
        <v>1.0</v>
      </c>
      <c r="H45" s="14">
        <v>1.0</v>
      </c>
      <c r="I45" s="14">
        <v>1.0</v>
      </c>
      <c r="J45" s="14">
        <v>1.0</v>
      </c>
      <c r="K45" s="14">
        <v>1.0</v>
      </c>
      <c r="L45" s="14">
        <v>0.95</v>
      </c>
      <c r="M45" s="14">
        <v>2.0</v>
      </c>
    </row>
    <row r="46">
      <c r="A46" s="14" t="s">
        <v>468</v>
      </c>
      <c r="B46" s="14" t="s">
        <v>553</v>
      </c>
      <c r="C46" s="14" t="s">
        <v>572</v>
      </c>
      <c r="D46" s="14" t="s">
        <v>580</v>
      </c>
      <c r="E46" s="14" t="s">
        <v>581</v>
      </c>
      <c r="F46" s="14">
        <v>1.0</v>
      </c>
      <c r="G46" s="14">
        <v>1.0</v>
      </c>
      <c r="H46" s="14">
        <v>1.0</v>
      </c>
      <c r="I46" s="14">
        <v>1.0</v>
      </c>
      <c r="J46" s="14">
        <v>1.0</v>
      </c>
      <c r="K46" s="14">
        <v>1.075</v>
      </c>
      <c r="L46" s="14">
        <v>1.0</v>
      </c>
      <c r="M46" s="14">
        <v>5.0</v>
      </c>
    </row>
    <row r="47">
      <c r="A47" s="14" t="s">
        <v>468</v>
      </c>
      <c r="B47" s="14" t="s">
        <v>553</v>
      </c>
      <c r="C47" s="14" t="s">
        <v>572</v>
      </c>
      <c r="D47" s="14" t="s">
        <v>582</v>
      </c>
      <c r="E47" s="14" t="s">
        <v>583</v>
      </c>
      <c r="F47" s="14">
        <v>1.0</v>
      </c>
      <c r="G47" s="14">
        <v>1.0</v>
      </c>
      <c r="H47" s="14">
        <v>1.0</v>
      </c>
      <c r="I47" s="14">
        <v>1.0</v>
      </c>
      <c r="J47" s="14">
        <v>1.0</v>
      </c>
      <c r="K47" s="14">
        <v>1.05</v>
      </c>
      <c r="L47" s="14">
        <v>1.0</v>
      </c>
      <c r="M47" s="14">
        <v>5.0</v>
      </c>
    </row>
    <row r="48">
      <c r="A48" s="14" t="s">
        <v>468</v>
      </c>
      <c r="B48" s="14" t="s">
        <v>553</v>
      </c>
      <c r="C48" s="14" t="s">
        <v>575</v>
      </c>
      <c r="D48" s="14" t="s">
        <v>576</v>
      </c>
      <c r="E48" s="14" t="s">
        <v>577</v>
      </c>
      <c r="F48" s="14">
        <v>1.0</v>
      </c>
      <c r="G48" s="14">
        <v>1.0</v>
      </c>
      <c r="H48" s="14">
        <v>1.0</v>
      </c>
      <c r="I48" s="14">
        <v>1.0</v>
      </c>
      <c r="J48" s="14">
        <v>1.1</v>
      </c>
      <c r="K48" s="14">
        <v>1.0</v>
      </c>
      <c r="L48" s="14">
        <v>1.0</v>
      </c>
      <c r="M48" s="14">
        <v>3.0</v>
      </c>
    </row>
    <row r="49">
      <c r="A49" s="14" t="s">
        <v>468</v>
      </c>
      <c r="B49" s="14" t="s">
        <v>553</v>
      </c>
      <c r="C49" s="14" t="s">
        <v>575</v>
      </c>
      <c r="D49" s="14" t="s">
        <v>573</v>
      </c>
      <c r="E49" s="14" t="s">
        <v>574</v>
      </c>
      <c r="F49" s="14">
        <v>1.0</v>
      </c>
      <c r="G49" s="14">
        <v>1.0</v>
      </c>
      <c r="H49" s="14">
        <v>0.95</v>
      </c>
      <c r="I49" s="14">
        <v>1.0</v>
      </c>
      <c r="J49" s="14">
        <v>1.0</v>
      </c>
      <c r="K49" s="14">
        <v>1.0</v>
      </c>
      <c r="L49" s="14">
        <v>1.0</v>
      </c>
      <c r="M49" s="14">
        <v>3.0</v>
      </c>
    </row>
    <row r="50">
      <c r="A50" s="14" t="s">
        <v>474</v>
      </c>
      <c r="B50" s="14" t="s">
        <v>556</v>
      </c>
      <c r="C50" s="14" t="s">
        <v>569</v>
      </c>
      <c r="D50" s="14" t="s">
        <v>580</v>
      </c>
      <c r="E50" s="14" t="s">
        <v>581</v>
      </c>
      <c r="F50" s="14">
        <v>1.0</v>
      </c>
      <c r="G50" s="14">
        <v>1.0</v>
      </c>
      <c r="H50" s="14">
        <v>1.0</v>
      </c>
      <c r="I50" s="14">
        <v>1.0</v>
      </c>
      <c r="J50" s="14">
        <v>1.0</v>
      </c>
      <c r="K50" s="14">
        <v>1.075</v>
      </c>
      <c r="L50" s="14">
        <v>1.0</v>
      </c>
      <c r="M50" s="14">
        <v>5.0</v>
      </c>
    </row>
    <row r="51">
      <c r="A51" s="14" t="s">
        <v>474</v>
      </c>
      <c r="B51" s="14" t="s">
        <v>556</v>
      </c>
      <c r="C51" s="14" t="s">
        <v>569</v>
      </c>
      <c r="D51" s="14" t="s">
        <v>303</v>
      </c>
      <c r="E51" s="14" t="s">
        <v>307</v>
      </c>
      <c r="F51" s="14">
        <v>1.0</v>
      </c>
      <c r="G51" s="14">
        <v>1.0</v>
      </c>
      <c r="H51" s="14">
        <v>1.0</v>
      </c>
      <c r="I51" s="14">
        <v>1.0</v>
      </c>
      <c r="J51" s="14">
        <v>1.1</v>
      </c>
      <c r="K51" s="14">
        <v>1.0</v>
      </c>
      <c r="L51" s="14">
        <v>1.0</v>
      </c>
      <c r="M51" s="14">
        <v>3.0</v>
      </c>
    </row>
    <row r="52">
      <c r="A52" s="14" t="s">
        <v>474</v>
      </c>
      <c r="B52" s="14" t="s">
        <v>556</v>
      </c>
      <c r="C52" s="14" t="s">
        <v>572</v>
      </c>
      <c r="D52" s="14" t="s">
        <v>573</v>
      </c>
      <c r="E52" s="14" t="s">
        <v>574</v>
      </c>
      <c r="F52" s="14">
        <v>1.0</v>
      </c>
      <c r="G52" s="14">
        <v>1.0</v>
      </c>
      <c r="H52" s="14">
        <v>0.95</v>
      </c>
      <c r="I52" s="14">
        <v>1.0</v>
      </c>
      <c r="J52" s="14">
        <v>1.0</v>
      </c>
      <c r="K52" s="14">
        <v>1.0</v>
      </c>
      <c r="L52" s="14">
        <v>1.0</v>
      </c>
      <c r="M52" s="14">
        <v>3.0</v>
      </c>
    </row>
    <row r="53">
      <c r="A53" s="14" t="s">
        <v>474</v>
      </c>
      <c r="B53" s="14" t="s">
        <v>556</v>
      </c>
      <c r="C53" s="14" t="s">
        <v>572</v>
      </c>
      <c r="D53" s="14" t="s">
        <v>576</v>
      </c>
      <c r="E53" s="14" t="s">
        <v>577</v>
      </c>
      <c r="F53" s="14">
        <v>1.0</v>
      </c>
      <c r="G53" s="14">
        <v>1.0</v>
      </c>
      <c r="H53" s="14">
        <v>1.0</v>
      </c>
      <c r="I53" s="14">
        <v>1.0</v>
      </c>
      <c r="J53" s="14">
        <v>1.1</v>
      </c>
      <c r="K53" s="14">
        <v>1.0</v>
      </c>
      <c r="L53" s="14">
        <v>1.0</v>
      </c>
      <c r="M53" s="14">
        <v>3.0</v>
      </c>
    </row>
    <row r="54">
      <c r="A54" s="14" t="s">
        <v>474</v>
      </c>
      <c r="B54" s="14" t="s">
        <v>556</v>
      </c>
      <c r="C54" s="14" t="s">
        <v>575</v>
      </c>
      <c r="D54" s="14" t="s">
        <v>317</v>
      </c>
      <c r="E54" s="14" t="s">
        <v>318</v>
      </c>
      <c r="F54" s="14">
        <v>1.0</v>
      </c>
      <c r="G54" s="14">
        <v>1.0</v>
      </c>
      <c r="H54" s="14">
        <v>1.0</v>
      </c>
      <c r="I54" s="14">
        <v>1.15</v>
      </c>
      <c r="J54" s="14">
        <v>1.0</v>
      </c>
      <c r="K54" s="14">
        <v>1.0</v>
      </c>
      <c r="L54" s="14">
        <v>1.0</v>
      </c>
      <c r="M54" s="14">
        <v>5.0</v>
      </c>
    </row>
    <row r="55">
      <c r="A55" s="14" t="s">
        <v>474</v>
      </c>
      <c r="B55" s="14" t="s">
        <v>556</v>
      </c>
      <c r="C55" s="14" t="s">
        <v>575</v>
      </c>
      <c r="D55" s="14" t="s">
        <v>578</v>
      </c>
      <c r="E55" s="14" t="s">
        <v>579</v>
      </c>
      <c r="F55" s="14">
        <v>1.0</v>
      </c>
      <c r="G55" s="14">
        <v>1.0</v>
      </c>
      <c r="H55" s="14">
        <v>1.0</v>
      </c>
      <c r="I55" s="14">
        <v>1.1</v>
      </c>
      <c r="J55" s="14">
        <v>1.0</v>
      </c>
      <c r="K55" s="14">
        <v>1.0</v>
      </c>
      <c r="L55" s="14">
        <v>1.0</v>
      </c>
      <c r="M55" s="14">
        <v>5.0</v>
      </c>
    </row>
    <row r="56">
      <c r="A56" s="14" t="s">
        <v>292</v>
      </c>
      <c r="B56" s="14" t="s">
        <v>298</v>
      </c>
      <c r="C56" s="14" t="s">
        <v>569</v>
      </c>
      <c r="D56" s="14" t="s">
        <v>317</v>
      </c>
      <c r="E56" s="14" t="s">
        <v>318</v>
      </c>
      <c r="F56" s="14">
        <v>1.0</v>
      </c>
      <c r="G56" s="14">
        <v>1.0</v>
      </c>
      <c r="H56" s="14">
        <v>1.0</v>
      </c>
      <c r="I56" s="14">
        <v>1.15</v>
      </c>
      <c r="J56" s="14">
        <v>1.0</v>
      </c>
      <c r="K56" s="14">
        <v>1.0</v>
      </c>
      <c r="L56" s="14">
        <v>1.0</v>
      </c>
      <c r="M56" s="14">
        <v>5.0</v>
      </c>
    </row>
    <row r="57">
      <c r="A57" s="14" t="s">
        <v>292</v>
      </c>
      <c r="B57" s="14" t="s">
        <v>298</v>
      </c>
      <c r="C57" s="14" t="s">
        <v>569</v>
      </c>
      <c r="D57" s="14" t="s">
        <v>580</v>
      </c>
      <c r="E57" s="14" t="s">
        <v>581</v>
      </c>
      <c r="F57" s="14">
        <v>1.0</v>
      </c>
      <c r="G57" s="14">
        <v>1.0</v>
      </c>
      <c r="H57" s="14">
        <v>1.0</v>
      </c>
      <c r="I57" s="14">
        <v>1.0</v>
      </c>
      <c r="J57" s="14">
        <v>1.0</v>
      </c>
      <c r="K57" s="14">
        <v>1.075</v>
      </c>
      <c r="L57" s="14">
        <v>1.0</v>
      </c>
      <c r="M57" s="14">
        <v>5.0</v>
      </c>
    </row>
    <row r="58">
      <c r="A58" s="14" t="s">
        <v>292</v>
      </c>
      <c r="B58" s="14" t="s">
        <v>298</v>
      </c>
      <c r="C58" s="14" t="s">
        <v>572</v>
      </c>
      <c r="D58" s="14" t="s">
        <v>293</v>
      </c>
      <c r="E58" s="14" t="s">
        <v>300</v>
      </c>
      <c r="F58" s="14">
        <v>1.0</v>
      </c>
      <c r="G58" s="14">
        <v>1.0</v>
      </c>
      <c r="H58" s="14">
        <v>1.0</v>
      </c>
      <c r="I58" s="14">
        <v>1.0</v>
      </c>
      <c r="J58" s="14">
        <v>1.0</v>
      </c>
      <c r="K58" s="14">
        <v>1.0</v>
      </c>
      <c r="L58" s="14">
        <v>0.95</v>
      </c>
      <c r="M58" s="14">
        <v>2.0</v>
      </c>
    </row>
    <row r="59">
      <c r="A59" s="14" t="s">
        <v>292</v>
      </c>
      <c r="B59" s="14" t="s">
        <v>298</v>
      </c>
      <c r="C59" s="14" t="s">
        <v>572</v>
      </c>
      <c r="D59" s="14" t="s">
        <v>303</v>
      </c>
      <c r="E59" s="14" t="s">
        <v>307</v>
      </c>
      <c r="F59" s="14">
        <v>1.0</v>
      </c>
      <c r="G59" s="14">
        <v>1.0</v>
      </c>
      <c r="H59" s="14">
        <v>1.0</v>
      </c>
      <c r="I59" s="14">
        <v>1.0</v>
      </c>
      <c r="J59" s="14">
        <v>1.1</v>
      </c>
      <c r="K59" s="14">
        <v>1.0</v>
      </c>
      <c r="L59" s="14">
        <v>1.0</v>
      </c>
      <c r="M59" s="14">
        <v>3.0</v>
      </c>
    </row>
    <row r="60">
      <c r="A60" s="14" t="s">
        <v>292</v>
      </c>
      <c r="B60" s="14" t="s">
        <v>298</v>
      </c>
      <c r="C60" s="14" t="s">
        <v>575</v>
      </c>
      <c r="D60" s="14" t="s">
        <v>570</v>
      </c>
      <c r="E60" s="14" t="s">
        <v>571</v>
      </c>
      <c r="F60" s="14">
        <v>1.15</v>
      </c>
      <c r="G60" s="14">
        <v>1.0</v>
      </c>
      <c r="H60" s="14">
        <v>1.0</v>
      </c>
      <c r="I60" s="14">
        <v>1.0</v>
      </c>
      <c r="J60" s="14">
        <v>1.0</v>
      </c>
      <c r="K60" s="14">
        <v>1.0</v>
      </c>
      <c r="L60" s="14">
        <v>1.0</v>
      </c>
      <c r="M60" s="14">
        <v>5.0</v>
      </c>
    </row>
    <row r="61">
      <c r="A61" s="14" t="s">
        <v>292</v>
      </c>
      <c r="B61" s="14" t="s">
        <v>298</v>
      </c>
      <c r="C61" s="14" t="s">
        <v>575</v>
      </c>
      <c r="D61" s="14" t="s">
        <v>576</v>
      </c>
      <c r="E61" s="14" t="s">
        <v>577</v>
      </c>
      <c r="F61" s="14">
        <v>1.0</v>
      </c>
      <c r="G61" s="14">
        <v>1.0</v>
      </c>
      <c r="H61" s="14">
        <v>1.0</v>
      </c>
      <c r="I61" s="14">
        <v>1.0</v>
      </c>
      <c r="J61" s="14">
        <v>1.1</v>
      </c>
      <c r="K61" s="14">
        <v>1.0</v>
      </c>
      <c r="L61" s="14">
        <v>1.0</v>
      </c>
      <c r="M61" s="14">
        <v>3.0</v>
      </c>
    </row>
    <row r="62">
      <c r="A62" s="14" t="s">
        <v>469</v>
      </c>
      <c r="B62" s="14" t="s">
        <v>561</v>
      </c>
      <c r="C62" s="14" t="s">
        <v>569</v>
      </c>
      <c r="D62" s="14" t="s">
        <v>570</v>
      </c>
      <c r="E62" s="14" t="s">
        <v>571</v>
      </c>
      <c r="F62" s="14">
        <v>1.15</v>
      </c>
      <c r="G62" s="14">
        <v>1.0</v>
      </c>
      <c r="H62" s="14">
        <v>1.0</v>
      </c>
      <c r="I62" s="14">
        <v>1.0</v>
      </c>
      <c r="J62" s="14">
        <v>1.0</v>
      </c>
      <c r="K62" s="14">
        <v>1.0</v>
      </c>
      <c r="L62" s="14">
        <v>1.0</v>
      </c>
      <c r="M62" s="14">
        <v>5.0</v>
      </c>
    </row>
    <row r="63">
      <c r="A63" s="14" t="s">
        <v>469</v>
      </c>
      <c r="B63" s="14" t="s">
        <v>561</v>
      </c>
      <c r="C63" s="14" t="s">
        <v>569</v>
      </c>
      <c r="D63" s="14" t="s">
        <v>310</v>
      </c>
      <c r="E63" s="14" t="s">
        <v>314</v>
      </c>
      <c r="F63" s="14">
        <v>1.0</v>
      </c>
      <c r="G63" s="14">
        <v>1.05</v>
      </c>
      <c r="H63" s="14">
        <v>1.0</v>
      </c>
      <c r="I63" s="14">
        <v>1.0</v>
      </c>
      <c r="J63" s="14">
        <v>1.0</v>
      </c>
      <c r="K63" s="14">
        <v>1.0</v>
      </c>
      <c r="L63" s="14">
        <v>1.0</v>
      </c>
      <c r="M63" s="14">
        <v>2.0</v>
      </c>
    </row>
    <row r="64">
      <c r="A64" s="14" t="s">
        <v>469</v>
      </c>
      <c r="B64" s="14" t="s">
        <v>561</v>
      </c>
      <c r="C64" s="14" t="s">
        <v>572</v>
      </c>
      <c r="D64" s="14" t="s">
        <v>293</v>
      </c>
      <c r="E64" s="14" t="s">
        <v>300</v>
      </c>
      <c r="F64" s="14">
        <v>1.0</v>
      </c>
      <c r="G64" s="14">
        <v>1.0</v>
      </c>
      <c r="H64" s="14">
        <v>1.0</v>
      </c>
      <c r="I64" s="14">
        <v>1.0</v>
      </c>
      <c r="J64" s="14">
        <v>1.0</v>
      </c>
      <c r="K64" s="14">
        <v>1.0</v>
      </c>
      <c r="L64" s="14">
        <v>0.95</v>
      </c>
      <c r="M64" s="14">
        <v>2.0</v>
      </c>
    </row>
    <row r="65">
      <c r="A65" s="14" t="s">
        <v>469</v>
      </c>
      <c r="B65" s="14" t="s">
        <v>561</v>
      </c>
      <c r="C65" s="14" t="s">
        <v>572</v>
      </c>
      <c r="D65" s="14" t="s">
        <v>573</v>
      </c>
      <c r="E65" s="14" t="s">
        <v>574</v>
      </c>
      <c r="F65" s="14">
        <v>1.0</v>
      </c>
      <c r="G65" s="14">
        <v>1.0</v>
      </c>
      <c r="H65" s="14">
        <v>0.95</v>
      </c>
      <c r="I65" s="14">
        <v>1.0</v>
      </c>
      <c r="J65" s="14">
        <v>1.0</v>
      </c>
      <c r="K65" s="14">
        <v>1.0</v>
      </c>
      <c r="L65" s="14">
        <v>1.0</v>
      </c>
      <c r="M65" s="14">
        <v>3.0</v>
      </c>
    </row>
    <row r="66">
      <c r="A66" s="14" t="s">
        <v>469</v>
      </c>
      <c r="B66" s="14" t="s">
        <v>561</v>
      </c>
      <c r="C66" s="14" t="s">
        <v>575</v>
      </c>
      <c r="D66" s="14" t="s">
        <v>303</v>
      </c>
      <c r="E66" s="14" t="s">
        <v>307</v>
      </c>
      <c r="F66" s="14">
        <v>1.0</v>
      </c>
      <c r="G66" s="14">
        <v>1.0</v>
      </c>
      <c r="H66" s="14">
        <v>1.0</v>
      </c>
      <c r="I66" s="14">
        <v>1.0</v>
      </c>
      <c r="J66" s="14">
        <v>1.1</v>
      </c>
      <c r="K66" s="14">
        <v>1.0</v>
      </c>
      <c r="L66" s="14">
        <v>1.0</v>
      </c>
      <c r="M66" s="14">
        <v>3.0</v>
      </c>
    </row>
    <row r="67">
      <c r="A67" s="14" t="s">
        <v>469</v>
      </c>
      <c r="B67" s="14" t="s">
        <v>561</v>
      </c>
      <c r="C67" s="14" t="s">
        <v>575</v>
      </c>
      <c r="D67" s="14" t="s">
        <v>317</v>
      </c>
      <c r="E67" s="14" t="s">
        <v>318</v>
      </c>
      <c r="F67" s="14">
        <v>1.0</v>
      </c>
      <c r="G67" s="14">
        <v>1.0</v>
      </c>
      <c r="H67" s="14">
        <v>1.0</v>
      </c>
      <c r="I67" s="14">
        <v>1.15</v>
      </c>
      <c r="J67" s="14">
        <v>1.0</v>
      </c>
      <c r="K67" s="14">
        <v>1.0</v>
      </c>
      <c r="L67" s="14">
        <v>1.0</v>
      </c>
      <c r="M67" s="14">
        <v>5.0</v>
      </c>
    </row>
    <row r="68">
      <c r="A68" s="14" t="s">
        <v>320</v>
      </c>
      <c r="B68" s="14" t="s">
        <v>322</v>
      </c>
      <c r="C68" s="14" t="s">
        <v>569</v>
      </c>
      <c r="D68" s="14" t="s">
        <v>570</v>
      </c>
      <c r="E68" s="14" t="s">
        <v>571</v>
      </c>
      <c r="F68" s="14">
        <v>1.15</v>
      </c>
      <c r="G68" s="14">
        <v>1.0</v>
      </c>
      <c r="H68" s="14">
        <v>1.0</v>
      </c>
      <c r="I68" s="14">
        <v>1.0</v>
      </c>
      <c r="J68" s="14">
        <v>1.0</v>
      </c>
      <c r="K68" s="14">
        <v>1.0</v>
      </c>
      <c r="L68" s="14">
        <v>1.0</v>
      </c>
      <c r="M68" s="14">
        <v>5.0</v>
      </c>
    </row>
    <row r="69">
      <c r="A69" s="14" t="s">
        <v>320</v>
      </c>
      <c r="B69" s="14" t="s">
        <v>322</v>
      </c>
      <c r="C69" s="14" t="s">
        <v>569</v>
      </c>
      <c r="D69" s="14" t="s">
        <v>303</v>
      </c>
      <c r="E69" s="14" t="s">
        <v>307</v>
      </c>
      <c r="F69" s="14">
        <v>1.0</v>
      </c>
      <c r="G69" s="14">
        <v>1.0</v>
      </c>
      <c r="H69" s="14">
        <v>1.0</v>
      </c>
      <c r="I69" s="14">
        <v>1.0</v>
      </c>
      <c r="J69" s="14">
        <v>1.1</v>
      </c>
      <c r="K69" s="14">
        <v>1.0</v>
      </c>
      <c r="L69" s="14">
        <v>1.0</v>
      </c>
      <c r="M69" s="14">
        <v>3.0</v>
      </c>
    </row>
    <row r="70">
      <c r="A70" s="14" t="s">
        <v>320</v>
      </c>
      <c r="B70" s="14" t="s">
        <v>322</v>
      </c>
      <c r="C70" s="14" t="s">
        <v>572</v>
      </c>
      <c r="D70" s="14" t="s">
        <v>573</v>
      </c>
      <c r="E70" s="14" t="s">
        <v>574</v>
      </c>
      <c r="F70" s="14">
        <v>1.0</v>
      </c>
      <c r="G70" s="14">
        <v>1.0</v>
      </c>
      <c r="H70" s="14">
        <v>0.95</v>
      </c>
      <c r="I70" s="14">
        <v>1.0</v>
      </c>
      <c r="J70" s="14">
        <v>1.0</v>
      </c>
      <c r="K70" s="14">
        <v>1.0</v>
      </c>
      <c r="L70" s="14">
        <v>1.0</v>
      </c>
      <c r="M70" s="14">
        <v>3.0</v>
      </c>
    </row>
    <row r="71">
      <c r="A71" s="14" t="s">
        <v>320</v>
      </c>
      <c r="B71" s="14" t="s">
        <v>322</v>
      </c>
      <c r="C71" s="14" t="s">
        <v>572</v>
      </c>
      <c r="D71" s="14" t="s">
        <v>293</v>
      </c>
      <c r="E71" s="14" t="s">
        <v>300</v>
      </c>
      <c r="F71" s="14">
        <v>1.0</v>
      </c>
      <c r="G71" s="14">
        <v>1.0</v>
      </c>
      <c r="H71" s="14">
        <v>1.0</v>
      </c>
      <c r="I71" s="14">
        <v>1.0</v>
      </c>
      <c r="J71" s="14">
        <v>1.0</v>
      </c>
      <c r="K71" s="14">
        <v>1.0</v>
      </c>
      <c r="L71" s="14">
        <v>0.95</v>
      </c>
      <c r="M71" s="14">
        <v>2.0</v>
      </c>
    </row>
    <row r="72">
      <c r="A72" s="14" t="s">
        <v>320</v>
      </c>
      <c r="B72" s="14" t="s">
        <v>322</v>
      </c>
      <c r="C72" s="14" t="s">
        <v>575</v>
      </c>
      <c r="D72" s="14" t="s">
        <v>317</v>
      </c>
      <c r="E72" s="14" t="s">
        <v>318</v>
      </c>
      <c r="F72" s="14">
        <v>1.0</v>
      </c>
      <c r="G72" s="14">
        <v>1.0</v>
      </c>
      <c r="H72" s="14">
        <v>1.0</v>
      </c>
      <c r="I72" s="14">
        <v>1.15</v>
      </c>
      <c r="J72" s="14">
        <v>1.0</v>
      </c>
      <c r="K72" s="14">
        <v>1.0</v>
      </c>
      <c r="L72" s="14">
        <v>1.0</v>
      </c>
      <c r="M72" s="14">
        <v>5.0</v>
      </c>
    </row>
    <row r="73">
      <c r="A73" s="14" t="s">
        <v>320</v>
      </c>
      <c r="B73" s="14" t="s">
        <v>322</v>
      </c>
      <c r="C73" s="14" t="s">
        <v>575</v>
      </c>
      <c r="D73" s="14" t="s">
        <v>576</v>
      </c>
      <c r="E73" s="14" t="s">
        <v>577</v>
      </c>
      <c r="F73" s="14">
        <v>1.0</v>
      </c>
      <c r="G73" s="14">
        <v>1.0</v>
      </c>
      <c r="H73" s="14">
        <v>1.0</v>
      </c>
      <c r="I73" s="14">
        <v>1.0</v>
      </c>
      <c r="J73" s="14">
        <v>1.1</v>
      </c>
      <c r="K73" s="14">
        <v>1.0</v>
      </c>
      <c r="L73" s="14">
        <v>1.0</v>
      </c>
      <c r="M73" s="14">
        <v>3.0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38"/>
    <col customWidth="1" min="2" max="2" width="10.5"/>
    <col customWidth="1" min="3" max="3" width="22.0"/>
    <col customWidth="1" min="6" max="6" width="4.38"/>
    <col customWidth="1" min="11" max="11" width="6.13"/>
    <col customWidth="1" min="12" max="12" width="3.75"/>
    <col customWidth="1" min="13" max="13" width="3.63"/>
    <col customWidth="1" min="14" max="14" width="85.88"/>
    <col customWidth="1" min="15" max="15" width="17.63"/>
    <col customWidth="1" min="16" max="16" width="61.63"/>
    <col customWidth="1" min="17" max="17" width="13.13"/>
    <col customWidth="1" min="18" max="18" width="21.5"/>
    <col customWidth="1" min="19" max="19" width="26.25"/>
  </cols>
  <sheetData>
    <row r="1">
      <c r="A1" s="36" t="s">
        <v>584</v>
      </c>
      <c r="B1" s="1" t="s">
        <v>585</v>
      </c>
      <c r="C1" s="1" t="s">
        <v>586</v>
      </c>
      <c r="D1" s="1" t="s">
        <v>587</v>
      </c>
      <c r="E1" s="1" t="s">
        <v>588</v>
      </c>
      <c r="F1" s="1" t="s">
        <v>589</v>
      </c>
      <c r="G1" s="1" t="s">
        <v>524</v>
      </c>
      <c r="H1" s="1" t="s">
        <v>525</v>
      </c>
      <c r="I1" s="1" t="s">
        <v>134</v>
      </c>
      <c r="J1" s="36" t="s">
        <v>135</v>
      </c>
      <c r="K1" s="36" t="s">
        <v>136</v>
      </c>
      <c r="L1" s="5" t="s">
        <v>137</v>
      </c>
      <c r="M1" s="14" t="s">
        <v>138</v>
      </c>
      <c r="N1" s="14" t="s">
        <v>590</v>
      </c>
      <c r="O1" s="14" t="s">
        <v>591</v>
      </c>
      <c r="P1" s="14" t="s">
        <v>592</v>
      </c>
      <c r="Q1" s="37" t="s">
        <v>593</v>
      </c>
      <c r="R1" s="14" t="s">
        <v>594</v>
      </c>
      <c r="S1" s="14" t="s">
        <v>595</v>
      </c>
    </row>
    <row r="2">
      <c r="A2" s="14" t="s">
        <v>366</v>
      </c>
      <c r="B2" s="14" t="s">
        <v>596</v>
      </c>
      <c r="C2" s="14" t="s">
        <v>597</v>
      </c>
      <c r="D2" s="14" t="s">
        <v>598</v>
      </c>
      <c r="E2" s="14" t="s">
        <v>596</v>
      </c>
      <c r="F2" s="14">
        <v>0.0</v>
      </c>
      <c r="G2" s="14">
        <v>0.0</v>
      </c>
      <c r="H2" s="14">
        <v>0.0</v>
      </c>
      <c r="I2" s="14">
        <v>0.0</v>
      </c>
      <c r="J2" s="14">
        <v>0.0</v>
      </c>
      <c r="K2" s="14">
        <v>0.0</v>
      </c>
      <c r="L2" s="14">
        <v>0.0</v>
      </c>
      <c r="M2" s="14">
        <v>0.0</v>
      </c>
      <c r="N2" s="14" t="s">
        <v>599</v>
      </c>
      <c r="O2" s="14" t="s">
        <v>600</v>
      </c>
      <c r="P2" s="14" t="s">
        <v>600</v>
      </c>
      <c r="Q2" s="14" t="s">
        <v>600</v>
      </c>
      <c r="R2" s="14" t="s">
        <v>601</v>
      </c>
      <c r="S2" s="14" t="s">
        <v>602</v>
      </c>
    </row>
    <row r="3">
      <c r="A3" s="14" t="s">
        <v>342</v>
      </c>
      <c r="B3" s="14" t="s">
        <v>603</v>
      </c>
      <c r="C3" s="14" t="s">
        <v>604</v>
      </c>
      <c r="D3" s="14" t="s">
        <v>605</v>
      </c>
      <c r="E3" s="14" t="s">
        <v>606</v>
      </c>
      <c r="F3" s="14">
        <v>2.0</v>
      </c>
      <c r="G3" s="14">
        <v>1000.0</v>
      </c>
      <c r="H3" s="14">
        <v>0.0</v>
      </c>
      <c r="I3" s="14">
        <v>0.0</v>
      </c>
      <c r="J3" s="14">
        <v>0.0</v>
      </c>
      <c r="K3" s="14">
        <v>0.0</v>
      </c>
      <c r="L3" s="14">
        <v>0.0</v>
      </c>
      <c r="M3" s="14">
        <v>0.0</v>
      </c>
      <c r="N3" s="14" t="s">
        <v>607</v>
      </c>
      <c r="O3" s="14" t="s">
        <v>608</v>
      </c>
      <c r="P3" s="14" t="s">
        <v>609</v>
      </c>
      <c r="Q3" s="14" t="s">
        <v>610</v>
      </c>
      <c r="R3" s="14" t="s">
        <v>611</v>
      </c>
      <c r="S3" s="14" t="s">
        <v>612</v>
      </c>
    </row>
    <row r="4">
      <c r="A4" s="14" t="s">
        <v>350</v>
      </c>
      <c r="B4" s="14" t="s">
        <v>613</v>
      </c>
      <c r="C4" s="14" t="s">
        <v>614</v>
      </c>
      <c r="D4" s="14" t="s">
        <v>605</v>
      </c>
      <c r="E4" s="14" t="s">
        <v>606</v>
      </c>
      <c r="F4" s="14">
        <v>1.0</v>
      </c>
      <c r="G4" s="14">
        <v>1000.0</v>
      </c>
      <c r="H4" s="14">
        <v>0.0</v>
      </c>
      <c r="I4" s="14">
        <v>0.0</v>
      </c>
      <c r="J4" s="14">
        <v>0.01</v>
      </c>
      <c r="K4" s="14">
        <v>0.0</v>
      </c>
      <c r="L4" s="14">
        <v>0.0</v>
      </c>
      <c r="M4" s="14">
        <v>0.0</v>
      </c>
      <c r="N4" s="14" t="s">
        <v>615</v>
      </c>
      <c r="O4" s="14" t="s">
        <v>616</v>
      </c>
      <c r="P4" s="14" t="s">
        <v>617</v>
      </c>
      <c r="Q4" s="14" t="s">
        <v>618</v>
      </c>
      <c r="R4" s="14" t="s">
        <v>619</v>
      </c>
      <c r="S4" s="14" t="s">
        <v>620</v>
      </c>
    </row>
    <row r="5">
      <c r="A5" s="14" t="s">
        <v>361</v>
      </c>
      <c r="B5" s="14" t="s">
        <v>621</v>
      </c>
      <c r="C5" s="14" t="s">
        <v>622</v>
      </c>
      <c r="D5" s="14" t="s">
        <v>605</v>
      </c>
      <c r="E5" s="14" t="s">
        <v>606</v>
      </c>
      <c r="F5" s="14">
        <v>3.0</v>
      </c>
      <c r="G5" s="14">
        <v>0.0</v>
      </c>
      <c r="H5" s="14">
        <v>1500.0</v>
      </c>
      <c r="I5" s="14">
        <v>0.0</v>
      </c>
      <c r="J5" s="14">
        <v>0.0</v>
      </c>
      <c r="K5" s="14">
        <v>0.0</v>
      </c>
      <c r="L5" s="14">
        <v>0.0</v>
      </c>
      <c r="M5" s="14">
        <v>10.0</v>
      </c>
      <c r="N5" s="14" t="s">
        <v>623</v>
      </c>
      <c r="O5" s="14" t="s">
        <v>624</v>
      </c>
      <c r="P5" s="14" t="s">
        <v>625</v>
      </c>
      <c r="Q5" s="14" t="s">
        <v>626</v>
      </c>
      <c r="R5" s="14" t="s">
        <v>627</v>
      </c>
      <c r="S5" s="14" t="s">
        <v>628</v>
      </c>
    </row>
    <row r="6">
      <c r="A6" s="14" t="s">
        <v>367</v>
      </c>
      <c r="B6" s="14" t="s">
        <v>629</v>
      </c>
      <c r="C6" s="14" t="s">
        <v>630</v>
      </c>
      <c r="D6" s="14" t="s">
        <v>605</v>
      </c>
      <c r="E6" s="14" t="s">
        <v>606</v>
      </c>
      <c r="F6" s="14">
        <v>2.0</v>
      </c>
      <c r="G6" s="14">
        <v>800.0</v>
      </c>
      <c r="H6" s="14">
        <v>0.0</v>
      </c>
      <c r="I6" s="14">
        <v>0.0</v>
      </c>
      <c r="J6" s="14">
        <v>0.005</v>
      </c>
      <c r="K6" s="14">
        <v>3.0E-4</v>
      </c>
      <c r="L6" s="14">
        <v>0.0</v>
      </c>
      <c r="M6" s="14">
        <v>0.0</v>
      </c>
      <c r="N6" s="14" t="s">
        <v>631</v>
      </c>
      <c r="O6" s="14" t="s">
        <v>632</v>
      </c>
      <c r="P6" s="14" t="s">
        <v>633</v>
      </c>
      <c r="Q6" s="14" t="s">
        <v>634</v>
      </c>
      <c r="R6" s="14" t="s">
        <v>635</v>
      </c>
      <c r="S6" s="14" t="s">
        <v>636</v>
      </c>
    </row>
    <row r="7">
      <c r="A7" s="14" t="s">
        <v>344</v>
      </c>
      <c r="B7" s="14" t="s">
        <v>637</v>
      </c>
      <c r="C7" s="14" t="s">
        <v>638</v>
      </c>
      <c r="D7" s="14" t="s">
        <v>639</v>
      </c>
      <c r="E7" s="14" t="s">
        <v>640</v>
      </c>
      <c r="F7" s="14">
        <v>2.0</v>
      </c>
      <c r="G7" s="14">
        <v>0.0</v>
      </c>
      <c r="H7" s="14">
        <v>0.0</v>
      </c>
      <c r="I7" s="14">
        <v>-0.05</v>
      </c>
      <c r="J7" s="14">
        <v>0.0</v>
      </c>
      <c r="K7" s="14">
        <v>5.0E-4</v>
      </c>
      <c r="L7" s="14">
        <v>0.0</v>
      </c>
      <c r="M7" s="14">
        <v>0.0</v>
      </c>
      <c r="N7" s="14" t="s">
        <v>641</v>
      </c>
      <c r="O7" s="14" t="s">
        <v>642</v>
      </c>
      <c r="P7" s="14" t="s">
        <v>643</v>
      </c>
      <c r="Q7" s="14" t="s">
        <v>644</v>
      </c>
      <c r="R7" s="14" t="s">
        <v>645</v>
      </c>
      <c r="S7" s="14" t="s">
        <v>646</v>
      </c>
    </row>
    <row r="8">
      <c r="A8" s="14" t="s">
        <v>346</v>
      </c>
      <c r="B8" s="14" t="s">
        <v>647</v>
      </c>
      <c r="C8" s="14" t="s">
        <v>648</v>
      </c>
      <c r="D8" s="14" t="s">
        <v>639</v>
      </c>
      <c r="E8" s="14" t="s">
        <v>640</v>
      </c>
      <c r="F8" s="14">
        <v>2.0</v>
      </c>
      <c r="G8" s="14">
        <v>0.0</v>
      </c>
      <c r="H8" s="14">
        <v>0.0</v>
      </c>
      <c r="I8" s="14">
        <v>-0.03</v>
      </c>
      <c r="J8" s="14">
        <v>0.03</v>
      </c>
      <c r="K8" s="14">
        <v>0.0</v>
      </c>
      <c r="L8" s="14">
        <v>0.0</v>
      </c>
      <c r="M8" s="14">
        <v>0.0</v>
      </c>
      <c r="N8" s="14" t="s">
        <v>649</v>
      </c>
      <c r="O8" s="14" t="s">
        <v>650</v>
      </c>
      <c r="P8" s="14" t="s">
        <v>651</v>
      </c>
      <c r="Q8" s="14" t="s">
        <v>652</v>
      </c>
      <c r="R8" s="14" t="s">
        <v>653</v>
      </c>
      <c r="S8" s="14" t="s">
        <v>654</v>
      </c>
    </row>
    <row r="9">
      <c r="A9" s="14" t="s">
        <v>362</v>
      </c>
      <c r="B9" s="14" t="s">
        <v>655</v>
      </c>
      <c r="C9" s="14" t="s">
        <v>656</v>
      </c>
      <c r="D9" s="14" t="s">
        <v>639</v>
      </c>
      <c r="E9" s="14" t="s">
        <v>640</v>
      </c>
      <c r="F9" s="14">
        <v>2.0</v>
      </c>
      <c r="G9" s="14">
        <v>0.0</v>
      </c>
      <c r="H9" s="14">
        <v>0.0</v>
      </c>
      <c r="I9" s="14">
        <v>-0.04</v>
      </c>
      <c r="J9" s="14">
        <v>0.0</v>
      </c>
      <c r="K9" s="14">
        <v>5.0E-4</v>
      </c>
      <c r="L9" s="14">
        <v>0.0</v>
      </c>
      <c r="M9" s="14">
        <v>0.0</v>
      </c>
      <c r="N9" s="14" t="s">
        <v>657</v>
      </c>
      <c r="O9" s="14" t="s">
        <v>658</v>
      </c>
      <c r="P9" s="14" t="s">
        <v>659</v>
      </c>
      <c r="Q9" s="14" t="s">
        <v>644</v>
      </c>
      <c r="R9" s="14" t="s">
        <v>645</v>
      </c>
      <c r="S9" s="14" t="s">
        <v>660</v>
      </c>
    </row>
    <row r="10">
      <c r="A10" s="14" t="s">
        <v>348</v>
      </c>
      <c r="B10" s="14" t="s">
        <v>661</v>
      </c>
      <c r="C10" s="14" t="s">
        <v>662</v>
      </c>
      <c r="D10" s="14" t="s">
        <v>639</v>
      </c>
      <c r="E10" s="14" t="s">
        <v>640</v>
      </c>
      <c r="F10" s="14">
        <v>1.0</v>
      </c>
      <c r="G10" s="14">
        <v>0.0</v>
      </c>
      <c r="H10" s="14">
        <v>0.0</v>
      </c>
      <c r="I10" s="14">
        <v>-0.02</v>
      </c>
      <c r="J10" s="14">
        <v>0.005</v>
      </c>
      <c r="K10" s="14">
        <v>0.0</v>
      </c>
      <c r="L10" s="14">
        <v>0.0</v>
      </c>
      <c r="M10" s="14">
        <v>0.0</v>
      </c>
      <c r="N10" s="14" t="s">
        <v>663</v>
      </c>
      <c r="O10" s="14" t="s">
        <v>664</v>
      </c>
      <c r="P10" s="14" t="s">
        <v>665</v>
      </c>
      <c r="Q10" s="14" t="s">
        <v>652</v>
      </c>
      <c r="R10" s="14" t="s">
        <v>653</v>
      </c>
      <c r="S10" s="14" t="s">
        <v>666</v>
      </c>
    </row>
    <row r="11">
      <c r="A11" s="14" t="s">
        <v>356</v>
      </c>
      <c r="B11" s="14" t="s">
        <v>667</v>
      </c>
      <c r="C11" s="14" t="s">
        <v>668</v>
      </c>
      <c r="D11" s="14" t="s">
        <v>669</v>
      </c>
      <c r="E11" s="14" t="s">
        <v>670</v>
      </c>
      <c r="F11" s="14">
        <v>2.0</v>
      </c>
      <c r="G11" s="14">
        <v>0.0</v>
      </c>
      <c r="H11" s="14">
        <v>0.0</v>
      </c>
      <c r="I11" s="14">
        <v>0.0</v>
      </c>
      <c r="J11" s="14">
        <v>0.01</v>
      </c>
      <c r="K11" s="14">
        <v>3.0E-4</v>
      </c>
      <c r="L11" s="14">
        <v>400.0</v>
      </c>
      <c r="M11" s="14">
        <v>0.0</v>
      </c>
      <c r="N11" s="14" t="s">
        <v>671</v>
      </c>
      <c r="O11" s="14" t="s">
        <v>672</v>
      </c>
      <c r="P11" s="14" t="s">
        <v>673</v>
      </c>
      <c r="Q11" s="14" t="s">
        <v>674</v>
      </c>
      <c r="R11" s="14" t="s">
        <v>675</v>
      </c>
      <c r="S11" s="14" t="s">
        <v>676</v>
      </c>
    </row>
    <row r="12">
      <c r="A12" s="14" t="s">
        <v>353</v>
      </c>
      <c r="B12" s="14" t="s">
        <v>677</v>
      </c>
      <c r="C12" s="14" t="s">
        <v>678</v>
      </c>
      <c r="D12" s="14" t="s">
        <v>669</v>
      </c>
      <c r="E12" s="14" t="s">
        <v>670</v>
      </c>
      <c r="F12" s="14">
        <v>1.0</v>
      </c>
      <c r="G12" s="14">
        <v>0.0</v>
      </c>
      <c r="H12" s="14">
        <v>0.0</v>
      </c>
      <c r="I12" s="14">
        <v>0.0</v>
      </c>
      <c r="J12" s="14">
        <v>0.01</v>
      </c>
      <c r="K12" s="14">
        <v>5.0E-4</v>
      </c>
      <c r="L12" s="14">
        <v>0.0</v>
      </c>
      <c r="M12" s="14">
        <v>0.0</v>
      </c>
      <c r="N12" s="14" t="s">
        <v>679</v>
      </c>
      <c r="O12" s="14" t="s">
        <v>680</v>
      </c>
      <c r="P12" s="14" t="s">
        <v>681</v>
      </c>
      <c r="Q12" s="14" t="s">
        <v>682</v>
      </c>
      <c r="R12" s="14" t="s">
        <v>683</v>
      </c>
      <c r="S12" s="14" t="s">
        <v>684</v>
      </c>
    </row>
    <row r="13">
      <c r="A13" s="14" t="s">
        <v>347</v>
      </c>
      <c r="B13" s="14" t="s">
        <v>685</v>
      </c>
      <c r="C13" s="14" t="s">
        <v>686</v>
      </c>
      <c r="D13" s="14" t="s">
        <v>669</v>
      </c>
      <c r="E13" s="14" t="s">
        <v>670</v>
      </c>
      <c r="F13" s="14">
        <v>2.0</v>
      </c>
      <c r="G13" s="14">
        <v>500.0</v>
      </c>
      <c r="H13" s="14">
        <v>0.0</v>
      </c>
      <c r="I13" s="14">
        <v>0.0</v>
      </c>
      <c r="J13" s="14">
        <v>0.03</v>
      </c>
      <c r="K13" s="14">
        <v>0.0</v>
      </c>
      <c r="L13" s="14">
        <v>0.0</v>
      </c>
      <c r="M13" s="14">
        <v>0.0</v>
      </c>
      <c r="N13" s="14" t="s">
        <v>687</v>
      </c>
      <c r="O13" s="14" t="s">
        <v>688</v>
      </c>
      <c r="P13" s="14" t="s">
        <v>689</v>
      </c>
      <c r="Q13" s="14" t="s">
        <v>618</v>
      </c>
      <c r="R13" s="14" t="s">
        <v>619</v>
      </c>
      <c r="S13" s="14" t="s">
        <v>690</v>
      </c>
    </row>
    <row r="14">
      <c r="A14" s="14" t="s">
        <v>355</v>
      </c>
      <c r="B14" s="14" t="s">
        <v>691</v>
      </c>
      <c r="C14" s="14" t="s">
        <v>692</v>
      </c>
      <c r="D14" s="14" t="s">
        <v>669</v>
      </c>
      <c r="E14" s="14" t="s">
        <v>670</v>
      </c>
      <c r="F14" s="14">
        <v>2.0</v>
      </c>
      <c r="G14" s="14">
        <v>0.0</v>
      </c>
      <c r="H14" s="14">
        <v>0.0</v>
      </c>
      <c r="I14" s="14">
        <v>0.0</v>
      </c>
      <c r="J14" s="14">
        <v>0.02</v>
      </c>
      <c r="K14" s="14">
        <v>3.0E-4</v>
      </c>
      <c r="L14" s="14">
        <v>0.0</v>
      </c>
      <c r="M14" s="14">
        <v>0.0</v>
      </c>
      <c r="N14" s="14" t="s">
        <v>693</v>
      </c>
      <c r="O14" s="14" t="s">
        <v>694</v>
      </c>
      <c r="P14" s="14" t="s">
        <v>695</v>
      </c>
      <c r="Q14" s="14" t="s">
        <v>682</v>
      </c>
      <c r="R14" s="14" t="s">
        <v>683</v>
      </c>
      <c r="S14" s="14" t="s">
        <v>696</v>
      </c>
    </row>
    <row r="15">
      <c r="A15" s="14" t="s">
        <v>343</v>
      </c>
      <c r="B15" s="14" t="s">
        <v>697</v>
      </c>
      <c r="C15" s="14" t="s">
        <v>698</v>
      </c>
      <c r="D15" s="14" t="s">
        <v>699</v>
      </c>
      <c r="E15" s="14" t="s">
        <v>700</v>
      </c>
      <c r="F15" s="14">
        <v>2.0</v>
      </c>
      <c r="G15" s="14">
        <v>0.0</v>
      </c>
      <c r="H15" s="14">
        <v>0.0</v>
      </c>
      <c r="I15" s="14">
        <v>-0.02</v>
      </c>
      <c r="J15" s="14">
        <v>0.0</v>
      </c>
      <c r="K15" s="14">
        <v>0.001</v>
      </c>
      <c r="L15" s="14">
        <v>0.0</v>
      </c>
      <c r="M15" s="14">
        <v>0.0</v>
      </c>
      <c r="N15" s="14" t="s">
        <v>701</v>
      </c>
      <c r="O15" s="14" t="s">
        <v>702</v>
      </c>
      <c r="P15" s="14" t="s">
        <v>703</v>
      </c>
      <c r="Q15" s="14" t="s">
        <v>644</v>
      </c>
      <c r="R15" s="14" t="s">
        <v>645</v>
      </c>
      <c r="S15" s="14" t="s">
        <v>704</v>
      </c>
    </row>
    <row r="16">
      <c r="A16" s="14" t="s">
        <v>349</v>
      </c>
      <c r="B16" s="14" t="s">
        <v>705</v>
      </c>
      <c r="C16" s="14" t="s">
        <v>706</v>
      </c>
      <c r="D16" s="14" t="s">
        <v>699</v>
      </c>
      <c r="E16" s="14" t="s">
        <v>700</v>
      </c>
      <c r="F16" s="14">
        <v>2.0</v>
      </c>
      <c r="G16" s="14">
        <v>0.0</v>
      </c>
      <c r="H16" s="14">
        <v>0.0</v>
      </c>
      <c r="I16" s="14">
        <v>-0.01</v>
      </c>
      <c r="J16" s="14">
        <v>0.0</v>
      </c>
      <c r="K16" s="14">
        <v>7.0E-4</v>
      </c>
      <c r="L16" s="14">
        <v>0.0</v>
      </c>
      <c r="M16" s="14">
        <v>0.0</v>
      </c>
      <c r="N16" s="14" t="s">
        <v>707</v>
      </c>
      <c r="O16" s="14" t="s">
        <v>708</v>
      </c>
      <c r="P16" s="14" t="s">
        <v>709</v>
      </c>
      <c r="Q16" s="14" t="s">
        <v>644</v>
      </c>
      <c r="R16" s="14" t="s">
        <v>645</v>
      </c>
      <c r="S16" s="14" t="s">
        <v>710</v>
      </c>
    </row>
    <row r="17">
      <c r="A17" s="14" t="s">
        <v>363</v>
      </c>
      <c r="B17" s="14" t="s">
        <v>711</v>
      </c>
      <c r="C17" s="14" t="s">
        <v>712</v>
      </c>
      <c r="D17" s="14" t="s">
        <v>699</v>
      </c>
      <c r="E17" s="14" t="s">
        <v>700</v>
      </c>
      <c r="F17" s="14">
        <v>1.0</v>
      </c>
      <c r="G17" s="14">
        <v>0.0</v>
      </c>
      <c r="H17" s="14">
        <v>0.0</v>
      </c>
      <c r="I17" s="14">
        <v>0.0</v>
      </c>
      <c r="J17" s="14">
        <v>0.005</v>
      </c>
      <c r="K17" s="14">
        <v>5.0E-4</v>
      </c>
      <c r="L17" s="14">
        <v>0.0</v>
      </c>
      <c r="M17" s="14">
        <v>0.0</v>
      </c>
      <c r="N17" s="14" t="s">
        <v>713</v>
      </c>
      <c r="O17" s="14" t="s">
        <v>714</v>
      </c>
      <c r="P17" s="14" t="s">
        <v>715</v>
      </c>
      <c r="Q17" s="14" t="s">
        <v>682</v>
      </c>
      <c r="R17" s="14" t="s">
        <v>683</v>
      </c>
      <c r="S17" s="14" t="s">
        <v>684</v>
      </c>
    </row>
    <row r="18">
      <c r="A18" s="14" t="s">
        <v>357</v>
      </c>
      <c r="B18" s="14" t="s">
        <v>716</v>
      </c>
      <c r="C18" s="14" t="s">
        <v>717</v>
      </c>
      <c r="D18" s="14" t="s">
        <v>699</v>
      </c>
      <c r="E18" s="14" t="s">
        <v>700</v>
      </c>
      <c r="F18" s="14">
        <v>2.0</v>
      </c>
      <c r="G18" s="14">
        <v>0.0</v>
      </c>
      <c r="H18" s="14">
        <v>0.0</v>
      </c>
      <c r="I18" s="14">
        <v>0.0</v>
      </c>
      <c r="J18" s="14">
        <v>0.0</v>
      </c>
      <c r="K18" s="14">
        <v>0.001</v>
      </c>
      <c r="L18" s="14">
        <v>100.0</v>
      </c>
      <c r="M18" s="14">
        <v>0.0</v>
      </c>
      <c r="N18" s="14" t="s">
        <v>718</v>
      </c>
      <c r="O18" s="14" t="s">
        <v>719</v>
      </c>
      <c r="P18" s="14" t="s">
        <v>720</v>
      </c>
      <c r="Q18" s="14" t="s">
        <v>721</v>
      </c>
      <c r="R18" s="14" t="s">
        <v>722</v>
      </c>
      <c r="S18" s="14" t="s">
        <v>723</v>
      </c>
    </row>
    <row r="19">
      <c r="A19" s="14" t="s">
        <v>358</v>
      </c>
      <c r="B19" s="14" t="s">
        <v>724</v>
      </c>
      <c r="C19" s="14" t="s">
        <v>725</v>
      </c>
      <c r="D19" s="14" t="s">
        <v>726</v>
      </c>
      <c r="E19" s="14" t="s">
        <v>727</v>
      </c>
      <c r="F19" s="14">
        <v>1.0</v>
      </c>
      <c r="G19" s="14">
        <v>300.0</v>
      </c>
      <c r="H19" s="14">
        <v>0.0</v>
      </c>
      <c r="I19" s="14">
        <v>0.0</v>
      </c>
      <c r="J19" s="14">
        <v>0.0</v>
      </c>
      <c r="K19" s="14">
        <v>0.001</v>
      </c>
      <c r="L19" s="14">
        <v>50.0</v>
      </c>
      <c r="M19" s="14">
        <v>0.0</v>
      </c>
      <c r="N19" s="14" t="s">
        <v>728</v>
      </c>
      <c r="O19" s="14" t="s">
        <v>729</v>
      </c>
      <c r="P19" s="14" t="s">
        <v>730</v>
      </c>
      <c r="Q19" s="14" t="s">
        <v>731</v>
      </c>
      <c r="R19" s="14" t="s">
        <v>732</v>
      </c>
      <c r="S19" s="14" t="s">
        <v>733</v>
      </c>
    </row>
    <row r="20">
      <c r="A20" s="14" t="s">
        <v>365</v>
      </c>
      <c r="B20" s="14" t="s">
        <v>734</v>
      </c>
      <c r="C20" s="14" t="s">
        <v>735</v>
      </c>
      <c r="D20" s="14" t="s">
        <v>726</v>
      </c>
      <c r="E20" s="14" t="s">
        <v>727</v>
      </c>
      <c r="F20" s="14">
        <v>2.0</v>
      </c>
      <c r="G20" s="14">
        <v>500.0</v>
      </c>
      <c r="H20" s="14">
        <v>0.0</v>
      </c>
      <c r="I20" s="14">
        <v>0.0</v>
      </c>
      <c r="J20" s="14">
        <v>0.02</v>
      </c>
      <c r="K20" s="14">
        <v>5.0E-4</v>
      </c>
      <c r="L20" s="14">
        <v>0.0</v>
      </c>
      <c r="M20" s="14">
        <v>0.0</v>
      </c>
      <c r="N20" s="14" t="s">
        <v>736</v>
      </c>
      <c r="O20" s="14" t="s">
        <v>737</v>
      </c>
      <c r="P20" s="14" t="s">
        <v>738</v>
      </c>
      <c r="Q20" s="14" t="s">
        <v>634</v>
      </c>
      <c r="R20" s="14" t="s">
        <v>635</v>
      </c>
      <c r="S20" s="14" t="s">
        <v>739</v>
      </c>
    </row>
    <row r="21">
      <c r="A21" s="14" t="s">
        <v>360</v>
      </c>
      <c r="B21" s="14" t="s">
        <v>740</v>
      </c>
      <c r="C21" s="14" t="s">
        <v>741</v>
      </c>
      <c r="D21" s="14" t="s">
        <v>726</v>
      </c>
      <c r="E21" s="14" t="s">
        <v>727</v>
      </c>
      <c r="F21" s="14">
        <v>2.0</v>
      </c>
      <c r="G21" s="14">
        <v>0.0</v>
      </c>
      <c r="H21" s="14">
        <v>600.0</v>
      </c>
      <c r="I21" s="14">
        <v>0.0</v>
      </c>
      <c r="J21" s="14">
        <v>0.0</v>
      </c>
      <c r="K21" s="14">
        <v>7.0E-4</v>
      </c>
      <c r="L21" s="14">
        <v>0.0</v>
      </c>
      <c r="M21" s="14">
        <v>0.0</v>
      </c>
      <c r="N21" s="14" t="s">
        <v>742</v>
      </c>
      <c r="O21" s="14" t="s">
        <v>743</v>
      </c>
      <c r="P21" s="14" t="s">
        <v>744</v>
      </c>
      <c r="Q21" s="14" t="s">
        <v>745</v>
      </c>
      <c r="R21" s="14" t="s">
        <v>746</v>
      </c>
      <c r="S21" s="14" t="s">
        <v>747</v>
      </c>
    </row>
    <row r="22">
      <c r="A22" s="14" t="s">
        <v>364</v>
      </c>
      <c r="B22" s="14" t="s">
        <v>748</v>
      </c>
      <c r="C22" s="14" t="s">
        <v>749</v>
      </c>
      <c r="D22" s="14" t="s">
        <v>726</v>
      </c>
      <c r="E22" s="14" t="s">
        <v>727</v>
      </c>
      <c r="F22" s="14">
        <v>2.0</v>
      </c>
      <c r="G22" s="14">
        <v>0.0</v>
      </c>
      <c r="H22" s="14">
        <v>0.0</v>
      </c>
      <c r="I22" s="14">
        <v>0.0</v>
      </c>
      <c r="J22" s="14">
        <v>0.01</v>
      </c>
      <c r="K22" s="14">
        <v>5.0E-4</v>
      </c>
      <c r="L22" s="14">
        <v>100.0</v>
      </c>
      <c r="M22" s="14">
        <v>0.0</v>
      </c>
      <c r="N22" s="14" t="s">
        <v>750</v>
      </c>
      <c r="O22" s="14" t="s">
        <v>751</v>
      </c>
      <c r="P22" s="14" t="s">
        <v>752</v>
      </c>
      <c r="Q22" s="14" t="s">
        <v>674</v>
      </c>
      <c r="R22" s="14" t="s">
        <v>675</v>
      </c>
      <c r="S22" s="14" t="s">
        <v>753</v>
      </c>
    </row>
    <row r="23">
      <c r="A23" s="14" t="s">
        <v>351</v>
      </c>
      <c r="B23" s="14" t="s">
        <v>754</v>
      </c>
      <c r="C23" s="14" t="s">
        <v>755</v>
      </c>
      <c r="D23" s="14" t="s">
        <v>756</v>
      </c>
      <c r="E23" s="14" t="s">
        <v>757</v>
      </c>
      <c r="F23" s="14">
        <v>1.0</v>
      </c>
      <c r="G23" s="14">
        <v>0.0</v>
      </c>
      <c r="H23" s="14">
        <v>300.0</v>
      </c>
      <c r="I23" s="14">
        <v>0.0</v>
      </c>
      <c r="J23" s="14">
        <v>0.0</v>
      </c>
      <c r="K23" s="14">
        <v>5.0E-4</v>
      </c>
      <c r="L23" s="14">
        <v>0.0</v>
      </c>
      <c r="M23" s="14">
        <v>-5.0</v>
      </c>
      <c r="N23" s="14" t="s">
        <v>758</v>
      </c>
      <c r="O23" s="14" t="s">
        <v>759</v>
      </c>
      <c r="P23" s="14" t="s">
        <v>760</v>
      </c>
      <c r="Q23" s="14" t="s">
        <v>761</v>
      </c>
      <c r="R23" s="14" t="s">
        <v>762</v>
      </c>
      <c r="S23" s="14" t="s">
        <v>763</v>
      </c>
    </row>
    <row r="24">
      <c r="A24" s="14" t="s">
        <v>354</v>
      </c>
      <c r="B24" s="14" t="s">
        <v>764</v>
      </c>
      <c r="C24" s="14" t="s">
        <v>765</v>
      </c>
      <c r="D24" s="14" t="s">
        <v>756</v>
      </c>
      <c r="E24" s="14" t="s">
        <v>757</v>
      </c>
      <c r="F24" s="14">
        <v>2.0</v>
      </c>
      <c r="G24" s="14">
        <v>0.0</v>
      </c>
      <c r="H24" s="14">
        <v>200.0</v>
      </c>
      <c r="I24" s="14">
        <v>0.0</v>
      </c>
      <c r="J24" s="14">
        <v>0.0</v>
      </c>
      <c r="K24" s="14">
        <v>5.0E-4</v>
      </c>
      <c r="L24" s="14">
        <v>0.0</v>
      </c>
      <c r="M24" s="14">
        <v>-3.0</v>
      </c>
      <c r="N24" s="14" t="s">
        <v>766</v>
      </c>
      <c r="O24" s="14" t="s">
        <v>767</v>
      </c>
      <c r="P24" s="14" t="s">
        <v>768</v>
      </c>
      <c r="Q24" s="14" t="s">
        <v>761</v>
      </c>
      <c r="R24" s="14" t="s">
        <v>762</v>
      </c>
      <c r="S24" s="14" t="s">
        <v>769</v>
      </c>
    </row>
    <row r="25">
      <c r="A25" s="14" t="s">
        <v>345</v>
      </c>
      <c r="B25" s="14" t="s">
        <v>770</v>
      </c>
      <c r="C25" s="14" t="s">
        <v>771</v>
      </c>
      <c r="D25" s="14" t="s">
        <v>756</v>
      </c>
      <c r="E25" s="14" t="s">
        <v>757</v>
      </c>
      <c r="F25" s="14">
        <v>1.0</v>
      </c>
      <c r="G25" s="14">
        <v>0.0</v>
      </c>
      <c r="H25" s="14">
        <v>0.0</v>
      </c>
      <c r="I25" s="14">
        <v>0.0</v>
      </c>
      <c r="J25" s="14">
        <v>0.005</v>
      </c>
      <c r="K25" s="14">
        <v>5.0E-4</v>
      </c>
      <c r="L25" s="14">
        <v>0.0</v>
      </c>
      <c r="M25" s="14">
        <v>-2.0</v>
      </c>
      <c r="N25" s="14" t="s">
        <v>772</v>
      </c>
      <c r="O25" s="14" t="s">
        <v>773</v>
      </c>
      <c r="P25" s="14" t="s">
        <v>774</v>
      </c>
      <c r="Q25" s="14" t="s">
        <v>775</v>
      </c>
      <c r="R25" s="14" t="s">
        <v>776</v>
      </c>
      <c r="S25" s="14" t="s">
        <v>777</v>
      </c>
    </row>
    <row r="26">
      <c r="A26" s="14" t="s">
        <v>359</v>
      </c>
      <c r="B26" s="14" t="s">
        <v>778</v>
      </c>
      <c r="C26" s="14" t="s">
        <v>779</v>
      </c>
      <c r="D26" s="14" t="s">
        <v>756</v>
      </c>
      <c r="E26" s="14" t="s">
        <v>757</v>
      </c>
      <c r="F26" s="14">
        <v>2.0</v>
      </c>
      <c r="G26" s="14">
        <v>0.0</v>
      </c>
      <c r="H26" s="14">
        <v>0.0</v>
      </c>
      <c r="I26" s="14">
        <v>0.0</v>
      </c>
      <c r="J26" s="14">
        <v>0.0</v>
      </c>
      <c r="K26" s="14">
        <v>3.0E-4</v>
      </c>
      <c r="L26" s="14">
        <v>0.0</v>
      </c>
      <c r="M26" s="14">
        <v>-10.0</v>
      </c>
      <c r="N26" s="14" t="s">
        <v>780</v>
      </c>
      <c r="O26" s="14" t="s">
        <v>781</v>
      </c>
      <c r="P26" s="14" t="s">
        <v>782</v>
      </c>
      <c r="Q26" s="14" t="s">
        <v>783</v>
      </c>
      <c r="R26" s="14" t="s">
        <v>784</v>
      </c>
      <c r="S26" s="14" t="s">
        <v>785</v>
      </c>
    </row>
    <row r="27">
      <c r="A27" s="14" t="s">
        <v>786</v>
      </c>
      <c r="B27" s="14" t="s">
        <v>787</v>
      </c>
      <c r="C27" s="14" t="s">
        <v>788</v>
      </c>
      <c r="D27" s="14" t="s">
        <v>605</v>
      </c>
      <c r="E27" s="14" t="s">
        <v>789</v>
      </c>
      <c r="F27" s="14">
        <v>1.0</v>
      </c>
      <c r="G27" s="14">
        <v>400.0</v>
      </c>
      <c r="H27" s="14">
        <v>0.0</v>
      </c>
      <c r="I27" s="14">
        <v>0.0</v>
      </c>
      <c r="J27" s="14">
        <v>0.02</v>
      </c>
      <c r="K27" s="14">
        <v>5.0E-4</v>
      </c>
      <c r="L27" s="14">
        <v>0.0</v>
      </c>
      <c r="M27" s="14">
        <v>0.0</v>
      </c>
      <c r="N27" s="14" t="s">
        <v>790</v>
      </c>
      <c r="O27" s="14" t="s">
        <v>791</v>
      </c>
      <c r="P27" s="14" t="s">
        <v>792</v>
      </c>
      <c r="Q27" s="14" t="s">
        <v>634</v>
      </c>
      <c r="R27" s="14" t="s">
        <v>635</v>
      </c>
      <c r="S27" s="14" t="s">
        <v>793</v>
      </c>
    </row>
    <row r="28">
      <c r="A28" s="14" t="s">
        <v>794</v>
      </c>
      <c r="B28" s="14" t="s">
        <v>795</v>
      </c>
      <c r="C28" s="14" t="s">
        <v>796</v>
      </c>
      <c r="D28" s="14" t="s">
        <v>726</v>
      </c>
      <c r="E28" s="14" t="s">
        <v>789</v>
      </c>
      <c r="F28" s="14">
        <v>1.0</v>
      </c>
      <c r="G28" s="14">
        <v>0.0</v>
      </c>
      <c r="H28" s="14">
        <v>0.0</v>
      </c>
      <c r="I28" s="14">
        <v>0.0</v>
      </c>
      <c r="J28" s="14">
        <v>0.01</v>
      </c>
      <c r="K28" s="14">
        <v>5.0E-4</v>
      </c>
      <c r="L28" s="14">
        <v>100.0</v>
      </c>
      <c r="M28" s="14">
        <v>0.0</v>
      </c>
      <c r="N28" s="14" t="s">
        <v>797</v>
      </c>
      <c r="O28" s="14" t="s">
        <v>798</v>
      </c>
      <c r="P28" s="14" t="s">
        <v>799</v>
      </c>
      <c r="Q28" s="14" t="s">
        <v>674</v>
      </c>
      <c r="R28" s="14" t="s">
        <v>675</v>
      </c>
      <c r="S28" s="14" t="s">
        <v>753</v>
      </c>
    </row>
    <row r="29">
      <c r="A29" s="14" t="s">
        <v>800</v>
      </c>
      <c r="B29" s="14" t="s">
        <v>801</v>
      </c>
      <c r="C29" s="14" t="s">
        <v>802</v>
      </c>
      <c r="D29" s="14" t="s">
        <v>639</v>
      </c>
      <c r="E29" s="14" t="s">
        <v>789</v>
      </c>
      <c r="F29" s="14">
        <v>1.0</v>
      </c>
      <c r="G29" s="14">
        <v>0.0</v>
      </c>
      <c r="H29" s="14">
        <v>0.0</v>
      </c>
      <c r="I29" s="14">
        <v>-0.02</v>
      </c>
      <c r="J29" s="14">
        <v>0.01</v>
      </c>
      <c r="K29" s="14">
        <v>5.0E-4</v>
      </c>
      <c r="L29" s="14">
        <v>0.0</v>
      </c>
      <c r="M29" s="14">
        <v>0.0</v>
      </c>
      <c r="N29" s="14" t="s">
        <v>803</v>
      </c>
      <c r="O29" s="14" t="s">
        <v>804</v>
      </c>
      <c r="P29" s="14" t="s">
        <v>805</v>
      </c>
      <c r="Q29" s="14" t="s">
        <v>806</v>
      </c>
      <c r="R29" s="14" t="s">
        <v>807</v>
      </c>
      <c r="S29" s="14" t="s">
        <v>808</v>
      </c>
    </row>
    <row r="30">
      <c r="A30" s="14" t="s">
        <v>809</v>
      </c>
      <c r="B30" s="14" t="s">
        <v>810</v>
      </c>
      <c r="C30" s="14" t="s">
        <v>811</v>
      </c>
      <c r="D30" s="14" t="s">
        <v>812</v>
      </c>
      <c r="E30" s="14" t="s">
        <v>813</v>
      </c>
      <c r="F30" s="14">
        <v>1.0</v>
      </c>
      <c r="G30" s="14">
        <v>0.0</v>
      </c>
      <c r="H30" s="14">
        <v>0.0</v>
      </c>
      <c r="I30" s="14">
        <v>-0.01</v>
      </c>
      <c r="J30" s="14">
        <v>0.0</v>
      </c>
      <c r="K30" s="14">
        <v>5.0E-4</v>
      </c>
      <c r="L30" s="14">
        <v>100.0</v>
      </c>
      <c r="M30" s="14">
        <v>0.0</v>
      </c>
      <c r="N30" s="14" t="s">
        <v>814</v>
      </c>
      <c r="O30" s="14" t="s">
        <v>815</v>
      </c>
      <c r="P30" s="14" t="s">
        <v>816</v>
      </c>
      <c r="Q30" s="14" t="s">
        <v>817</v>
      </c>
      <c r="R30" s="14" t="s">
        <v>818</v>
      </c>
      <c r="S30" s="14" t="s">
        <v>819</v>
      </c>
    </row>
    <row r="31">
      <c r="A31" s="14" t="s">
        <v>820</v>
      </c>
      <c r="B31" s="14" t="s">
        <v>821</v>
      </c>
      <c r="C31" s="14" t="s">
        <v>822</v>
      </c>
      <c r="D31" s="14" t="s">
        <v>812</v>
      </c>
      <c r="E31" s="14" t="s">
        <v>813</v>
      </c>
      <c r="F31" s="14">
        <v>1.0</v>
      </c>
      <c r="G31" s="14">
        <v>0.0</v>
      </c>
      <c r="H31" s="14">
        <v>0.0</v>
      </c>
      <c r="I31" s="14">
        <v>0.0</v>
      </c>
      <c r="J31" s="14">
        <v>0.02</v>
      </c>
      <c r="K31" s="14">
        <v>5.0E-4</v>
      </c>
      <c r="L31" s="14">
        <v>0.0</v>
      </c>
      <c r="M31" s="14">
        <v>0.0</v>
      </c>
      <c r="N31" s="14" t="s">
        <v>823</v>
      </c>
      <c r="O31" s="14" t="s">
        <v>824</v>
      </c>
      <c r="P31" s="14" t="s">
        <v>825</v>
      </c>
      <c r="Q31" s="14" t="s">
        <v>682</v>
      </c>
      <c r="R31" s="14" t="s">
        <v>683</v>
      </c>
      <c r="S31" s="14" t="s">
        <v>826</v>
      </c>
    </row>
    <row r="32">
      <c r="A32" s="14" t="s">
        <v>827</v>
      </c>
      <c r="B32" s="14" t="s">
        <v>828</v>
      </c>
      <c r="C32" s="14" t="s">
        <v>829</v>
      </c>
      <c r="D32" s="14" t="s">
        <v>812</v>
      </c>
      <c r="E32" s="14" t="s">
        <v>813</v>
      </c>
      <c r="F32" s="14">
        <v>2.0</v>
      </c>
      <c r="G32" s="14">
        <v>0.0</v>
      </c>
      <c r="H32" s="14">
        <v>0.0</v>
      </c>
      <c r="I32" s="14">
        <v>-0.02</v>
      </c>
      <c r="J32" s="14">
        <v>0.01</v>
      </c>
      <c r="K32" s="14">
        <v>5.0E-4</v>
      </c>
      <c r="L32" s="14">
        <v>0.0</v>
      </c>
      <c r="M32" s="14">
        <v>0.0</v>
      </c>
      <c r="N32" s="14" t="s">
        <v>830</v>
      </c>
      <c r="O32" s="14" t="s">
        <v>831</v>
      </c>
      <c r="P32" s="14" t="s">
        <v>832</v>
      </c>
      <c r="Q32" s="14" t="s">
        <v>806</v>
      </c>
      <c r="R32" s="14" t="s">
        <v>807</v>
      </c>
      <c r="S32" s="14" t="s">
        <v>808</v>
      </c>
    </row>
    <row r="33">
      <c r="A33" s="14" t="s">
        <v>833</v>
      </c>
      <c r="B33" s="14" t="s">
        <v>834</v>
      </c>
      <c r="C33" s="14" t="s">
        <v>835</v>
      </c>
      <c r="D33" s="14" t="s">
        <v>812</v>
      </c>
      <c r="E33" s="14" t="s">
        <v>813</v>
      </c>
      <c r="F33" s="14">
        <v>1.0</v>
      </c>
      <c r="G33" s="14">
        <v>0.0</v>
      </c>
      <c r="H33" s="14">
        <v>0.0</v>
      </c>
      <c r="I33" s="14">
        <v>-0.01</v>
      </c>
      <c r="J33" s="14">
        <v>0.005</v>
      </c>
      <c r="K33" s="14">
        <v>3.0E-4</v>
      </c>
      <c r="L33" s="14">
        <v>0.0</v>
      </c>
      <c r="M33" s="14">
        <v>0.0</v>
      </c>
      <c r="N33" s="14" t="s">
        <v>836</v>
      </c>
      <c r="O33" s="14" t="s">
        <v>837</v>
      </c>
      <c r="P33" s="14" t="s">
        <v>838</v>
      </c>
      <c r="Q33" s="14" t="s">
        <v>806</v>
      </c>
      <c r="R33" s="14" t="s">
        <v>807</v>
      </c>
      <c r="S33" s="14" t="s">
        <v>839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8.0"/>
    <col customWidth="1" min="2" max="3" width="7.25"/>
    <col customWidth="1" min="10" max="10" width="3.63"/>
    <col customWidth="1" min="11" max="11" width="42.0"/>
  </cols>
  <sheetData>
    <row r="1">
      <c r="A1" s="14" t="s">
        <v>0</v>
      </c>
      <c r="B1" s="14" t="s">
        <v>840</v>
      </c>
      <c r="C1" s="14" t="s">
        <v>841</v>
      </c>
      <c r="D1" s="14" t="s">
        <v>524</v>
      </c>
      <c r="E1" s="14" t="s">
        <v>525</v>
      </c>
      <c r="F1" s="14" t="s">
        <v>134</v>
      </c>
      <c r="G1" s="14" t="s">
        <v>135</v>
      </c>
      <c r="H1" s="14" t="s">
        <v>136</v>
      </c>
      <c r="I1" s="14" t="s">
        <v>137</v>
      </c>
      <c r="J1" s="14" t="s">
        <v>138</v>
      </c>
      <c r="K1" s="14" t="s">
        <v>590</v>
      </c>
    </row>
    <row r="2">
      <c r="A2" s="14" t="s">
        <v>842</v>
      </c>
      <c r="B2" s="14" t="s">
        <v>342</v>
      </c>
      <c r="C2" s="14" t="s">
        <v>343</v>
      </c>
      <c r="D2" s="14">
        <v>500.0</v>
      </c>
      <c r="E2" s="14">
        <v>0.0</v>
      </c>
      <c r="F2" s="14">
        <v>0.0</v>
      </c>
      <c r="G2" s="14">
        <v>0.0</v>
      </c>
      <c r="H2" s="14">
        <v>0.001</v>
      </c>
      <c r="I2" s="14">
        <v>0.0</v>
      </c>
      <c r="J2" s="14">
        <v>0.0</v>
      </c>
      <c r="K2" s="14" t="s">
        <v>843</v>
      </c>
    </row>
    <row r="3">
      <c r="A3" s="14" t="s">
        <v>844</v>
      </c>
      <c r="B3" s="14" t="s">
        <v>350</v>
      </c>
      <c r="C3" s="14" t="s">
        <v>347</v>
      </c>
      <c r="D3" s="14">
        <v>300.0</v>
      </c>
      <c r="E3" s="14">
        <v>0.0</v>
      </c>
      <c r="F3" s="14">
        <v>0.0</v>
      </c>
      <c r="G3" s="14">
        <v>0.03</v>
      </c>
      <c r="H3" s="14">
        <v>5.0E-4</v>
      </c>
      <c r="I3" s="14">
        <v>0.0</v>
      </c>
      <c r="J3" s="14">
        <v>0.0</v>
      </c>
      <c r="K3" s="14" t="s">
        <v>845</v>
      </c>
    </row>
    <row r="4">
      <c r="A4" s="14" t="s">
        <v>846</v>
      </c>
      <c r="B4" s="14" t="s">
        <v>346</v>
      </c>
      <c r="C4" s="14" t="s">
        <v>353</v>
      </c>
      <c r="D4" s="14">
        <v>0.0</v>
      </c>
      <c r="E4" s="14">
        <v>0.0</v>
      </c>
      <c r="F4" s="14">
        <v>-0.02</v>
      </c>
      <c r="G4" s="14">
        <v>0.03</v>
      </c>
      <c r="H4" s="14">
        <v>5.0E-4</v>
      </c>
      <c r="I4" s="14">
        <v>0.0</v>
      </c>
      <c r="J4" s="14">
        <v>0.0</v>
      </c>
      <c r="K4" s="14" t="s">
        <v>847</v>
      </c>
    </row>
    <row r="5">
      <c r="A5" s="14" t="s">
        <v>848</v>
      </c>
      <c r="B5" s="14" t="s">
        <v>344</v>
      </c>
      <c r="C5" s="14" t="s">
        <v>349</v>
      </c>
      <c r="D5" s="14">
        <v>0.0</v>
      </c>
      <c r="E5" s="14">
        <v>0.0</v>
      </c>
      <c r="F5" s="14">
        <v>-0.03</v>
      </c>
      <c r="G5" s="14">
        <v>0.0</v>
      </c>
      <c r="H5" s="14">
        <v>0.0015</v>
      </c>
      <c r="I5" s="14">
        <v>0.0</v>
      </c>
      <c r="J5" s="14">
        <v>0.0</v>
      </c>
      <c r="K5" s="14" t="s">
        <v>849</v>
      </c>
    </row>
    <row r="6">
      <c r="A6" s="14" t="s">
        <v>850</v>
      </c>
      <c r="B6" s="14" t="s">
        <v>347</v>
      </c>
      <c r="C6" s="14" t="s">
        <v>343</v>
      </c>
      <c r="D6" s="14">
        <v>0.0</v>
      </c>
      <c r="E6" s="14">
        <v>0.0</v>
      </c>
      <c r="F6" s="14">
        <v>0.0</v>
      </c>
      <c r="G6" s="14">
        <v>0.02</v>
      </c>
      <c r="H6" s="14">
        <v>0.001</v>
      </c>
      <c r="I6" s="14">
        <v>0.0</v>
      </c>
      <c r="J6" s="14">
        <v>0.0</v>
      </c>
      <c r="K6" s="14" t="s">
        <v>851</v>
      </c>
    </row>
    <row r="7">
      <c r="A7" s="14" t="s">
        <v>852</v>
      </c>
      <c r="B7" s="14" t="s">
        <v>343</v>
      </c>
      <c r="C7" s="14" t="s">
        <v>354</v>
      </c>
      <c r="D7" s="14">
        <v>0.0</v>
      </c>
      <c r="E7" s="14">
        <v>300.0</v>
      </c>
      <c r="F7" s="14">
        <v>0.0</v>
      </c>
      <c r="G7" s="14">
        <v>0.0</v>
      </c>
      <c r="H7" s="14">
        <v>0.001</v>
      </c>
      <c r="I7" s="14">
        <v>0.0</v>
      </c>
      <c r="J7" s="14">
        <v>-3.0</v>
      </c>
      <c r="K7" s="14" t="s">
        <v>853</v>
      </c>
    </row>
    <row r="8">
      <c r="A8" s="14" t="s">
        <v>854</v>
      </c>
      <c r="B8" s="14" t="s">
        <v>357</v>
      </c>
      <c r="C8" s="14" t="s">
        <v>358</v>
      </c>
      <c r="D8" s="14">
        <v>300.0</v>
      </c>
      <c r="E8" s="14">
        <v>0.0</v>
      </c>
      <c r="F8" s="14">
        <v>0.0</v>
      </c>
      <c r="G8" s="14">
        <v>0.0</v>
      </c>
      <c r="H8" s="14">
        <v>0.0015</v>
      </c>
      <c r="I8" s="14">
        <v>200.0</v>
      </c>
      <c r="J8" s="14">
        <v>0.0</v>
      </c>
      <c r="K8" s="14" t="s">
        <v>855</v>
      </c>
    </row>
    <row r="9">
      <c r="A9" s="14" t="s">
        <v>856</v>
      </c>
      <c r="B9" s="14" t="s">
        <v>355</v>
      </c>
      <c r="C9" s="14" t="s">
        <v>365</v>
      </c>
      <c r="D9" s="14">
        <v>200.0</v>
      </c>
      <c r="E9" s="14">
        <v>0.0</v>
      </c>
      <c r="F9" s="14">
        <v>0.0</v>
      </c>
      <c r="G9" s="14">
        <v>0.02</v>
      </c>
      <c r="H9" s="14">
        <v>5.0E-4</v>
      </c>
      <c r="I9" s="14">
        <v>100.0</v>
      </c>
      <c r="J9" s="14">
        <v>0.0</v>
      </c>
      <c r="K9" s="14" t="s">
        <v>857</v>
      </c>
    </row>
    <row r="10">
      <c r="A10" s="14" t="s">
        <v>858</v>
      </c>
      <c r="B10" s="14" t="s">
        <v>361</v>
      </c>
      <c r="C10" s="14" t="s">
        <v>351</v>
      </c>
      <c r="D10" s="14">
        <v>0.0</v>
      </c>
      <c r="E10" s="14">
        <v>500.0</v>
      </c>
      <c r="F10" s="14">
        <v>0.0</v>
      </c>
      <c r="G10" s="14">
        <v>0.0</v>
      </c>
      <c r="H10" s="14">
        <v>5.0E-4</v>
      </c>
      <c r="I10" s="14">
        <v>0.0</v>
      </c>
      <c r="J10" s="14">
        <v>-5.0</v>
      </c>
      <c r="K10" s="14" t="s">
        <v>859</v>
      </c>
    </row>
    <row r="11">
      <c r="A11" s="14" t="s">
        <v>860</v>
      </c>
      <c r="B11" s="14" t="s">
        <v>353</v>
      </c>
      <c r="C11" s="14" t="s">
        <v>360</v>
      </c>
      <c r="D11" s="14">
        <v>200.0</v>
      </c>
      <c r="E11" s="14">
        <v>200.0</v>
      </c>
      <c r="F11" s="14">
        <v>0.0</v>
      </c>
      <c r="G11" s="14">
        <v>0.02</v>
      </c>
      <c r="H11" s="14">
        <v>5.0E-4</v>
      </c>
      <c r="I11" s="14">
        <v>0.0</v>
      </c>
      <c r="J11" s="14">
        <v>0.0</v>
      </c>
      <c r="K11" s="14" t="s">
        <v>861</v>
      </c>
    </row>
    <row r="12">
      <c r="A12" s="14" t="s">
        <v>862</v>
      </c>
      <c r="B12" s="14" t="s">
        <v>342</v>
      </c>
      <c r="C12" s="14" t="s">
        <v>786</v>
      </c>
      <c r="D12" s="14">
        <v>300.0</v>
      </c>
      <c r="E12" s="14">
        <v>0.0</v>
      </c>
      <c r="F12" s="14">
        <v>0.0</v>
      </c>
      <c r="G12" s="14">
        <v>0.0</v>
      </c>
      <c r="H12" s="14">
        <v>0.0</v>
      </c>
      <c r="I12" s="14">
        <v>0.0</v>
      </c>
      <c r="J12" s="14">
        <v>0.0</v>
      </c>
      <c r="K12" s="14" t="s">
        <v>863</v>
      </c>
    </row>
    <row r="13">
      <c r="A13" s="14" t="s">
        <v>864</v>
      </c>
      <c r="B13" s="14" t="s">
        <v>347</v>
      </c>
      <c r="C13" s="14" t="s">
        <v>786</v>
      </c>
      <c r="D13" s="14">
        <v>300.0</v>
      </c>
      <c r="E13" s="14">
        <v>0.0</v>
      </c>
      <c r="F13" s="14">
        <v>0.0</v>
      </c>
      <c r="G13" s="14">
        <v>0.02</v>
      </c>
      <c r="H13" s="14">
        <v>0.0</v>
      </c>
      <c r="I13" s="14">
        <v>0.0</v>
      </c>
      <c r="J13" s="14">
        <v>0.0</v>
      </c>
      <c r="K13" s="14" t="s">
        <v>865</v>
      </c>
    </row>
    <row r="14">
      <c r="A14" s="14" t="s">
        <v>866</v>
      </c>
      <c r="B14" s="14" t="s">
        <v>344</v>
      </c>
      <c r="C14" s="14" t="s">
        <v>800</v>
      </c>
      <c r="D14" s="14">
        <v>0.0</v>
      </c>
      <c r="E14" s="14">
        <v>0.0</v>
      </c>
      <c r="F14" s="14">
        <v>-0.02</v>
      </c>
      <c r="G14" s="14">
        <v>0.0</v>
      </c>
      <c r="H14" s="14">
        <v>5.0E-4</v>
      </c>
      <c r="I14" s="14">
        <v>0.0</v>
      </c>
      <c r="J14" s="14">
        <v>0.0</v>
      </c>
      <c r="K14" s="14" t="s">
        <v>867</v>
      </c>
    </row>
    <row r="15">
      <c r="A15" s="14" t="s">
        <v>868</v>
      </c>
      <c r="B15" s="14" t="s">
        <v>343</v>
      </c>
      <c r="C15" s="14" t="s">
        <v>800</v>
      </c>
      <c r="D15" s="14">
        <v>0.0</v>
      </c>
      <c r="E15" s="14">
        <v>0.0</v>
      </c>
      <c r="F15" s="14">
        <v>0.0</v>
      </c>
      <c r="G15" s="14">
        <v>0.0</v>
      </c>
      <c r="H15" s="14">
        <v>5.0E-4</v>
      </c>
      <c r="I15" s="14">
        <v>0.0</v>
      </c>
      <c r="J15" s="14">
        <v>0.0</v>
      </c>
      <c r="K15" s="14" t="s">
        <v>869</v>
      </c>
    </row>
    <row r="16">
      <c r="A16" s="14" t="s">
        <v>870</v>
      </c>
      <c r="B16" s="14" t="s">
        <v>349</v>
      </c>
      <c r="C16" s="14" t="s">
        <v>800</v>
      </c>
      <c r="D16" s="14">
        <v>0.0</v>
      </c>
      <c r="E16" s="14">
        <v>0.0</v>
      </c>
      <c r="F16" s="14">
        <v>-0.02</v>
      </c>
      <c r="G16" s="14">
        <v>0.0</v>
      </c>
      <c r="H16" s="14">
        <v>5.0E-4</v>
      </c>
      <c r="I16" s="14">
        <v>0.0</v>
      </c>
      <c r="J16" s="14">
        <v>0.0</v>
      </c>
      <c r="K16" s="14" t="s">
        <v>871</v>
      </c>
    </row>
    <row r="17">
      <c r="A17" s="14" t="s">
        <v>872</v>
      </c>
      <c r="B17" s="14" t="s">
        <v>356</v>
      </c>
      <c r="C17" s="14" t="s">
        <v>794</v>
      </c>
      <c r="D17" s="14">
        <v>0.0</v>
      </c>
      <c r="E17" s="14">
        <v>0.0</v>
      </c>
      <c r="F17" s="14">
        <v>0.0</v>
      </c>
      <c r="G17" s="14">
        <v>0.0</v>
      </c>
      <c r="H17" s="14">
        <v>5.0E-4</v>
      </c>
      <c r="I17" s="14">
        <v>100.0</v>
      </c>
      <c r="J17" s="14">
        <v>0.0</v>
      </c>
      <c r="K17" s="14" t="s">
        <v>873</v>
      </c>
    </row>
    <row r="18">
      <c r="A18" s="14" t="s">
        <v>874</v>
      </c>
      <c r="B18" s="14" t="s">
        <v>358</v>
      </c>
      <c r="C18" s="14" t="s">
        <v>794</v>
      </c>
      <c r="D18" s="14">
        <v>0.0</v>
      </c>
      <c r="E18" s="14">
        <v>0.0</v>
      </c>
      <c r="F18" s="14">
        <v>0.0</v>
      </c>
      <c r="G18" s="14">
        <v>0.0</v>
      </c>
      <c r="H18" s="14">
        <v>5.0E-4</v>
      </c>
      <c r="I18" s="14">
        <v>100.0</v>
      </c>
      <c r="J18" s="14">
        <v>0.0</v>
      </c>
      <c r="K18" s="14" t="s">
        <v>875</v>
      </c>
    </row>
    <row r="19">
      <c r="A19" s="14" t="s">
        <v>876</v>
      </c>
      <c r="B19" s="14" t="s">
        <v>365</v>
      </c>
      <c r="C19" s="14" t="s">
        <v>794</v>
      </c>
      <c r="D19" s="14">
        <v>0.0</v>
      </c>
      <c r="E19" s="14">
        <v>0.0</v>
      </c>
      <c r="F19" s="14">
        <v>0.0</v>
      </c>
      <c r="G19" s="14">
        <v>0.01</v>
      </c>
      <c r="H19" s="14">
        <v>5.0E-4</v>
      </c>
      <c r="I19" s="14">
        <v>100.0</v>
      </c>
      <c r="J19" s="14">
        <v>0.0</v>
      </c>
      <c r="K19" s="14" t="s">
        <v>877</v>
      </c>
    </row>
    <row r="20">
      <c r="A20" s="14" t="s">
        <v>878</v>
      </c>
      <c r="B20" s="14" t="s">
        <v>364</v>
      </c>
      <c r="C20" s="14" t="s">
        <v>794</v>
      </c>
      <c r="D20" s="14">
        <v>0.0</v>
      </c>
      <c r="E20" s="14">
        <v>0.0</v>
      </c>
      <c r="F20" s="14">
        <v>0.0</v>
      </c>
      <c r="G20" s="14">
        <v>0.0</v>
      </c>
      <c r="H20" s="14">
        <v>5.0E-4</v>
      </c>
      <c r="I20" s="14">
        <v>100.0</v>
      </c>
      <c r="J20" s="14">
        <v>0.0</v>
      </c>
      <c r="K20" s="14" t="s">
        <v>879</v>
      </c>
    </row>
    <row r="21">
      <c r="A21" s="14" t="s">
        <v>880</v>
      </c>
      <c r="B21" s="14" t="s">
        <v>356</v>
      </c>
      <c r="C21" s="14" t="s">
        <v>809</v>
      </c>
      <c r="D21" s="14">
        <v>0.0</v>
      </c>
      <c r="E21" s="14">
        <v>0.0</v>
      </c>
      <c r="F21" s="14">
        <v>0.0</v>
      </c>
      <c r="G21" s="14">
        <v>0.0</v>
      </c>
      <c r="H21" s="14">
        <v>5.0E-4</v>
      </c>
      <c r="I21" s="14">
        <v>100.0</v>
      </c>
      <c r="J21" s="14">
        <v>0.0</v>
      </c>
      <c r="K21" s="14" t="s">
        <v>881</v>
      </c>
    </row>
    <row r="22">
      <c r="A22" s="14" t="s">
        <v>882</v>
      </c>
      <c r="B22" s="14" t="s">
        <v>353</v>
      </c>
      <c r="C22" s="14" t="s">
        <v>827</v>
      </c>
      <c r="D22" s="14">
        <v>0.0</v>
      </c>
      <c r="E22" s="14">
        <v>0.0</v>
      </c>
      <c r="F22" s="14">
        <v>-0.01</v>
      </c>
      <c r="G22" s="14">
        <v>0.0</v>
      </c>
      <c r="H22" s="14">
        <v>5.0E-4</v>
      </c>
      <c r="I22" s="14">
        <v>0.0</v>
      </c>
      <c r="J22" s="14">
        <v>0.0</v>
      </c>
      <c r="K22" s="14" t="s">
        <v>883</v>
      </c>
    </row>
    <row r="23">
      <c r="A23" s="14" t="s">
        <v>884</v>
      </c>
      <c r="B23" s="14" t="s">
        <v>347</v>
      </c>
      <c r="C23" s="14" t="s">
        <v>820</v>
      </c>
      <c r="D23" s="14">
        <v>0.0</v>
      </c>
      <c r="E23" s="14">
        <v>0.0</v>
      </c>
      <c r="F23" s="14">
        <v>0.0</v>
      </c>
      <c r="G23" s="14">
        <v>0.02</v>
      </c>
      <c r="H23" s="14">
        <v>5.0E-4</v>
      </c>
      <c r="I23" s="14">
        <v>0.0</v>
      </c>
      <c r="J23" s="14">
        <v>0.0</v>
      </c>
      <c r="K23" s="14" t="s">
        <v>885</v>
      </c>
    </row>
    <row r="24">
      <c r="A24" s="14" t="s">
        <v>886</v>
      </c>
      <c r="B24" s="14" t="s">
        <v>794</v>
      </c>
      <c r="C24" s="14" t="s">
        <v>809</v>
      </c>
      <c r="D24" s="14">
        <v>0.0</v>
      </c>
      <c r="E24" s="14">
        <v>0.0</v>
      </c>
      <c r="F24" s="14">
        <v>0.0</v>
      </c>
      <c r="G24" s="14">
        <v>0.0</v>
      </c>
      <c r="H24" s="14">
        <v>5.0E-4</v>
      </c>
      <c r="I24" s="14">
        <v>100.0</v>
      </c>
      <c r="J24" s="14">
        <v>0.0</v>
      </c>
      <c r="K24" s="14" t="s">
        <v>887</v>
      </c>
    </row>
    <row r="25">
      <c r="A25" s="14" t="s">
        <v>888</v>
      </c>
      <c r="B25" s="14" t="s">
        <v>809</v>
      </c>
      <c r="C25" s="14" t="s">
        <v>833</v>
      </c>
      <c r="D25" s="14">
        <v>0.0</v>
      </c>
      <c r="E25" s="14">
        <v>0.0</v>
      </c>
      <c r="F25" s="14">
        <v>-0.01</v>
      </c>
      <c r="G25" s="14">
        <v>0.01</v>
      </c>
      <c r="H25" s="14">
        <v>5.0E-4</v>
      </c>
      <c r="I25" s="14">
        <v>0.0</v>
      </c>
      <c r="J25" s="14">
        <v>0.0</v>
      </c>
      <c r="K25" s="14" t="s">
        <v>889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6.0"/>
    <col customWidth="1" min="3" max="3" width="20.38"/>
  </cols>
  <sheetData>
    <row r="1">
      <c r="A1" s="14" t="s">
        <v>129</v>
      </c>
      <c r="B1" s="14" t="s">
        <v>568</v>
      </c>
      <c r="C1" s="5" t="s">
        <v>289</v>
      </c>
      <c r="D1" s="14" t="s">
        <v>588</v>
      </c>
      <c r="E1" s="14" t="s">
        <v>890</v>
      </c>
      <c r="F1" s="14" t="s">
        <v>524</v>
      </c>
      <c r="G1" s="14" t="s">
        <v>525</v>
      </c>
      <c r="H1" s="14" t="s">
        <v>134</v>
      </c>
      <c r="I1" s="14" t="s">
        <v>135</v>
      </c>
      <c r="J1" s="14" t="s">
        <v>136</v>
      </c>
      <c r="K1" s="14" t="s">
        <v>137</v>
      </c>
      <c r="L1" s="14" t="s">
        <v>138</v>
      </c>
      <c r="M1" s="14" t="s">
        <v>290</v>
      </c>
    </row>
    <row r="2">
      <c r="A2" s="14" t="s">
        <v>310</v>
      </c>
      <c r="B2" s="14" t="s">
        <v>314</v>
      </c>
      <c r="C2" s="14" t="s">
        <v>891</v>
      </c>
      <c r="D2" s="14" t="s">
        <v>892</v>
      </c>
      <c r="E2" s="14" t="s">
        <v>893</v>
      </c>
      <c r="F2" s="14">
        <v>1.0</v>
      </c>
      <c r="G2" s="14">
        <v>1.05</v>
      </c>
      <c r="H2" s="14">
        <v>1.0</v>
      </c>
      <c r="I2" s="14">
        <v>1.0</v>
      </c>
      <c r="J2" s="14">
        <v>1.0</v>
      </c>
      <c r="K2" s="14">
        <v>1.0</v>
      </c>
      <c r="L2" s="14">
        <v>1.0</v>
      </c>
      <c r="M2" s="14">
        <v>2.0</v>
      </c>
    </row>
    <row r="3">
      <c r="A3" s="14" t="s">
        <v>303</v>
      </c>
      <c r="B3" s="14" t="s">
        <v>307</v>
      </c>
      <c r="C3" s="14" t="s">
        <v>894</v>
      </c>
      <c r="D3" s="14" t="s">
        <v>640</v>
      </c>
      <c r="E3" s="14" t="s">
        <v>893</v>
      </c>
      <c r="F3" s="14">
        <v>1.0</v>
      </c>
      <c r="G3" s="14">
        <v>1.0</v>
      </c>
      <c r="H3" s="14">
        <v>1.0</v>
      </c>
      <c r="I3" s="14">
        <v>1.0</v>
      </c>
      <c r="J3" s="14">
        <v>1.1</v>
      </c>
      <c r="K3" s="14">
        <v>1.0</v>
      </c>
      <c r="L3" s="14">
        <v>1.0</v>
      </c>
      <c r="M3" s="14">
        <v>3.0</v>
      </c>
    </row>
    <row r="4">
      <c r="A4" s="14" t="s">
        <v>317</v>
      </c>
      <c r="B4" s="14" t="s">
        <v>318</v>
      </c>
      <c r="C4" s="14" t="s">
        <v>895</v>
      </c>
      <c r="D4" s="14" t="s">
        <v>670</v>
      </c>
      <c r="E4" s="14" t="s">
        <v>893</v>
      </c>
      <c r="F4" s="14">
        <v>1.0</v>
      </c>
      <c r="G4" s="14">
        <v>1.0</v>
      </c>
      <c r="H4" s="14">
        <v>1.0</v>
      </c>
      <c r="I4" s="14">
        <v>1.15</v>
      </c>
      <c r="J4" s="14">
        <v>1.0</v>
      </c>
      <c r="K4" s="14">
        <v>1.0</v>
      </c>
      <c r="L4" s="14">
        <v>1.0</v>
      </c>
      <c r="M4" s="14">
        <v>5.0</v>
      </c>
    </row>
    <row r="5">
      <c r="A5" s="14" t="s">
        <v>580</v>
      </c>
      <c r="B5" s="14" t="s">
        <v>581</v>
      </c>
      <c r="C5" s="14" t="s">
        <v>896</v>
      </c>
      <c r="D5" s="14" t="s">
        <v>897</v>
      </c>
      <c r="E5" s="14" t="s">
        <v>893</v>
      </c>
      <c r="F5" s="14">
        <v>1.0</v>
      </c>
      <c r="G5" s="14">
        <v>1.0</v>
      </c>
      <c r="H5" s="14">
        <v>1.0</v>
      </c>
      <c r="I5" s="14">
        <v>1.0</v>
      </c>
      <c r="J5" s="14">
        <v>1.0</v>
      </c>
      <c r="K5" s="14">
        <v>1.075</v>
      </c>
      <c r="L5" s="14">
        <v>1.0</v>
      </c>
      <c r="M5" s="14">
        <v>5.0</v>
      </c>
    </row>
    <row r="6">
      <c r="A6" s="14" t="s">
        <v>570</v>
      </c>
      <c r="B6" s="14" t="s">
        <v>571</v>
      </c>
      <c r="C6" s="14" t="s">
        <v>898</v>
      </c>
      <c r="D6" s="14" t="s">
        <v>727</v>
      </c>
      <c r="E6" s="14" t="s">
        <v>893</v>
      </c>
      <c r="F6" s="14">
        <v>1.15</v>
      </c>
      <c r="G6" s="14">
        <v>1.0</v>
      </c>
      <c r="H6" s="14">
        <v>1.0</v>
      </c>
      <c r="I6" s="14">
        <v>1.0</v>
      </c>
      <c r="J6" s="14">
        <v>1.0</v>
      </c>
      <c r="K6" s="14">
        <v>1.0</v>
      </c>
      <c r="L6" s="14">
        <v>1.0</v>
      </c>
      <c r="M6" s="14">
        <v>5.0</v>
      </c>
    </row>
    <row r="7">
      <c r="A7" s="14" t="s">
        <v>293</v>
      </c>
      <c r="B7" s="14" t="s">
        <v>300</v>
      </c>
      <c r="C7" s="14" t="s">
        <v>899</v>
      </c>
      <c r="D7" s="14" t="s">
        <v>892</v>
      </c>
      <c r="E7" s="14" t="s">
        <v>900</v>
      </c>
      <c r="F7" s="14">
        <v>1.0</v>
      </c>
      <c r="G7" s="14">
        <v>1.0</v>
      </c>
      <c r="H7" s="14">
        <v>1.0</v>
      </c>
      <c r="I7" s="14">
        <v>1.0</v>
      </c>
      <c r="J7" s="14">
        <v>1.0</v>
      </c>
      <c r="K7" s="14">
        <v>1.0</v>
      </c>
      <c r="L7" s="14">
        <v>0.95</v>
      </c>
      <c r="M7" s="14">
        <v>2.0</v>
      </c>
    </row>
    <row r="8">
      <c r="A8" s="14" t="s">
        <v>573</v>
      </c>
      <c r="B8" s="14" t="s">
        <v>574</v>
      </c>
      <c r="C8" s="14" t="s">
        <v>901</v>
      </c>
      <c r="D8" s="14" t="s">
        <v>640</v>
      </c>
      <c r="E8" s="14" t="s">
        <v>900</v>
      </c>
      <c r="F8" s="14">
        <v>1.0</v>
      </c>
      <c r="G8" s="14">
        <v>1.0</v>
      </c>
      <c r="H8" s="14">
        <v>0.95</v>
      </c>
      <c r="I8" s="14">
        <v>1.0</v>
      </c>
      <c r="J8" s="14">
        <v>1.0</v>
      </c>
      <c r="K8" s="14">
        <v>1.0</v>
      </c>
      <c r="L8" s="14">
        <v>1.0</v>
      </c>
      <c r="M8" s="14">
        <v>3.0</v>
      </c>
    </row>
    <row r="9">
      <c r="A9" s="14" t="s">
        <v>578</v>
      </c>
      <c r="B9" s="14" t="s">
        <v>579</v>
      </c>
      <c r="C9" s="14" t="s">
        <v>902</v>
      </c>
      <c r="D9" s="14" t="s">
        <v>670</v>
      </c>
      <c r="E9" s="14" t="s">
        <v>900</v>
      </c>
      <c r="F9" s="14">
        <v>1.0</v>
      </c>
      <c r="G9" s="14">
        <v>1.0</v>
      </c>
      <c r="H9" s="14">
        <v>1.0</v>
      </c>
      <c r="I9" s="14">
        <v>1.1</v>
      </c>
      <c r="J9" s="14">
        <v>1.0</v>
      </c>
      <c r="K9" s="14">
        <v>1.0</v>
      </c>
      <c r="L9" s="14">
        <v>1.0</v>
      </c>
      <c r="M9" s="14">
        <v>5.0</v>
      </c>
    </row>
    <row r="10">
      <c r="A10" s="14" t="s">
        <v>582</v>
      </c>
      <c r="B10" s="14" t="s">
        <v>583</v>
      </c>
      <c r="C10" s="14" t="s">
        <v>903</v>
      </c>
      <c r="D10" s="14" t="s">
        <v>897</v>
      </c>
      <c r="E10" s="14" t="s">
        <v>900</v>
      </c>
      <c r="F10" s="14">
        <v>1.0</v>
      </c>
      <c r="G10" s="14">
        <v>1.0</v>
      </c>
      <c r="H10" s="14">
        <v>1.0</v>
      </c>
      <c r="I10" s="14">
        <v>1.0</v>
      </c>
      <c r="J10" s="14">
        <v>1.0</v>
      </c>
      <c r="K10" s="14">
        <v>1.05</v>
      </c>
      <c r="L10" s="14">
        <v>1.0</v>
      </c>
      <c r="M10" s="14">
        <v>5.0</v>
      </c>
    </row>
    <row r="11">
      <c r="A11" s="14" t="s">
        <v>576</v>
      </c>
      <c r="B11" s="14" t="s">
        <v>577</v>
      </c>
      <c r="C11" s="14" t="s">
        <v>904</v>
      </c>
      <c r="D11" s="14" t="s">
        <v>727</v>
      </c>
      <c r="E11" s="14" t="s">
        <v>900</v>
      </c>
      <c r="F11" s="14">
        <v>1.0</v>
      </c>
      <c r="G11" s="14">
        <v>1.0</v>
      </c>
      <c r="H11" s="14">
        <v>1.0</v>
      </c>
      <c r="I11" s="14">
        <v>1.0</v>
      </c>
      <c r="J11" s="14">
        <v>1.1</v>
      </c>
      <c r="K11" s="14">
        <v>1.0</v>
      </c>
      <c r="L11" s="14">
        <v>1.0</v>
      </c>
      <c r="M11" s="14">
        <v>3.0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9.38"/>
    <col customWidth="1" min="2" max="3" width="27.63"/>
    <col customWidth="1" min="11" max="11" width="23.63"/>
    <col customWidth="1" min="12" max="12" width="52.5"/>
  </cols>
  <sheetData>
    <row r="1">
      <c r="A1" s="5" t="s">
        <v>127</v>
      </c>
      <c r="B1" s="5" t="s">
        <v>905</v>
      </c>
      <c r="C1" s="5" t="s">
        <v>395</v>
      </c>
      <c r="D1" s="5" t="s">
        <v>524</v>
      </c>
      <c r="E1" s="5" t="s">
        <v>525</v>
      </c>
      <c r="F1" s="5" t="s">
        <v>134</v>
      </c>
      <c r="G1" s="5" t="s">
        <v>135</v>
      </c>
      <c r="H1" s="5" t="s">
        <v>136</v>
      </c>
      <c r="I1" s="5" t="s">
        <v>137</v>
      </c>
      <c r="J1" s="5" t="s">
        <v>138</v>
      </c>
      <c r="K1" s="14" t="s">
        <v>594</v>
      </c>
      <c r="L1" s="14" t="s">
        <v>595</v>
      </c>
    </row>
    <row r="2">
      <c r="A2" s="14" t="s">
        <v>401</v>
      </c>
      <c r="B2" s="14" t="s">
        <v>906</v>
      </c>
      <c r="C2" s="14" t="str">
        <f t="shared" ref="C2:C12" si="1">A2&amp;"｜"&amp;B2</f>
        <v>T00｜指定なし</v>
      </c>
      <c r="D2" s="14">
        <v>0.0</v>
      </c>
      <c r="E2" s="14">
        <v>0.0</v>
      </c>
      <c r="F2" s="14">
        <v>0.0</v>
      </c>
      <c r="G2" s="14">
        <v>0.0</v>
      </c>
      <c r="H2" s="14">
        <v>0.0</v>
      </c>
      <c r="I2" s="14">
        <v>0.0</v>
      </c>
      <c r="J2" s="14">
        <v>0.0</v>
      </c>
      <c r="K2" s="25" t="str">
        <f t="shared" ref="K2:K12" si="2">TEXTJOIN(CHAR(10),TRUE,
 IF(TEXTJOIN(" ",TRUE,IF(D2&lt;0,"GI",""),IF(E2&lt;0,"AI",""),IF(F2&gt;0,"BO",""),IF(G2&lt;0,"BR",""),IF(H2&lt;0,"CVR",""),IF(I2&lt;0,"AOV",""),IF(J2&gt;0,"CPC",""))&lt;&gt;"",
  "↓ "&amp;TEXTJOIN(" ",TRUE,IF(D2&lt;0,"GI",""),IF(E2&lt;0,"AI",""),IF(F2&gt;0,"BO",""),IF(G2&lt;0,"BR",""),IF(H2&lt;0,"CVR",""),IF(I2&lt;0,"AOV",""),IF(J2&gt;0,"CPC","")),
  ""),
 IF(TEXTJOIN(" ",TRUE,IF(D2&gt;0,"GI",""),IF(E2&gt;0,"AI",""),IF(F2&lt;0,"BO",""),IF(G2&gt;0,"BR",""),IF(H2&gt;0,"CVR",""),IF(I2&gt;0,"AOV",""),IF(J2&lt;0,"CPC",""))&lt;&gt;"",
  "↑ "&amp;TEXTJOIN(" ",TRUE,IF(D2&gt;0,"GI",""),IF(E2&gt;0,"AI",""),IF(F2&lt;0,"BO",""),IF(G2&gt;0,"BR",""),IF(H2&gt;0,"CVR",""),IF(I2&gt;0,"AOV",""),IF(J2&lt;0,"CPC","")),
  "")
)</f>
        <v/>
      </c>
      <c r="L2" s="25" t="str">
        <f t="shared" ref="L2:L12" si="3">TEXTJOIN(" / ",TRUE,
 IF(D2&lt;&gt;0,"GI "&amp;TEXT(D2,"+0;-0"),""),
 IF(E2&lt;&gt;0,"AI "&amp;TEXT(E2,"+0;-0"),""),
 IF(F2&lt;&gt;0,"BO "&amp;TEXT(F2,"+0.00;-0.00"),""),
 IF(G2&lt;&gt;0,"BR "&amp;TEXT(G2,"+0.00;-0.00"),""),
 IF(H2&lt;&gt;0,"CVR "&amp;TEXT(H2,"+0.000;-0.000"),""),
 IF(I2&lt;&gt;0,"AOV "&amp;TEXT(I2,"+0;-0"),""),
 IF(J2&lt;&gt;0,"CPC "&amp;TEXT(J2,"+0;-0"),"")
)</f>
        <v/>
      </c>
    </row>
    <row r="3">
      <c r="A3" s="14" t="s">
        <v>405</v>
      </c>
      <c r="B3" s="14" t="s">
        <v>907</v>
      </c>
      <c r="C3" s="14" t="str">
        <f t="shared" si="1"/>
        <v>T01｜市場が拡大し新規流入が増加</v>
      </c>
      <c r="D3" s="14">
        <v>1200.0</v>
      </c>
      <c r="E3" s="14">
        <v>0.0</v>
      </c>
      <c r="F3" s="14">
        <v>0.0</v>
      </c>
      <c r="G3" s="14">
        <v>0.0</v>
      </c>
      <c r="H3" s="14">
        <v>0.0</v>
      </c>
      <c r="I3" s="14">
        <v>0.0</v>
      </c>
      <c r="J3" s="14">
        <v>0.0</v>
      </c>
      <c r="K3" s="25" t="str">
        <f t="shared" si="2"/>
        <v>↑ GI</v>
      </c>
      <c r="L3" s="25" t="str">
        <f t="shared" si="3"/>
        <v>GI +1200</v>
      </c>
    </row>
    <row r="4">
      <c r="A4" s="14" t="s">
        <v>421</v>
      </c>
      <c r="B4" s="14" t="s">
        <v>908</v>
      </c>
      <c r="C4" s="14" t="str">
        <f t="shared" si="1"/>
        <v>T02｜広告競争が激化しCPCが上昇</v>
      </c>
      <c r="D4" s="14">
        <v>0.0</v>
      </c>
      <c r="E4" s="14">
        <v>-300.0</v>
      </c>
      <c r="F4" s="14">
        <v>0.0</v>
      </c>
      <c r="G4" s="14">
        <v>0.0</v>
      </c>
      <c r="H4" s="14">
        <v>0.0</v>
      </c>
      <c r="I4" s="14">
        <v>0.0</v>
      </c>
      <c r="J4" s="14">
        <v>8.0</v>
      </c>
      <c r="K4" s="25" t="str">
        <f t="shared" si="2"/>
        <v>↓ AI CPC</v>
      </c>
      <c r="L4" s="25" t="str">
        <f t="shared" si="3"/>
        <v>AI -300 / CPC +8</v>
      </c>
    </row>
    <row r="5">
      <c r="A5" s="14" t="s">
        <v>410</v>
      </c>
      <c r="B5" s="14" t="s">
        <v>909</v>
      </c>
      <c r="C5" s="14" t="str">
        <f t="shared" si="1"/>
        <v>T03｜季節需要で購買意欲が上昇</v>
      </c>
      <c r="D5" s="14">
        <v>800.0</v>
      </c>
      <c r="E5" s="14">
        <v>200.0</v>
      </c>
      <c r="F5" s="14">
        <v>0.0</v>
      </c>
      <c r="G5" s="14">
        <v>0.01</v>
      </c>
      <c r="H5" s="14">
        <v>5.0E-4</v>
      </c>
      <c r="I5" s="14">
        <v>200.0</v>
      </c>
      <c r="J5" s="14">
        <v>0.0</v>
      </c>
      <c r="K5" s="25" t="str">
        <f t="shared" si="2"/>
        <v>↑ GI AI BR CVR AOV</v>
      </c>
      <c r="L5" s="25" t="str">
        <f t="shared" si="3"/>
        <v>GI +800 / AI +200 / BR +0.01 / CVR +0.001 / AOV +200</v>
      </c>
    </row>
    <row r="6">
      <c r="A6" s="14" t="s">
        <v>414</v>
      </c>
      <c r="B6" s="14" t="s">
        <v>910</v>
      </c>
      <c r="C6" s="14" t="str">
        <f t="shared" si="1"/>
        <v>T04｜市場が停滞し流入が減少</v>
      </c>
      <c r="D6" s="14">
        <v>-1200.0</v>
      </c>
      <c r="E6" s="14">
        <v>-400.0</v>
      </c>
      <c r="F6" s="14">
        <v>0.0</v>
      </c>
      <c r="G6" s="14">
        <v>0.0</v>
      </c>
      <c r="H6" s="14">
        <v>0.0</v>
      </c>
      <c r="I6" s="14">
        <v>0.0</v>
      </c>
      <c r="J6" s="14">
        <v>0.0</v>
      </c>
      <c r="K6" s="25" t="str">
        <f t="shared" si="2"/>
        <v>↓ GI AI</v>
      </c>
      <c r="L6" s="25" t="str">
        <f t="shared" si="3"/>
        <v>GI -1200 / AI -400</v>
      </c>
    </row>
    <row r="7">
      <c r="A7" s="14" t="s">
        <v>911</v>
      </c>
      <c r="B7" s="14" t="s">
        <v>912</v>
      </c>
      <c r="C7" s="14" t="str">
        <f t="shared" si="1"/>
        <v>T05｜比較検討が増えCVRが低下</v>
      </c>
      <c r="D7" s="14">
        <v>0.0</v>
      </c>
      <c r="E7" s="14">
        <v>0.0</v>
      </c>
      <c r="F7" s="14">
        <v>0.0</v>
      </c>
      <c r="G7" s="14">
        <v>0.0</v>
      </c>
      <c r="H7" s="14">
        <v>-0.001</v>
      </c>
      <c r="I7" s="14">
        <v>0.0</v>
      </c>
      <c r="J7" s="14">
        <v>0.0</v>
      </c>
      <c r="K7" s="25" t="str">
        <f t="shared" si="2"/>
        <v>↓ CVR</v>
      </c>
      <c r="L7" s="25" t="str">
        <f t="shared" si="3"/>
        <v>CVR -0.001</v>
      </c>
    </row>
    <row r="8">
      <c r="A8" s="14" t="s">
        <v>913</v>
      </c>
      <c r="B8" s="14" t="s">
        <v>914</v>
      </c>
      <c r="C8" s="14" t="str">
        <f t="shared" si="1"/>
        <v>T06｜ユーザーの関心が高まり回遊が増加</v>
      </c>
      <c r="D8" s="14">
        <v>300.0</v>
      </c>
      <c r="E8" s="14">
        <v>0.0</v>
      </c>
      <c r="F8" s="14">
        <v>0.0</v>
      </c>
      <c r="G8" s="14">
        <v>0.015</v>
      </c>
      <c r="H8" s="14">
        <v>0.0</v>
      </c>
      <c r="I8" s="14">
        <v>0.0</v>
      </c>
      <c r="J8" s="14">
        <v>0.0</v>
      </c>
      <c r="K8" s="25" t="str">
        <f t="shared" si="2"/>
        <v>↑ GI BR</v>
      </c>
      <c r="L8" s="25" t="str">
        <f t="shared" si="3"/>
        <v>GI +300 / BR +0.02</v>
      </c>
    </row>
    <row r="9">
      <c r="A9" s="14" t="s">
        <v>915</v>
      </c>
      <c r="B9" s="14" t="s">
        <v>916</v>
      </c>
      <c r="C9" s="14" t="str">
        <f t="shared" si="1"/>
        <v>T07｜景気悪化で購買意欲が低下</v>
      </c>
      <c r="D9" s="14">
        <v>-1000.0</v>
      </c>
      <c r="E9" s="14">
        <v>-400.0</v>
      </c>
      <c r="F9" s="14">
        <v>0.01</v>
      </c>
      <c r="G9" s="14">
        <v>-0.01</v>
      </c>
      <c r="H9" s="14">
        <v>-0.001</v>
      </c>
      <c r="I9" s="14">
        <v>-100.0</v>
      </c>
      <c r="J9" s="14">
        <v>0.0</v>
      </c>
      <c r="K9" s="25" t="str">
        <f t="shared" si="2"/>
        <v>↓ GI AI BO BR CVR AOV</v>
      </c>
      <c r="L9" s="25" t="str">
        <f t="shared" si="3"/>
        <v>GI -1000 / AI -400 / BO +0.01 / BR -0.01 / CVR -0.001 / AOV -100</v>
      </c>
    </row>
    <row r="10">
      <c r="A10" s="14" t="s">
        <v>917</v>
      </c>
      <c r="B10" s="14" t="s">
        <v>918</v>
      </c>
      <c r="C10" s="14" t="str">
        <f t="shared" si="1"/>
        <v>T08｜セール時期で全体的に改善</v>
      </c>
      <c r="D10" s="14">
        <v>1000.0</v>
      </c>
      <c r="E10" s="14">
        <v>500.0</v>
      </c>
      <c r="F10" s="14">
        <v>-0.01</v>
      </c>
      <c r="G10" s="14">
        <v>0.015</v>
      </c>
      <c r="H10" s="14">
        <v>0.001</v>
      </c>
      <c r="I10" s="14">
        <v>300.0</v>
      </c>
      <c r="J10" s="14">
        <v>0.0</v>
      </c>
      <c r="K10" s="25" t="str">
        <f t="shared" si="2"/>
        <v>↑ GI AI BO BR CVR AOV</v>
      </c>
      <c r="L10" s="25" t="str">
        <f t="shared" si="3"/>
        <v>GI +1000 / AI +500 / BO -0.01 / BR +0.02 / CVR +0.001 / AOV +300</v>
      </c>
    </row>
    <row r="11">
      <c r="A11" s="14" t="s">
        <v>919</v>
      </c>
      <c r="B11" s="14" t="s">
        <v>920</v>
      </c>
      <c r="C11" s="14" t="str">
        <f t="shared" si="1"/>
        <v>T09｜市場競争激化で総合的に悪化</v>
      </c>
      <c r="D11" s="14">
        <v>-600.0</v>
      </c>
      <c r="E11" s="14">
        <v>-400.0</v>
      </c>
      <c r="F11" s="14">
        <v>0.01</v>
      </c>
      <c r="G11" s="14">
        <v>-0.02</v>
      </c>
      <c r="H11" s="14">
        <v>-0.001</v>
      </c>
      <c r="I11" s="14">
        <v>-200.0</v>
      </c>
      <c r="J11" s="14">
        <v>5.0</v>
      </c>
      <c r="K11" s="25" t="str">
        <f t="shared" si="2"/>
        <v>↓ GI AI BO BR CVR AOV CPC</v>
      </c>
      <c r="L11" s="25" t="str">
        <f t="shared" si="3"/>
        <v>GI -600 / AI -400 / BO +0.01 / BR -0.02 / CVR -0.001 / AOV -200 / CPC +5</v>
      </c>
    </row>
    <row r="12">
      <c r="A12" s="14" t="s">
        <v>921</v>
      </c>
      <c r="B12" s="14" t="s">
        <v>922</v>
      </c>
      <c r="C12" s="14" t="str">
        <f t="shared" si="1"/>
        <v>T10｜ブランド需要増で安定成長</v>
      </c>
      <c r="D12" s="14">
        <v>500.0</v>
      </c>
      <c r="E12" s="14">
        <v>200.0</v>
      </c>
      <c r="F12" s="14">
        <v>0.0</v>
      </c>
      <c r="G12" s="14">
        <v>0.01</v>
      </c>
      <c r="H12" s="14">
        <v>5.0E-4</v>
      </c>
      <c r="I12" s="14">
        <v>100.0</v>
      </c>
      <c r="J12" s="14">
        <v>0.0</v>
      </c>
      <c r="K12" s="25" t="str">
        <f t="shared" si="2"/>
        <v>↑ GI AI BR CVR AOV</v>
      </c>
      <c r="L12" s="25" t="str">
        <f t="shared" si="3"/>
        <v>GI +500 / AI +200 / BR +0.01 / CVR +0.001 / AOV +100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0"/>
    <col customWidth="1" min="2" max="2" width="24.38"/>
    <col customWidth="1" min="3" max="3" width="32.75"/>
    <col customWidth="1" min="11" max="11" width="16.88"/>
    <col customWidth="1" min="12" max="12" width="39.88"/>
  </cols>
  <sheetData>
    <row r="1">
      <c r="A1" s="5" t="s">
        <v>128</v>
      </c>
      <c r="B1" s="5" t="s">
        <v>923</v>
      </c>
      <c r="C1" s="5" t="s">
        <v>397</v>
      </c>
      <c r="D1" s="5" t="s">
        <v>524</v>
      </c>
      <c r="E1" s="5" t="s">
        <v>525</v>
      </c>
      <c r="F1" s="5" t="s">
        <v>134</v>
      </c>
      <c r="G1" s="5" t="s">
        <v>135</v>
      </c>
      <c r="H1" s="5" t="s">
        <v>136</v>
      </c>
      <c r="I1" s="5" t="s">
        <v>137</v>
      </c>
      <c r="J1" s="5" t="s">
        <v>138</v>
      </c>
      <c r="K1" s="14" t="s">
        <v>594</v>
      </c>
      <c r="L1" s="14" t="s">
        <v>595</v>
      </c>
    </row>
    <row r="2">
      <c r="A2" s="14" t="s">
        <v>402</v>
      </c>
      <c r="B2" s="14" t="s">
        <v>906</v>
      </c>
      <c r="C2" s="14" t="str">
        <f t="shared" ref="C2:C16" si="1">A2&amp;"｜"&amp;B2</f>
        <v>C00｜指定なし</v>
      </c>
      <c r="D2" s="14">
        <v>0.0</v>
      </c>
      <c r="E2" s="14">
        <v>0.0</v>
      </c>
      <c r="F2" s="14">
        <v>0.0</v>
      </c>
      <c r="G2" s="14">
        <v>0.0</v>
      </c>
      <c r="H2" s="14">
        <v>0.0</v>
      </c>
      <c r="I2" s="14">
        <v>0.0</v>
      </c>
      <c r="J2" s="14">
        <v>0.0</v>
      </c>
      <c r="K2" s="25" t="str">
        <f t="shared" ref="K2:K16" si="2">TEXTJOIN(CHAR(10),TRUE,
 IF(
  TEXTJOIN(" ",TRUE,
   IF(D2&lt;0,"GI",""),
   IF(E2&lt;0,"AI",""),
   IF(F2&gt;0,"BO",""),
   IF(G2&lt;0,"BR",""),
   IF(H2&lt;0,"CVR",""),
   IF(I2&lt;0,"AOV",""),
   IF(J2&gt;0,"CPC","")
  )&lt;&gt;"",
  "↓ "&amp;TEXTJOIN(" ",TRUE,
   IF(D2&lt;0,"GI",""),
   IF(E2&lt;0,"AI",""),
   IF(F2&gt;0,"BO",""),
   IF(G2&lt;0,"BR",""),
   IF(H2&lt;0,"CVR",""),
   IF(I2&lt;0,"AOV",""),
   IF(J2&gt;0,"CPC","")
  ),
  ""
 ),
 IF(
  TEXTJOIN(" ",TRUE,
   IF(D2&gt;0,"GI",""),
   IF(E2&gt;0,"AI",""),
   IF(F2&lt;0,"BO",""),
   IF(G2&gt;0,"BR",""),
   IF(H2&gt;0,"CVR",""),
   IF(I2&gt;0,"AOV",""),
   IF(J2&lt;0,"CPC","")
  )&lt;&gt;"",
  "↑ "&amp;TEXTJOIN(" ",TRUE,
   IF(D2&gt;0,"GI",""),
   IF(E2&gt;0,"AI",""),
   IF(F2&lt;0,"BO",""),
   IF(G2&gt;0,"BR",""),
   IF(H2&gt;0,"CVR",""),
   IF(I2&gt;0,"AOV",""),
   IF(J2&lt;0,"CPC","")
  ),
  ""
 )
)</f>
        <v/>
      </c>
      <c r="L2" s="25" t="str">
        <f t="shared" ref="L2:L16" si="3">TEXTJOIN(" / ",TRUE,
 IF(D2&lt;&gt;0,"GI"&amp;TEXT(D2,"+0;-0"),""),
 IF(E2&lt;&gt;0,"AI"&amp;TEXT(E2,"+0;-0"),""),
 IF(F2&lt;&gt;0,"BO"&amp;TEXT(F2,"+0.00;-0.00"),""),
 IF(G2&lt;&gt;0,"BR"&amp;TEXT(G2,"+0.00;-0.00"),""),
 IF(H2&lt;&gt;0,"CVR"&amp;TEXT(H2,"+0.000;-0.000"),""),
 IF(I2&lt;&gt;0,"AOV"&amp;TEXT(I2,"+0;-0"),""),
 IF(J2&lt;&gt;0,"CPC"&amp;TEXT(J2,"+0;-0"),"")
)</f>
        <v/>
      </c>
    </row>
    <row r="3">
      <c r="A3" s="14" t="s">
        <v>406</v>
      </c>
      <c r="B3" s="14" t="s">
        <v>924</v>
      </c>
      <c r="C3" s="14" t="str">
        <f t="shared" si="1"/>
        <v>C01｜競合の広告強化でCPC上昇</v>
      </c>
      <c r="D3" s="14">
        <v>0.0</v>
      </c>
      <c r="E3" s="14">
        <v>-200.0</v>
      </c>
      <c r="F3" s="14">
        <v>0.0</v>
      </c>
      <c r="G3" s="14">
        <v>0.0</v>
      </c>
      <c r="H3" s="14">
        <v>0.0</v>
      </c>
      <c r="I3" s="14">
        <v>0.0</v>
      </c>
      <c r="J3" s="14">
        <v>5.0</v>
      </c>
      <c r="K3" s="25" t="str">
        <f t="shared" si="2"/>
        <v>↓ AI CPC</v>
      </c>
      <c r="L3" s="25" t="str">
        <f t="shared" si="3"/>
        <v>AI-200 / CPC+5</v>
      </c>
    </row>
    <row r="4">
      <c r="A4" s="14" t="s">
        <v>422</v>
      </c>
      <c r="B4" s="14" t="s">
        <v>925</v>
      </c>
      <c r="C4" s="14" t="str">
        <f t="shared" si="1"/>
        <v>C02｜競合の価格攻勢でCVR低下</v>
      </c>
      <c r="D4" s="14">
        <v>-300.0</v>
      </c>
      <c r="E4" s="14">
        <v>-100.0</v>
      </c>
      <c r="F4" s="14">
        <v>0.0</v>
      </c>
      <c r="G4" s="14">
        <v>0.0</v>
      </c>
      <c r="H4" s="14">
        <v>-0.001</v>
      </c>
      <c r="I4" s="14">
        <v>0.0</v>
      </c>
      <c r="J4" s="14">
        <v>0.0</v>
      </c>
      <c r="K4" s="25" t="str">
        <f t="shared" si="2"/>
        <v>↓ GI AI CVR</v>
      </c>
      <c r="L4" s="25" t="str">
        <f t="shared" si="3"/>
        <v>GI-300 / AI-100 / CVR-0.001</v>
      </c>
    </row>
    <row r="5">
      <c r="A5" s="14" t="s">
        <v>408</v>
      </c>
      <c r="B5" s="14" t="s">
        <v>926</v>
      </c>
      <c r="C5" s="14" t="str">
        <f t="shared" si="1"/>
        <v>C03｜自社ブランド向上でCVR改善</v>
      </c>
      <c r="D5" s="14">
        <v>400.0</v>
      </c>
      <c r="E5" s="14">
        <v>100.0</v>
      </c>
      <c r="F5" s="14">
        <v>0.0</v>
      </c>
      <c r="G5" s="14">
        <v>0.01</v>
      </c>
      <c r="H5" s="14">
        <v>3.0E-4</v>
      </c>
      <c r="I5" s="14">
        <v>0.0</v>
      </c>
      <c r="J5" s="14">
        <v>0.0</v>
      </c>
      <c r="K5" s="25" t="str">
        <f t="shared" si="2"/>
        <v>↑ GI AI BR CVR</v>
      </c>
      <c r="L5" s="25" t="str">
        <f t="shared" si="3"/>
        <v>GI+400 / AI+100 / BR+0.01 / CVR+0.000</v>
      </c>
    </row>
    <row r="6">
      <c r="A6" s="14" t="s">
        <v>412</v>
      </c>
      <c r="B6" s="14" t="s">
        <v>927</v>
      </c>
      <c r="C6" s="14" t="str">
        <f t="shared" si="1"/>
        <v>C04｜競合UX改善で離脱増加</v>
      </c>
      <c r="D6" s="14">
        <v>-200.0</v>
      </c>
      <c r="E6" s="14">
        <v>-30.0</v>
      </c>
      <c r="F6" s="14">
        <v>0.02</v>
      </c>
      <c r="G6" s="14">
        <v>-0.01</v>
      </c>
      <c r="H6" s="14">
        <v>-5.0E-4</v>
      </c>
      <c r="I6" s="14">
        <v>0.0</v>
      </c>
      <c r="J6" s="14">
        <v>0.0</v>
      </c>
      <c r="K6" s="25" t="str">
        <f t="shared" si="2"/>
        <v>↓ GI AI BO BR CVR</v>
      </c>
      <c r="L6" s="25" t="str">
        <f t="shared" si="3"/>
        <v>GI-200 / AI-30 / BO+0.02 / BR-0.01 / CVR-0.001</v>
      </c>
    </row>
    <row r="7">
      <c r="A7" s="14" t="s">
        <v>928</v>
      </c>
      <c r="B7" s="14" t="s">
        <v>929</v>
      </c>
      <c r="C7" s="14" t="str">
        <f t="shared" si="1"/>
        <v>C05｜自社CRM強化でリピート増</v>
      </c>
      <c r="D7" s="14">
        <v>400.0</v>
      </c>
      <c r="E7" s="14">
        <v>100.0</v>
      </c>
      <c r="F7" s="14">
        <v>0.0</v>
      </c>
      <c r="G7" s="14">
        <v>0.02</v>
      </c>
      <c r="H7" s="14">
        <v>5.0E-4</v>
      </c>
      <c r="I7" s="14">
        <v>200.0</v>
      </c>
      <c r="J7" s="14">
        <v>0.0</v>
      </c>
      <c r="K7" s="25" t="str">
        <f t="shared" si="2"/>
        <v>↑ GI AI BR CVR AOV</v>
      </c>
      <c r="L7" s="25" t="str">
        <f t="shared" si="3"/>
        <v>GI+400 / AI+100 / BR+0.02 / CVR+0.001 / AOV+200</v>
      </c>
    </row>
    <row r="8">
      <c r="A8" s="14" t="s">
        <v>930</v>
      </c>
      <c r="B8" s="14" t="s">
        <v>931</v>
      </c>
      <c r="C8" s="14" t="str">
        <f t="shared" si="1"/>
        <v>C06｜競合の囲い込みで流入減</v>
      </c>
      <c r="D8" s="14">
        <v>-500.0</v>
      </c>
      <c r="E8" s="14">
        <v>-200.0</v>
      </c>
      <c r="F8" s="14">
        <v>0.0</v>
      </c>
      <c r="G8" s="14">
        <v>0.0</v>
      </c>
      <c r="H8" s="14">
        <v>-5.0E-4</v>
      </c>
      <c r="I8" s="14">
        <v>0.0</v>
      </c>
      <c r="J8" s="14">
        <v>0.0</v>
      </c>
      <c r="K8" s="25" t="str">
        <f t="shared" si="2"/>
        <v>↓ GI AI CVR</v>
      </c>
      <c r="L8" s="25" t="str">
        <f t="shared" si="3"/>
        <v>GI-500 / AI-200 / CVR-0.001</v>
      </c>
    </row>
    <row r="9">
      <c r="A9" s="14" t="s">
        <v>932</v>
      </c>
      <c r="B9" s="14" t="s">
        <v>933</v>
      </c>
      <c r="C9" s="14" t="str">
        <f t="shared" si="1"/>
        <v>C07｜自社コンテンツ改善で回遊増</v>
      </c>
      <c r="D9" s="14">
        <v>300.0</v>
      </c>
      <c r="E9" s="14">
        <v>0.0</v>
      </c>
      <c r="F9" s="14">
        <v>0.0</v>
      </c>
      <c r="G9" s="14">
        <v>0.03</v>
      </c>
      <c r="H9" s="14">
        <v>3.0E-4</v>
      </c>
      <c r="I9" s="14">
        <v>0.0</v>
      </c>
      <c r="J9" s="14">
        <v>0.0</v>
      </c>
      <c r="K9" s="25" t="str">
        <f t="shared" si="2"/>
        <v>↑ GI BR CVR</v>
      </c>
      <c r="L9" s="25" t="str">
        <f t="shared" si="3"/>
        <v>GI+300 / BR+0.03 / CVR+0.000</v>
      </c>
    </row>
    <row r="10">
      <c r="A10" s="14" t="s">
        <v>934</v>
      </c>
      <c r="B10" s="14" t="s">
        <v>935</v>
      </c>
      <c r="C10" s="14" t="str">
        <f t="shared" si="1"/>
        <v>C08｜競合最適化でCPC上昇</v>
      </c>
      <c r="D10" s="14">
        <v>0.0</v>
      </c>
      <c r="E10" s="14">
        <v>-300.0</v>
      </c>
      <c r="F10" s="14">
        <v>0.0</v>
      </c>
      <c r="G10" s="14">
        <v>0.0</v>
      </c>
      <c r="H10" s="14">
        <v>0.0</v>
      </c>
      <c r="I10" s="14">
        <v>0.0</v>
      </c>
      <c r="J10" s="14">
        <v>10.0</v>
      </c>
      <c r="K10" s="25" t="str">
        <f t="shared" si="2"/>
        <v>↓ AI CPC</v>
      </c>
      <c r="L10" s="25" t="str">
        <f t="shared" si="3"/>
        <v>AI-300 / CPC+10</v>
      </c>
    </row>
    <row r="11">
      <c r="A11" s="14" t="s">
        <v>936</v>
      </c>
      <c r="B11" s="14" t="s">
        <v>937</v>
      </c>
      <c r="C11" s="14" t="str">
        <f t="shared" si="1"/>
        <v>C09｜価格戦略成功でAOV上昇</v>
      </c>
      <c r="D11" s="14">
        <v>200.0</v>
      </c>
      <c r="E11" s="14">
        <v>0.0</v>
      </c>
      <c r="F11" s="14">
        <v>0.0</v>
      </c>
      <c r="G11" s="14">
        <v>0.0</v>
      </c>
      <c r="H11" s="14">
        <v>5.0E-4</v>
      </c>
      <c r="I11" s="14">
        <v>300.0</v>
      </c>
      <c r="J11" s="14">
        <v>0.0</v>
      </c>
      <c r="K11" s="25" t="str">
        <f t="shared" si="2"/>
        <v>↑ GI CVR AOV</v>
      </c>
      <c r="L11" s="25" t="str">
        <f t="shared" si="3"/>
        <v>GI+200 / CVR+0.001 / AOV+300</v>
      </c>
    </row>
    <row r="12">
      <c r="A12" s="14" t="s">
        <v>938</v>
      </c>
      <c r="B12" s="14" t="s">
        <v>939</v>
      </c>
      <c r="C12" s="14" t="str">
        <f t="shared" si="1"/>
        <v>C10｜競合在庫不足で流入増</v>
      </c>
      <c r="D12" s="14">
        <v>800.0</v>
      </c>
      <c r="E12" s="14">
        <v>200.0</v>
      </c>
      <c r="F12" s="14">
        <v>0.0</v>
      </c>
      <c r="G12" s="14">
        <v>0.005</v>
      </c>
      <c r="H12" s="14">
        <v>3.0E-4</v>
      </c>
      <c r="I12" s="14">
        <v>0.0</v>
      </c>
      <c r="J12" s="14">
        <v>0.0</v>
      </c>
      <c r="K12" s="25" t="str">
        <f t="shared" si="2"/>
        <v>↑ GI AI BR CVR</v>
      </c>
      <c r="L12" s="25" t="str">
        <f t="shared" si="3"/>
        <v>GI+800 / AI+200 / BR+0.01 / CVR+0.000</v>
      </c>
    </row>
    <row r="13">
      <c r="A13" s="14" t="s">
        <v>940</v>
      </c>
      <c r="B13" s="14" t="s">
        <v>941</v>
      </c>
      <c r="C13" s="14" t="str">
        <f t="shared" si="1"/>
        <v>C11｜顧客の比較検討期間が長期化</v>
      </c>
      <c r="D13" s="14">
        <v>0.0</v>
      </c>
      <c r="E13" s="14">
        <v>0.0</v>
      </c>
      <c r="F13" s="14">
        <v>0.0</v>
      </c>
      <c r="G13" s="14">
        <v>0.03</v>
      </c>
      <c r="H13" s="14">
        <v>-3.0E-4</v>
      </c>
      <c r="I13" s="14">
        <v>0.0</v>
      </c>
      <c r="J13" s="14">
        <v>0.0</v>
      </c>
      <c r="K13" s="25" t="str">
        <f t="shared" si="2"/>
        <v>↓ CVR
↑ BR</v>
      </c>
      <c r="L13" s="25" t="str">
        <f t="shared" si="3"/>
        <v>BR+0.03 / CVR-0.000</v>
      </c>
    </row>
    <row r="14">
      <c r="A14" s="14" t="s">
        <v>942</v>
      </c>
      <c r="B14" s="14" t="s">
        <v>943</v>
      </c>
      <c r="C14" s="14" t="str">
        <f t="shared" si="1"/>
        <v>C12｜顧客のレビュー依存が強まる</v>
      </c>
      <c r="D14" s="14">
        <v>200.0</v>
      </c>
      <c r="E14" s="14">
        <v>0.0</v>
      </c>
      <c r="F14" s="14">
        <v>0.0</v>
      </c>
      <c r="G14" s="14">
        <v>0.02</v>
      </c>
      <c r="H14" s="14">
        <v>-1.0E-4</v>
      </c>
      <c r="I14" s="14">
        <v>0.0</v>
      </c>
      <c r="J14" s="14">
        <v>0.0</v>
      </c>
      <c r="K14" s="25" t="str">
        <f t="shared" si="2"/>
        <v>↓ CVR
↑ GI BR</v>
      </c>
      <c r="L14" s="25" t="str">
        <f t="shared" si="3"/>
        <v>GI+200 / BR+0.02 / CVR-0.000</v>
      </c>
    </row>
    <row r="15">
      <c r="A15" s="14" t="s">
        <v>944</v>
      </c>
      <c r="B15" s="14" t="s">
        <v>945</v>
      </c>
      <c r="C15" s="14" t="str">
        <f t="shared" si="1"/>
        <v>C13｜顧客のスマホ利用がさらに加速</v>
      </c>
      <c r="D15" s="14">
        <v>300.0</v>
      </c>
      <c r="E15" s="14">
        <v>100.0</v>
      </c>
      <c r="F15" s="14">
        <v>0.01</v>
      </c>
      <c r="G15" s="14">
        <v>-0.01</v>
      </c>
      <c r="H15" s="14">
        <v>1.0E-4</v>
      </c>
      <c r="I15" s="14">
        <v>0.0</v>
      </c>
      <c r="J15" s="14">
        <v>0.0</v>
      </c>
      <c r="K15" s="25" t="str">
        <f t="shared" si="2"/>
        <v>↓ BO BR
↑ GI AI CVR</v>
      </c>
      <c r="L15" s="25" t="str">
        <f t="shared" si="3"/>
        <v>GI+300 / AI+100 / BO+0.01 / BR-0.01 / CVR+0.000</v>
      </c>
    </row>
    <row r="16">
      <c r="A16" s="14" t="s">
        <v>946</v>
      </c>
      <c r="B16" s="14" t="s">
        <v>947</v>
      </c>
      <c r="C16" s="14" t="str">
        <f t="shared" si="1"/>
        <v>C14｜顧客の価格感度が急上昇</v>
      </c>
      <c r="D16" s="14">
        <v>0.0</v>
      </c>
      <c r="E16" s="14">
        <v>0.0</v>
      </c>
      <c r="F16" s="14">
        <v>0.01</v>
      </c>
      <c r="G16" s="14">
        <v>0.0</v>
      </c>
      <c r="H16" s="14">
        <v>-3.0E-4</v>
      </c>
      <c r="I16" s="14">
        <v>-200.0</v>
      </c>
      <c r="J16" s="14">
        <v>0.0</v>
      </c>
      <c r="K16" s="25" t="str">
        <f t="shared" si="2"/>
        <v>↓ BO CVR AOV</v>
      </c>
      <c r="L16" s="25" t="str">
        <f t="shared" si="3"/>
        <v>BO+0.01 / CVR-0.000 / AOV-200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9.5"/>
    <col customWidth="1" min="2" max="2" width="3.88"/>
    <col customWidth="1" min="3" max="3" width="11.5"/>
    <col customWidth="1" min="5" max="5" width="15.25"/>
  </cols>
  <sheetData>
    <row r="1">
      <c r="A1" s="33" t="s">
        <v>101</v>
      </c>
      <c r="B1" s="33" t="s">
        <v>102</v>
      </c>
      <c r="C1" s="33" t="s">
        <v>948</v>
      </c>
      <c r="D1" s="33" t="s">
        <v>949</v>
      </c>
      <c r="E1" s="33" t="s">
        <v>950</v>
      </c>
      <c r="F1" s="38"/>
      <c r="G1" s="38"/>
      <c r="H1" s="38"/>
      <c r="I1" s="38"/>
      <c r="J1" s="33"/>
      <c r="K1" s="33"/>
      <c r="L1" s="38"/>
      <c r="M1" s="39"/>
      <c r="N1" s="39"/>
      <c r="O1" s="39"/>
      <c r="P1" s="39"/>
      <c r="Q1" s="39"/>
      <c r="R1" s="39"/>
      <c r="S1" s="39"/>
      <c r="T1" s="39"/>
      <c r="U1" s="39"/>
      <c r="V1" s="39"/>
      <c r="W1" s="39"/>
      <c r="X1" s="39"/>
      <c r="Y1" s="39"/>
      <c r="Z1" s="39"/>
    </row>
    <row r="2">
      <c r="A2" s="33" t="s">
        <v>50</v>
      </c>
      <c r="B2" s="33">
        <v>0.0</v>
      </c>
      <c r="C2" s="33" t="s">
        <v>401</v>
      </c>
      <c r="D2" s="33" t="s">
        <v>402</v>
      </c>
      <c r="E2" s="38" t="str">
        <f t="array" ref="E2:E100">IF(A2:A100="","",A2:A100&amp;"_T"&amp;TEXT(B2:B100,"00"))</f>
        <v>SCN01_T00</v>
      </c>
      <c r="F2" s="38"/>
      <c r="G2" s="38"/>
      <c r="H2" s="38"/>
      <c r="I2" s="38"/>
      <c r="J2" s="33"/>
      <c r="K2" s="33"/>
      <c r="L2" s="39"/>
      <c r="M2" s="39"/>
      <c r="N2" s="39"/>
      <c r="O2" s="39"/>
      <c r="P2" s="39"/>
      <c r="Q2" s="39"/>
      <c r="R2" s="39"/>
      <c r="S2" s="39"/>
      <c r="T2" s="39"/>
      <c r="U2" s="39"/>
      <c r="V2" s="39"/>
      <c r="W2" s="39"/>
      <c r="X2" s="39"/>
      <c r="Y2" s="39"/>
      <c r="Z2" s="39"/>
    </row>
    <row r="3">
      <c r="A3" s="33" t="s">
        <v>50</v>
      </c>
      <c r="B3" s="33">
        <v>1.0</v>
      </c>
      <c r="C3" s="33" t="s">
        <v>405</v>
      </c>
      <c r="D3" s="33" t="s">
        <v>406</v>
      </c>
      <c r="E3" s="38" t="s">
        <v>452</v>
      </c>
      <c r="F3" s="38"/>
      <c r="G3" s="38"/>
      <c r="H3" s="38"/>
      <c r="I3" s="38"/>
      <c r="J3" s="33"/>
      <c r="K3" s="33"/>
      <c r="L3" s="39"/>
      <c r="M3" s="39"/>
      <c r="N3" s="39"/>
      <c r="O3" s="39"/>
      <c r="P3" s="39"/>
      <c r="Q3" s="39"/>
      <c r="R3" s="39"/>
      <c r="S3" s="39"/>
      <c r="T3" s="39"/>
      <c r="U3" s="39"/>
      <c r="V3" s="39"/>
      <c r="W3" s="39"/>
      <c r="X3" s="39"/>
      <c r="Y3" s="39"/>
      <c r="Z3" s="39"/>
    </row>
    <row r="4">
      <c r="A4" s="33" t="s">
        <v>50</v>
      </c>
      <c r="B4" s="33">
        <v>2.0</v>
      </c>
      <c r="C4" s="33" t="s">
        <v>405</v>
      </c>
      <c r="D4" s="33" t="s">
        <v>408</v>
      </c>
      <c r="E4" s="38" t="s">
        <v>455</v>
      </c>
      <c r="F4" s="38"/>
      <c r="G4" s="38"/>
      <c r="H4" s="38"/>
      <c r="I4" s="38"/>
      <c r="J4" s="33"/>
      <c r="K4" s="33"/>
      <c r="L4" s="39"/>
      <c r="M4" s="39"/>
      <c r="N4" s="39"/>
      <c r="O4" s="39"/>
      <c r="P4" s="39"/>
      <c r="Q4" s="39"/>
      <c r="R4" s="39"/>
      <c r="S4" s="39"/>
      <c r="T4" s="39"/>
      <c r="U4" s="39"/>
      <c r="V4" s="39"/>
      <c r="W4" s="39"/>
      <c r="X4" s="39"/>
      <c r="Y4" s="39"/>
      <c r="Z4" s="39"/>
    </row>
    <row r="5">
      <c r="A5" s="33" t="s">
        <v>50</v>
      </c>
      <c r="B5" s="33">
        <v>3.0</v>
      </c>
      <c r="C5" s="33" t="s">
        <v>410</v>
      </c>
      <c r="D5" s="33" t="s">
        <v>408</v>
      </c>
      <c r="E5" s="38" t="s">
        <v>456</v>
      </c>
      <c r="F5" s="38"/>
      <c r="G5" s="38"/>
      <c r="H5" s="38"/>
      <c r="I5" s="38"/>
      <c r="J5" s="33"/>
      <c r="K5" s="33"/>
      <c r="L5" s="39"/>
      <c r="M5" s="39"/>
      <c r="N5" s="39"/>
      <c r="O5" s="39"/>
      <c r="P5" s="39"/>
      <c r="Q5" s="39"/>
      <c r="R5" s="39"/>
      <c r="S5" s="39"/>
      <c r="T5" s="39"/>
      <c r="U5" s="39"/>
      <c r="V5" s="39"/>
      <c r="W5" s="39"/>
      <c r="X5" s="39"/>
      <c r="Y5" s="39"/>
      <c r="Z5" s="39"/>
    </row>
    <row r="6">
      <c r="A6" s="33" t="s">
        <v>50</v>
      </c>
      <c r="B6" s="33">
        <v>4.0</v>
      </c>
      <c r="C6" s="33" t="s">
        <v>410</v>
      </c>
      <c r="D6" s="33" t="s">
        <v>412</v>
      </c>
      <c r="E6" s="38" t="s">
        <v>459</v>
      </c>
      <c r="F6" s="38"/>
      <c r="G6" s="38"/>
      <c r="H6" s="38"/>
      <c r="I6" s="38"/>
      <c r="J6" s="33"/>
      <c r="K6" s="33"/>
      <c r="L6" s="39"/>
      <c r="M6" s="39"/>
      <c r="N6" s="39"/>
      <c r="O6" s="39"/>
      <c r="P6" s="39"/>
      <c r="Q6" s="39"/>
      <c r="R6" s="39"/>
      <c r="S6" s="39"/>
      <c r="T6" s="39"/>
      <c r="U6" s="39"/>
      <c r="V6" s="39"/>
      <c r="W6" s="39"/>
      <c r="X6" s="39"/>
      <c r="Y6" s="39"/>
      <c r="Z6" s="39"/>
    </row>
    <row r="7">
      <c r="A7" s="14" t="s">
        <v>50</v>
      </c>
      <c r="B7" s="14">
        <v>5.0</v>
      </c>
      <c r="C7" s="14" t="s">
        <v>414</v>
      </c>
      <c r="D7" s="14" t="s">
        <v>412</v>
      </c>
      <c r="E7" s="38" t="s">
        <v>460</v>
      </c>
    </row>
    <row r="8">
      <c r="A8" s="14" t="s">
        <v>50</v>
      </c>
      <c r="B8" s="14">
        <v>6.0</v>
      </c>
      <c r="C8" s="14" t="s">
        <v>414</v>
      </c>
      <c r="D8" s="14" t="s">
        <v>412</v>
      </c>
      <c r="E8" s="38" t="s">
        <v>461</v>
      </c>
    </row>
    <row r="9">
      <c r="A9" s="14" t="s">
        <v>418</v>
      </c>
      <c r="B9" s="14">
        <v>0.0</v>
      </c>
      <c r="C9" s="14" t="s">
        <v>401</v>
      </c>
      <c r="D9" s="14" t="s">
        <v>402</v>
      </c>
      <c r="E9" s="38" t="s">
        <v>951</v>
      </c>
    </row>
    <row r="10">
      <c r="A10" s="14" t="s">
        <v>418</v>
      </c>
      <c r="B10" s="14">
        <v>1.0</v>
      </c>
      <c r="C10" s="14" t="s">
        <v>405</v>
      </c>
      <c r="D10" s="14" t="s">
        <v>406</v>
      </c>
      <c r="E10" s="38" t="s">
        <v>416</v>
      </c>
    </row>
    <row r="11">
      <c r="A11" s="14" t="s">
        <v>418</v>
      </c>
      <c r="B11" s="14">
        <v>2.0</v>
      </c>
      <c r="C11" s="14" t="s">
        <v>421</v>
      </c>
      <c r="D11" s="14" t="s">
        <v>422</v>
      </c>
      <c r="E11" s="38" t="s">
        <v>420</v>
      </c>
    </row>
    <row r="12">
      <c r="A12" s="14" t="s">
        <v>418</v>
      </c>
      <c r="B12" s="14">
        <v>3.0</v>
      </c>
      <c r="C12" s="14" t="s">
        <v>421</v>
      </c>
      <c r="D12" s="14" t="s">
        <v>422</v>
      </c>
      <c r="E12" s="38" t="s">
        <v>423</v>
      </c>
    </row>
    <row r="13">
      <c r="A13" s="14" t="s">
        <v>418</v>
      </c>
      <c r="B13" s="14">
        <v>4.0</v>
      </c>
      <c r="C13" s="14" t="s">
        <v>414</v>
      </c>
      <c r="D13" s="14" t="s">
        <v>412</v>
      </c>
      <c r="E13" s="38" t="s">
        <v>424</v>
      </c>
    </row>
    <row r="14">
      <c r="A14" s="14" t="s">
        <v>418</v>
      </c>
      <c r="B14" s="14">
        <v>5.0</v>
      </c>
      <c r="C14" s="14" t="s">
        <v>414</v>
      </c>
      <c r="D14" s="14" t="s">
        <v>412</v>
      </c>
      <c r="E14" s="38" t="s">
        <v>425</v>
      </c>
    </row>
    <row r="15">
      <c r="A15" s="14" t="s">
        <v>418</v>
      </c>
      <c r="B15" s="14">
        <v>6.0</v>
      </c>
      <c r="C15" s="14" t="s">
        <v>414</v>
      </c>
      <c r="D15" s="14" t="s">
        <v>412</v>
      </c>
      <c r="E15" s="38" t="s">
        <v>426</v>
      </c>
    </row>
    <row r="16">
      <c r="A16" s="14" t="s">
        <v>111</v>
      </c>
      <c r="B16" s="14">
        <v>0.0</v>
      </c>
      <c r="C16" s="14" t="s">
        <v>401</v>
      </c>
      <c r="D16" s="14" t="s">
        <v>402</v>
      </c>
      <c r="E16" s="38" t="s">
        <v>952</v>
      </c>
    </row>
    <row r="17">
      <c r="A17" s="14" t="s">
        <v>111</v>
      </c>
      <c r="B17" s="14">
        <v>1.0</v>
      </c>
      <c r="C17" s="14" t="s">
        <v>410</v>
      </c>
      <c r="D17" s="14" t="s">
        <v>408</v>
      </c>
      <c r="E17" s="38" t="s">
        <v>427</v>
      </c>
    </row>
    <row r="18">
      <c r="A18" s="14" t="s">
        <v>111</v>
      </c>
      <c r="B18" s="14">
        <v>2.0</v>
      </c>
      <c r="C18" s="14" t="s">
        <v>410</v>
      </c>
      <c r="D18" s="14" t="s">
        <v>408</v>
      </c>
      <c r="E18" s="38" t="s">
        <v>428</v>
      </c>
    </row>
    <row r="19">
      <c r="A19" s="14" t="s">
        <v>111</v>
      </c>
      <c r="B19" s="14">
        <v>3.0</v>
      </c>
      <c r="C19" s="14" t="s">
        <v>405</v>
      </c>
      <c r="D19" s="14" t="s">
        <v>408</v>
      </c>
      <c r="E19" s="38" t="s">
        <v>429</v>
      </c>
    </row>
    <row r="20">
      <c r="A20" s="14" t="s">
        <v>111</v>
      </c>
      <c r="B20" s="14">
        <v>4.0</v>
      </c>
      <c r="C20" s="14" t="s">
        <v>405</v>
      </c>
      <c r="D20" s="14" t="s">
        <v>412</v>
      </c>
      <c r="E20" s="38" t="s">
        <v>430</v>
      </c>
    </row>
    <row r="21">
      <c r="A21" s="14" t="s">
        <v>111</v>
      </c>
      <c r="B21" s="14">
        <v>5.0</v>
      </c>
      <c r="C21" s="14" t="s">
        <v>410</v>
      </c>
      <c r="D21" s="14" t="s">
        <v>412</v>
      </c>
      <c r="E21" s="38" t="s">
        <v>431</v>
      </c>
    </row>
    <row r="22">
      <c r="A22" s="14" t="s">
        <v>111</v>
      </c>
      <c r="B22" s="14">
        <v>6.0</v>
      </c>
      <c r="C22" s="14" t="s">
        <v>410</v>
      </c>
      <c r="D22" s="14" t="s">
        <v>412</v>
      </c>
      <c r="E22" s="38" t="s">
        <v>432</v>
      </c>
    </row>
    <row r="23">
      <c r="A23" s="14" t="s">
        <v>116</v>
      </c>
      <c r="B23" s="14">
        <v>0.0</v>
      </c>
      <c r="C23" s="14" t="s">
        <v>401</v>
      </c>
      <c r="D23" s="14" t="s">
        <v>402</v>
      </c>
      <c r="E23" s="38" t="s">
        <v>953</v>
      </c>
    </row>
    <row r="24">
      <c r="A24" s="14" t="s">
        <v>116</v>
      </c>
      <c r="B24" s="14">
        <v>1.0</v>
      </c>
      <c r="C24" s="14" t="s">
        <v>414</v>
      </c>
      <c r="D24" s="14" t="s">
        <v>406</v>
      </c>
      <c r="E24" s="38" t="s">
        <v>433</v>
      </c>
    </row>
    <row r="25">
      <c r="A25" s="14" t="s">
        <v>116</v>
      </c>
      <c r="B25" s="14">
        <v>2.0</v>
      </c>
      <c r="C25" s="14" t="s">
        <v>414</v>
      </c>
      <c r="D25" s="14" t="s">
        <v>408</v>
      </c>
      <c r="E25" s="38" t="s">
        <v>439</v>
      </c>
    </row>
    <row r="26">
      <c r="A26" s="14" t="s">
        <v>116</v>
      </c>
      <c r="B26" s="14">
        <v>3.0</v>
      </c>
      <c r="C26" s="14" t="s">
        <v>421</v>
      </c>
      <c r="D26" s="14" t="s">
        <v>422</v>
      </c>
      <c r="E26" s="38" t="s">
        <v>442</v>
      </c>
    </row>
    <row r="27">
      <c r="A27" s="14" t="s">
        <v>116</v>
      </c>
      <c r="B27" s="14">
        <v>4.0</v>
      </c>
      <c r="C27" s="14" t="s">
        <v>414</v>
      </c>
      <c r="D27" s="14" t="s">
        <v>412</v>
      </c>
      <c r="E27" s="38" t="s">
        <v>447</v>
      </c>
    </row>
    <row r="28">
      <c r="A28" s="14" t="s">
        <v>116</v>
      </c>
      <c r="B28" s="14">
        <v>5.0</v>
      </c>
      <c r="C28" s="14" t="s">
        <v>421</v>
      </c>
      <c r="D28" s="14" t="s">
        <v>412</v>
      </c>
      <c r="E28" s="38" t="s">
        <v>450</v>
      </c>
    </row>
    <row r="29">
      <c r="A29" s="14" t="s">
        <v>116</v>
      </c>
      <c r="B29" s="14">
        <v>6.0</v>
      </c>
      <c r="C29" s="14" t="s">
        <v>421</v>
      </c>
      <c r="D29" s="14" t="s">
        <v>412</v>
      </c>
      <c r="E29" s="38" t="s">
        <v>451</v>
      </c>
    </row>
    <row r="30">
      <c r="A30" s="14" t="s">
        <v>954</v>
      </c>
      <c r="B30" s="14">
        <v>0.0</v>
      </c>
      <c r="C30" s="14" t="s">
        <v>401</v>
      </c>
      <c r="D30" s="14" t="s">
        <v>402</v>
      </c>
      <c r="E30" s="38" t="s">
        <v>955</v>
      </c>
    </row>
    <row r="31">
      <c r="A31" s="14" t="s">
        <v>954</v>
      </c>
      <c r="B31" s="14">
        <v>1.0</v>
      </c>
      <c r="C31" s="14" t="s">
        <v>414</v>
      </c>
      <c r="D31" s="14" t="s">
        <v>402</v>
      </c>
      <c r="E31" s="38" t="s">
        <v>956</v>
      </c>
    </row>
    <row r="32">
      <c r="A32" s="14" t="s">
        <v>954</v>
      </c>
      <c r="B32" s="14">
        <v>2.0</v>
      </c>
      <c r="C32" s="14" t="s">
        <v>414</v>
      </c>
      <c r="D32" s="14" t="s">
        <v>422</v>
      </c>
      <c r="E32" s="38" t="s">
        <v>957</v>
      </c>
    </row>
    <row r="33">
      <c r="A33" s="14" t="s">
        <v>954</v>
      </c>
      <c r="B33" s="14">
        <v>3.0</v>
      </c>
      <c r="C33" s="14" t="s">
        <v>421</v>
      </c>
      <c r="D33" s="14" t="s">
        <v>422</v>
      </c>
      <c r="E33" s="38" t="s">
        <v>958</v>
      </c>
    </row>
    <row r="34">
      <c r="A34" s="14" t="s">
        <v>954</v>
      </c>
      <c r="B34" s="14">
        <v>4.0</v>
      </c>
      <c r="C34" s="14" t="s">
        <v>414</v>
      </c>
      <c r="D34" s="14" t="s">
        <v>412</v>
      </c>
      <c r="E34" s="38" t="s">
        <v>959</v>
      </c>
    </row>
    <row r="35">
      <c r="A35" s="14" t="s">
        <v>954</v>
      </c>
      <c r="B35" s="14">
        <v>5.0</v>
      </c>
      <c r="C35" s="14" t="s">
        <v>414</v>
      </c>
      <c r="D35" s="14" t="s">
        <v>412</v>
      </c>
      <c r="E35" s="38" t="s">
        <v>960</v>
      </c>
    </row>
    <row r="36">
      <c r="A36" s="14" t="s">
        <v>954</v>
      </c>
      <c r="B36" s="14">
        <v>6.0</v>
      </c>
      <c r="C36" s="14" t="s">
        <v>414</v>
      </c>
      <c r="D36" s="14" t="s">
        <v>412</v>
      </c>
      <c r="E36" s="38" t="s">
        <v>961</v>
      </c>
    </row>
    <row r="37">
      <c r="E37" s="25" t="s">
        <v>962</v>
      </c>
    </row>
    <row r="38">
      <c r="E38" s="25" t="s">
        <v>962</v>
      </c>
    </row>
    <row r="39">
      <c r="E39" s="25" t="s">
        <v>962</v>
      </c>
    </row>
    <row r="40">
      <c r="E40" s="25" t="s">
        <v>962</v>
      </c>
    </row>
    <row r="41">
      <c r="E41" s="25" t="s">
        <v>962</v>
      </c>
    </row>
    <row r="42">
      <c r="E42" s="25" t="s">
        <v>962</v>
      </c>
    </row>
    <row r="43">
      <c r="E43" s="25" t="s">
        <v>962</v>
      </c>
    </row>
    <row r="44">
      <c r="E44" s="25" t="s">
        <v>962</v>
      </c>
    </row>
    <row r="45">
      <c r="E45" s="25" t="s">
        <v>962</v>
      </c>
    </row>
    <row r="46">
      <c r="E46" s="25" t="s">
        <v>962</v>
      </c>
    </row>
    <row r="47">
      <c r="E47" s="25" t="s">
        <v>962</v>
      </c>
    </row>
    <row r="48">
      <c r="E48" s="25" t="s">
        <v>962</v>
      </c>
    </row>
    <row r="49">
      <c r="E49" s="25" t="s">
        <v>962</v>
      </c>
    </row>
    <row r="50">
      <c r="E50" s="25" t="s">
        <v>962</v>
      </c>
    </row>
    <row r="51">
      <c r="E51" s="25" t="s">
        <v>962</v>
      </c>
    </row>
    <row r="52">
      <c r="E52" s="25" t="s">
        <v>962</v>
      </c>
    </row>
    <row r="53">
      <c r="E53" s="25" t="s">
        <v>962</v>
      </c>
    </row>
    <row r="54">
      <c r="E54" s="25" t="s">
        <v>962</v>
      </c>
    </row>
    <row r="55">
      <c r="E55" s="25" t="s">
        <v>962</v>
      </c>
    </row>
    <row r="56">
      <c r="E56" s="25" t="s">
        <v>962</v>
      </c>
    </row>
    <row r="57">
      <c r="E57" s="25" t="s">
        <v>962</v>
      </c>
    </row>
    <row r="58">
      <c r="E58" s="25" t="s">
        <v>962</v>
      </c>
    </row>
    <row r="59">
      <c r="E59" s="25" t="s">
        <v>962</v>
      </c>
    </row>
    <row r="60">
      <c r="E60" s="25" t="s">
        <v>962</v>
      </c>
    </row>
    <row r="61">
      <c r="E61" s="25" t="s">
        <v>962</v>
      </c>
    </row>
    <row r="62">
      <c r="E62" s="25" t="s">
        <v>962</v>
      </c>
    </row>
    <row r="63">
      <c r="E63" s="25" t="s">
        <v>962</v>
      </c>
    </row>
    <row r="64">
      <c r="E64" s="25" t="s">
        <v>962</v>
      </c>
    </row>
    <row r="65">
      <c r="E65" s="25" t="s">
        <v>962</v>
      </c>
    </row>
    <row r="66">
      <c r="E66" s="25" t="s">
        <v>962</v>
      </c>
    </row>
    <row r="67">
      <c r="E67" s="25" t="s">
        <v>962</v>
      </c>
    </row>
    <row r="68">
      <c r="E68" s="25" t="s">
        <v>962</v>
      </c>
    </row>
    <row r="69">
      <c r="E69" s="25" t="s">
        <v>962</v>
      </c>
    </row>
    <row r="70">
      <c r="E70" s="25" t="s">
        <v>962</v>
      </c>
    </row>
    <row r="71">
      <c r="E71" s="25" t="s">
        <v>962</v>
      </c>
    </row>
    <row r="72">
      <c r="E72" s="25" t="s">
        <v>962</v>
      </c>
    </row>
    <row r="73">
      <c r="E73" s="25" t="s">
        <v>962</v>
      </c>
    </row>
    <row r="74">
      <c r="E74" s="25" t="s">
        <v>962</v>
      </c>
    </row>
    <row r="75">
      <c r="E75" s="25" t="s">
        <v>962</v>
      </c>
    </row>
    <row r="76">
      <c r="E76" s="25" t="s">
        <v>962</v>
      </c>
    </row>
    <row r="77">
      <c r="E77" s="25" t="s">
        <v>962</v>
      </c>
    </row>
    <row r="78">
      <c r="E78" s="25" t="s">
        <v>962</v>
      </c>
    </row>
    <row r="79">
      <c r="E79" s="25" t="s">
        <v>962</v>
      </c>
    </row>
    <row r="80">
      <c r="E80" s="25" t="s">
        <v>962</v>
      </c>
    </row>
    <row r="81">
      <c r="E81" s="25" t="s">
        <v>962</v>
      </c>
    </row>
    <row r="82">
      <c r="E82" s="25" t="s">
        <v>962</v>
      </c>
    </row>
    <row r="83">
      <c r="E83" s="25" t="s">
        <v>962</v>
      </c>
    </row>
    <row r="84">
      <c r="E84" s="25" t="s">
        <v>962</v>
      </c>
    </row>
    <row r="85">
      <c r="E85" s="25" t="s">
        <v>962</v>
      </c>
    </row>
    <row r="86">
      <c r="E86" s="25" t="s">
        <v>962</v>
      </c>
    </row>
    <row r="87">
      <c r="E87" s="25" t="s">
        <v>962</v>
      </c>
    </row>
    <row r="88">
      <c r="E88" s="25" t="s">
        <v>962</v>
      </c>
    </row>
    <row r="89">
      <c r="E89" s="25" t="s">
        <v>962</v>
      </c>
    </row>
    <row r="90">
      <c r="E90" s="25" t="s">
        <v>962</v>
      </c>
    </row>
    <row r="91">
      <c r="E91" s="25" t="s">
        <v>962</v>
      </c>
    </row>
    <row r="92">
      <c r="E92" s="25" t="s">
        <v>962</v>
      </c>
    </row>
    <row r="93">
      <c r="E93" s="25" t="s">
        <v>962</v>
      </c>
    </row>
    <row r="94">
      <c r="E94" s="25" t="s">
        <v>962</v>
      </c>
    </row>
    <row r="95">
      <c r="E95" s="25" t="s">
        <v>962</v>
      </c>
    </row>
    <row r="96">
      <c r="E96" s="25" t="s">
        <v>962</v>
      </c>
    </row>
    <row r="97">
      <c r="E97" s="25" t="s">
        <v>962</v>
      </c>
    </row>
    <row r="98">
      <c r="E98" s="25" t="s">
        <v>962</v>
      </c>
    </row>
    <row r="99">
      <c r="E99" s="25" t="s">
        <v>962</v>
      </c>
    </row>
    <row r="100">
      <c r="E100" s="25" t="s">
        <v>962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67.63"/>
    <col customWidth="1" min="5" max="5" width="34.75"/>
  </cols>
  <sheetData>
    <row r="1">
      <c r="A1" s="5" t="s">
        <v>101</v>
      </c>
      <c r="B1" s="5" t="s">
        <v>284</v>
      </c>
      <c r="C1" s="5" t="s">
        <v>963</v>
      </c>
      <c r="D1" s="5" t="s">
        <v>534</v>
      </c>
      <c r="E1" s="5" t="s">
        <v>964</v>
      </c>
      <c r="F1" s="5" t="s">
        <v>267</v>
      </c>
    </row>
    <row r="2">
      <c r="A2" s="14" t="s">
        <v>50</v>
      </c>
      <c r="B2" s="14" t="s">
        <v>295</v>
      </c>
      <c r="C2" s="14" t="s">
        <v>965</v>
      </c>
      <c r="D2" s="14" t="s">
        <v>296</v>
      </c>
      <c r="E2" s="14" t="s">
        <v>966</v>
      </c>
    </row>
    <row r="3">
      <c r="A3" s="14" t="s">
        <v>418</v>
      </c>
      <c r="B3" s="14" t="s">
        <v>967</v>
      </c>
      <c r="C3" s="14" t="s">
        <v>968</v>
      </c>
      <c r="D3" s="14" t="s">
        <v>313</v>
      </c>
      <c r="E3" s="14" t="s">
        <v>969</v>
      </c>
    </row>
    <row r="4">
      <c r="A4" s="14" t="s">
        <v>111</v>
      </c>
      <c r="B4" s="14" t="s">
        <v>970</v>
      </c>
      <c r="C4" s="14" t="s">
        <v>971</v>
      </c>
      <c r="D4" s="14" t="s">
        <v>972</v>
      </c>
      <c r="E4" s="14" t="s">
        <v>973</v>
      </c>
    </row>
    <row r="5">
      <c r="A5" s="14" t="s">
        <v>116</v>
      </c>
      <c r="B5" s="14" t="s">
        <v>438</v>
      </c>
      <c r="C5" s="14" t="s">
        <v>974</v>
      </c>
      <c r="D5" s="14" t="s">
        <v>975</v>
      </c>
      <c r="E5" s="14" t="s">
        <v>976</v>
      </c>
    </row>
    <row r="6">
      <c r="A6" s="14" t="s">
        <v>954</v>
      </c>
      <c r="B6" s="14" t="s">
        <v>977</v>
      </c>
      <c r="C6" s="14" t="s">
        <v>978</v>
      </c>
      <c r="D6" s="14" t="s">
        <v>299</v>
      </c>
      <c r="E6" s="14" t="s">
        <v>979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0"/>
    <col customWidth="1" min="2" max="2" width="24.38"/>
    <col customWidth="1" min="3" max="3" width="32.75"/>
    <col customWidth="1" min="12" max="12" width="39.88"/>
  </cols>
  <sheetData>
    <row r="1">
      <c r="A1" s="5" t="s">
        <v>128</v>
      </c>
      <c r="B1" s="5" t="s">
        <v>923</v>
      </c>
      <c r="C1" s="5" t="s">
        <v>397</v>
      </c>
      <c r="D1" s="5" t="s">
        <v>524</v>
      </c>
      <c r="E1" s="5" t="s">
        <v>525</v>
      </c>
      <c r="F1" s="5" t="s">
        <v>134</v>
      </c>
      <c r="G1" s="5" t="s">
        <v>135</v>
      </c>
      <c r="H1" s="5" t="s">
        <v>136</v>
      </c>
      <c r="I1" s="5" t="s">
        <v>137</v>
      </c>
      <c r="J1" s="5" t="s">
        <v>138</v>
      </c>
      <c r="K1" s="14" t="s">
        <v>594</v>
      </c>
      <c r="L1" s="14" t="s">
        <v>595</v>
      </c>
    </row>
    <row r="2">
      <c r="A2" s="14" t="s">
        <v>402</v>
      </c>
      <c r="B2" s="14" t="s">
        <v>906</v>
      </c>
      <c r="C2" s="14" t="str">
        <f t="shared" ref="C2:C16" si="1">A2&amp;"｜"&amp;B2</f>
        <v>C00｜指定なし</v>
      </c>
      <c r="D2" s="14">
        <v>0.0</v>
      </c>
      <c r="E2" s="14">
        <v>0.0</v>
      </c>
      <c r="F2" s="14">
        <v>0.0</v>
      </c>
      <c r="G2" s="14">
        <v>0.0</v>
      </c>
      <c r="H2" s="14">
        <v>0.0</v>
      </c>
      <c r="I2" s="14">
        <v>0.0</v>
      </c>
      <c r="J2" s="14">
        <v>0.0</v>
      </c>
      <c r="K2" s="25" t="str">
        <f t="shared" ref="K2:K16" si="2">TEXTJOIN(CHAR(10),TRUE,
 IF(
  TEXTJOIN(" ",TRUE,
   IF(D2&lt;0,"GI",""),
   IF(E2&lt;0,"AI",""),
   IF(F2&gt;0,"BO",""),
   IF(G2&lt;0,"BR",""),
   IF(H2&lt;0,"CVR",""),
   IF(I2&lt;0,"AOV",""),
   IF(J2&gt;0,"CPC","")
  )&lt;&gt;"",
  "↓ "&amp;TEXTJOIN(" ",TRUE,
   IF(D2&lt;0,"GI",""),
   IF(E2&lt;0,"AI",""),
   IF(F2&gt;0,"BO",""),
   IF(G2&lt;0,"BR",""),
   IF(H2&lt;0,"CVR",""),
   IF(I2&lt;0,"AOV",""),
   IF(J2&gt;0,"CPC","")
  ),
  ""
 ),
 IF(
  TEXTJOIN(" ",TRUE,
   IF(D2&gt;0,"GI",""),
   IF(E2&gt;0,"AI",""),
   IF(F2&lt;0,"BO",""),
   IF(G2&gt;0,"BR",""),
   IF(H2&gt;0,"CVR",""),
   IF(I2&gt;0,"AOV",""),
   IF(J2&lt;0,"CPC","")
  )&lt;&gt;"",
  "↑ "&amp;TEXTJOIN(" ",TRUE,
   IF(D2&gt;0,"GI",""),
   IF(E2&gt;0,"AI",""),
   IF(F2&lt;0,"BO",""),
   IF(G2&gt;0,"BR",""),
   IF(H2&gt;0,"CVR",""),
   IF(I2&gt;0,"AOV",""),
   IF(J2&lt;0,"CPC","")
  ),
  ""
 )
)</f>
        <v/>
      </c>
      <c r="L2" s="25" t="str">
        <f t="shared" ref="L2:L16" si="3">TEXTJOIN(" / ",TRUE,
 IF(D2&lt;&gt;0,"GI"&amp;TEXT(D2,"+0;-0"),""),
 IF(E2&lt;&gt;0,"AI"&amp;TEXT(E2,"+0;-0"),""),
 IF(F2&lt;&gt;0,"BO"&amp;TEXT(F2,"+0.00;-0.00"),""),
 IF(G2&lt;&gt;0,"BR"&amp;TEXT(G2,"+0.00;-0.00"),""),
 IF(H2&lt;&gt;0,"CVR"&amp;TEXT(H2,"+0.000;-0.000"),""),
 IF(I2&lt;&gt;0,"AOV"&amp;TEXT(I2,"+0;-0"),""),
 IF(J2&lt;&gt;0,"CPC"&amp;TEXT(J2,"+0;-0"),"")
)</f>
        <v/>
      </c>
    </row>
    <row r="3">
      <c r="A3" s="14" t="s">
        <v>406</v>
      </c>
      <c r="B3" s="14" t="s">
        <v>924</v>
      </c>
      <c r="C3" s="14" t="str">
        <f t="shared" si="1"/>
        <v>C01｜競合の広告強化でCPC上昇</v>
      </c>
      <c r="D3" s="14">
        <v>0.0</v>
      </c>
      <c r="E3" s="14">
        <v>-200.0</v>
      </c>
      <c r="F3" s="14">
        <v>0.0</v>
      </c>
      <c r="G3" s="14">
        <v>0.0</v>
      </c>
      <c r="H3" s="14">
        <v>0.0</v>
      </c>
      <c r="I3" s="14">
        <v>0.0</v>
      </c>
      <c r="J3" s="14">
        <v>5.0</v>
      </c>
      <c r="K3" s="25" t="str">
        <f t="shared" si="2"/>
        <v>↓ AI CPC</v>
      </c>
      <c r="L3" s="25" t="str">
        <f t="shared" si="3"/>
        <v>AI-200 / CPC+5</v>
      </c>
    </row>
    <row r="4">
      <c r="A4" s="14" t="s">
        <v>422</v>
      </c>
      <c r="B4" s="14" t="s">
        <v>925</v>
      </c>
      <c r="C4" s="14" t="str">
        <f t="shared" si="1"/>
        <v>C02｜競合の価格攻勢でCVR低下</v>
      </c>
      <c r="D4" s="14">
        <v>-300.0</v>
      </c>
      <c r="E4" s="14">
        <v>-100.0</v>
      </c>
      <c r="F4" s="14">
        <v>0.0</v>
      </c>
      <c r="G4" s="14">
        <v>0.0</v>
      </c>
      <c r="H4" s="14">
        <v>-0.001</v>
      </c>
      <c r="I4" s="14">
        <v>0.0</v>
      </c>
      <c r="J4" s="14">
        <v>0.0</v>
      </c>
      <c r="K4" s="25" t="str">
        <f t="shared" si="2"/>
        <v>↓ GI AI CVR</v>
      </c>
      <c r="L4" s="25" t="str">
        <f t="shared" si="3"/>
        <v>GI-300 / AI-100 / CVR-0.001</v>
      </c>
    </row>
    <row r="5">
      <c r="A5" s="14" t="s">
        <v>408</v>
      </c>
      <c r="B5" s="14" t="s">
        <v>926</v>
      </c>
      <c r="C5" s="14" t="str">
        <f t="shared" si="1"/>
        <v>C03｜自社ブランド向上でCVR改善</v>
      </c>
      <c r="D5" s="14">
        <v>400.0</v>
      </c>
      <c r="E5" s="14">
        <v>100.0</v>
      </c>
      <c r="F5" s="14">
        <v>0.0</v>
      </c>
      <c r="G5" s="14">
        <v>0.01</v>
      </c>
      <c r="H5" s="14">
        <v>3.0E-4</v>
      </c>
      <c r="I5" s="14">
        <v>0.0</v>
      </c>
      <c r="J5" s="14">
        <v>0.0</v>
      </c>
      <c r="K5" s="25" t="str">
        <f t="shared" si="2"/>
        <v>↑ GI AI BR CVR</v>
      </c>
      <c r="L5" s="25" t="str">
        <f t="shared" si="3"/>
        <v>GI+400 / AI+100 / BR+0.01 / CVR+0.000</v>
      </c>
    </row>
    <row r="6">
      <c r="A6" s="14" t="s">
        <v>412</v>
      </c>
      <c r="B6" s="14" t="s">
        <v>927</v>
      </c>
      <c r="C6" s="14" t="str">
        <f t="shared" si="1"/>
        <v>C04｜競合UX改善で離脱増加</v>
      </c>
      <c r="D6" s="14">
        <v>-200.0</v>
      </c>
      <c r="E6" s="14">
        <v>-30.0</v>
      </c>
      <c r="F6" s="14">
        <v>0.02</v>
      </c>
      <c r="G6" s="14">
        <v>-0.01</v>
      </c>
      <c r="H6" s="14">
        <v>-5.0E-4</v>
      </c>
      <c r="I6" s="14">
        <v>0.0</v>
      </c>
      <c r="J6" s="14">
        <v>0.0</v>
      </c>
      <c r="K6" s="25" t="str">
        <f t="shared" si="2"/>
        <v>↓ GI AI BO BR CVR</v>
      </c>
      <c r="L6" s="25" t="str">
        <f t="shared" si="3"/>
        <v>GI-200 / AI-30 / BO+0.02 / BR-0.01 / CVR-0.001</v>
      </c>
    </row>
    <row r="7">
      <c r="A7" s="14" t="s">
        <v>928</v>
      </c>
      <c r="B7" s="14" t="s">
        <v>929</v>
      </c>
      <c r="C7" s="14" t="str">
        <f t="shared" si="1"/>
        <v>C05｜自社CRM強化でリピート増</v>
      </c>
      <c r="D7" s="14">
        <v>400.0</v>
      </c>
      <c r="E7" s="14">
        <v>100.0</v>
      </c>
      <c r="F7" s="14">
        <v>0.0</v>
      </c>
      <c r="G7" s="14">
        <v>0.02</v>
      </c>
      <c r="H7" s="14">
        <v>5.0E-4</v>
      </c>
      <c r="I7" s="14">
        <v>200.0</v>
      </c>
      <c r="J7" s="14">
        <v>0.0</v>
      </c>
      <c r="K7" s="25" t="str">
        <f t="shared" si="2"/>
        <v>↑ GI AI BR CVR AOV</v>
      </c>
      <c r="L7" s="25" t="str">
        <f t="shared" si="3"/>
        <v>GI+400 / AI+100 / BR+0.02 / CVR+0.001 / AOV+200</v>
      </c>
    </row>
    <row r="8">
      <c r="A8" s="14" t="s">
        <v>930</v>
      </c>
      <c r="B8" s="14" t="s">
        <v>931</v>
      </c>
      <c r="C8" s="14" t="str">
        <f t="shared" si="1"/>
        <v>C06｜競合の囲い込みで流入減</v>
      </c>
      <c r="D8" s="14">
        <v>-500.0</v>
      </c>
      <c r="E8" s="14">
        <v>-200.0</v>
      </c>
      <c r="F8" s="14">
        <v>0.0</v>
      </c>
      <c r="G8" s="14">
        <v>0.0</v>
      </c>
      <c r="H8" s="14">
        <v>-5.0E-4</v>
      </c>
      <c r="I8" s="14">
        <v>0.0</v>
      </c>
      <c r="J8" s="14">
        <v>0.0</v>
      </c>
      <c r="K8" s="25" t="str">
        <f t="shared" si="2"/>
        <v>↓ GI AI CVR</v>
      </c>
      <c r="L8" s="25" t="str">
        <f t="shared" si="3"/>
        <v>GI-500 / AI-200 / CVR-0.001</v>
      </c>
    </row>
    <row r="9">
      <c r="A9" s="14" t="s">
        <v>932</v>
      </c>
      <c r="B9" s="14" t="s">
        <v>933</v>
      </c>
      <c r="C9" s="14" t="str">
        <f t="shared" si="1"/>
        <v>C07｜自社コンテンツ改善で回遊増</v>
      </c>
      <c r="D9" s="14">
        <v>300.0</v>
      </c>
      <c r="E9" s="14">
        <v>0.0</v>
      </c>
      <c r="F9" s="14">
        <v>0.0</v>
      </c>
      <c r="G9" s="14">
        <v>0.03</v>
      </c>
      <c r="H9" s="14">
        <v>3.0E-4</v>
      </c>
      <c r="I9" s="14">
        <v>0.0</v>
      </c>
      <c r="J9" s="14">
        <v>0.0</v>
      </c>
      <c r="K9" s="25" t="str">
        <f t="shared" si="2"/>
        <v>↑ GI BR CVR</v>
      </c>
      <c r="L9" s="25" t="str">
        <f t="shared" si="3"/>
        <v>GI+300 / BR+0.03 / CVR+0.000</v>
      </c>
    </row>
    <row r="10">
      <c r="A10" s="14" t="s">
        <v>934</v>
      </c>
      <c r="B10" s="14" t="s">
        <v>935</v>
      </c>
      <c r="C10" s="14" t="str">
        <f t="shared" si="1"/>
        <v>C08｜競合最適化でCPC上昇</v>
      </c>
      <c r="D10" s="14">
        <v>0.0</v>
      </c>
      <c r="E10" s="14">
        <v>-300.0</v>
      </c>
      <c r="F10" s="14">
        <v>0.0</v>
      </c>
      <c r="G10" s="14">
        <v>0.0</v>
      </c>
      <c r="H10" s="14">
        <v>0.0</v>
      </c>
      <c r="I10" s="14">
        <v>0.0</v>
      </c>
      <c r="J10" s="14">
        <v>10.0</v>
      </c>
      <c r="K10" s="25" t="str">
        <f t="shared" si="2"/>
        <v>↓ AI CPC</v>
      </c>
      <c r="L10" s="25" t="str">
        <f t="shared" si="3"/>
        <v>AI-300 / CPC+10</v>
      </c>
    </row>
    <row r="11">
      <c r="A11" s="14" t="s">
        <v>936</v>
      </c>
      <c r="B11" s="14" t="s">
        <v>937</v>
      </c>
      <c r="C11" s="14" t="str">
        <f t="shared" si="1"/>
        <v>C09｜価格戦略成功でAOV上昇</v>
      </c>
      <c r="D11" s="14">
        <v>200.0</v>
      </c>
      <c r="E11" s="14">
        <v>0.0</v>
      </c>
      <c r="F11" s="14">
        <v>0.0</v>
      </c>
      <c r="G11" s="14">
        <v>0.0</v>
      </c>
      <c r="H11" s="14">
        <v>5.0E-4</v>
      </c>
      <c r="I11" s="14">
        <v>300.0</v>
      </c>
      <c r="J11" s="14">
        <v>0.0</v>
      </c>
      <c r="K11" s="25" t="str">
        <f t="shared" si="2"/>
        <v>↑ GI CVR AOV</v>
      </c>
      <c r="L11" s="25" t="str">
        <f t="shared" si="3"/>
        <v>GI+200 / CVR+0.001 / AOV+300</v>
      </c>
    </row>
    <row r="12">
      <c r="A12" s="14" t="s">
        <v>938</v>
      </c>
      <c r="B12" s="14" t="s">
        <v>939</v>
      </c>
      <c r="C12" s="14" t="str">
        <f t="shared" si="1"/>
        <v>C10｜競合在庫不足で流入増</v>
      </c>
      <c r="D12" s="14">
        <v>800.0</v>
      </c>
      <c r="E12" s="14">
        <v>200.0</v>
      </c>
      <c r="F12" s="14">
        <v>0.0</v>
      </c>
      <c r="G12" s="14">
        <v>0.005</v>
      </c>
      <c r="H12" s="14">
        <v>3.0E-4</v>
      </c>
      <c r="I12" s="14">
        <v>0.0</v>
      </c>
      <c r="J12" s="14">
        <v>0.0</v>
      </c>
      <c r="K12" s="25" t="str">
        <f t="shared" si="2"/>
        <v>↑ GI AI BR CVR</v>
      </c>
      <c r="L12" s="25" t="str">
        <f t="shared" si="3"/>
        <v>GI+800 / AI+200 / BR+0.01 / CVR+0.000</v>
      </c>
    </row>
    <row r="13">
      <c r="A13" s="14" t="s">
        <v>940</v>
      </c>
      <c r="B13" s="14" t="s">
        <v>941</v>
      </c>
      <c r="C13" s="14" t="str">
        <f t="shared" si="1"/>
        <v>C11｜顧客の比較検討期間が長期化</v>
      </c>
      <c r="D13" s="14">
        <v>0.0</v>
      </c>
      <c r="E13" s="14">
        <v>0.0</v>
      </c>
      <c r="F13" s="14">
        <v>0.0</v>
      </c>
      <c r="G13" s="14">
        <v>0.03</v>
      </c>
      <c r="H13" s="14">
        <v>-3.0E-4</v>
      </c>
      <c r="I13" s="14">
        <v>0.0</v>
      </c>
      <c r="J13" s="14">
        <v>0.0</v>
      </c>
      <c r="K13" s="25" t="str">
        <f t="shared" si="2"/>
        <v>↓ CVR
↑ BR</v>
      </c>
      <c r="L13" s="25" t="str">
        <f t="shared" si="3"/>
        <v>BR+0.03 / CVR-0.000</v>
      </c>
    </row>
    <row r="14">
      <c r="A14" s="14" t="s">
        <v>942</v>
      </c>
      <c r="B14" s="14" t="s">
        <v>943</v>
      </c>
      <c r="C14" s="14" t="str">
        <f t="shared" si="1"/>
        <v>C12｜顧客のレビュー依存が強まる</v>
      </c>
      <c r="D14" s="14">
        <v>200.0</v>
      </c>
      <c r="E14" s="14">
        <v>0.0</v>
      </c>
      <c r="F14" s="14">
        <v>0.0</v>
      </c>
      <c r="G14" s="14">
        <v>0.02</v>
      </c>
      <c r="H14" s="14">
        <v>-1.0E-4</v>
      </c>
      <c r="I14" s="14">
        <v>0.0</v>
      </c>
      <c r="J14" s="14">
        <v>0.0</v>
      </c>
      <c r="K14" s="25" t="str">
        <f t="shared" si="2"/>
        <v>↓ CVR
↑ GI BR</v>
      </c>
      <c r="L14" s="25" t="str">
        <f t="shared" si="3"/>
        <v>GI+200 / BR+0.02 / CVR-0.000</v>
      </c>
    </row>
    <row r="15">
      <c r="A15" s="14" t="s">
        <v>944</v>
      </c>
      <c r="B15" s="14" t="s">
        <v>945</v>
      </c>
      <c r="C15" s="14" t="str">
        <f t="shared" si="1"/>
        <v>C13｜顧客のスマホ利用がさらに加速</v>
      </c>
      <c r="D15" s="14">
        <v>300.0</v>
      </c>
      <c r="E15" s="14">
        <v>100.0</v>
      </c>
      <c r="F15" s="14">
        <v>0.01</v>
      </c>
      <c r="G15" s="14">
        <v>-0.01</v>
      </c>
      <c r="H15" s="14">
        <v>1.0E-4</v>
      </c>
      <c r="I15" s="14">
        <v>0.0</v>
      </c>
      <c r="J15" s="14">
        <v>0.0</v>
      </c>
      <c r="K15" s="25" t="str">
        <f t="shared" si="2"/>
        <v>↓ BO BR
↑ GI AI CVR</v>
      </c>
      <c r="L15" s="25" t="str">
        <f t="shared" si="3"/>
        <v>GI+300 / AI+100 / BO+0.01 / BR-0.01 / CVR+0.000</v>
      </c>
    </row>
    <row r="16">
      <c r="A16" s="14" t="s">
        <v>946</v>
      </c>
      <c r="B16" s="14" t="s">
        <v>947</v>
      </c>
      <c r="C16" s="14" t="str">
        <f t="shared" si="1"/>
        <v>C14｜顧客の価格感度が急上昇</v>
      </c>
      <c r="D16" s="14">
        <v>0.0</v>
      </c>
      <c r="E16" s="14">
        <v>0.0</v>
      </c>
      <c r="F16" s="14">
        <v>0.01</v>
      </c>
      <c r="G16" s="14">
        <v>0.0</v>
      </c>
      <c r="H16" s="14">
        <v>-3.0E-4</v>
      </c>
      <c r="I16" s="14">
        <v>-200.0</v>
      </c>
      <c r="J16" s="14">
        <v>0.0</v>
      </c>
      <c r="K16" s="25" t="str">
        <f t="shared" si="2"/>
        <v>↓ BO CVR AOV</v>
      </c>
      <c r="L16" s="25" t="str">
        <f t="shared" si="3"/>
        <v>BO+0.01 / CVR-0.000 / AOV-200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9.38"/>
    <col customWidth="1" min="2" max="3" width="27.63"/>
    <col customWidth="1" min="12" max="12" width="52.5"/>
  </cols>
  <sheetData>
    <row r="1">
      <c r="A1" s="5" t="s">
        <v>127</v>
      </c>
      <c r="B1" s="5" t="s">
        <v>905</v>
      </c>
      <c r="C1" s="5" t="s">
        <v>395</v>
      </c>
      <c r="D1" s="5" t="s">
        <v>524</v>
      </c>
      <c r="E1" s="5" t="s">
        <v>525</v>
      </c>
      <c r="F1" s="5" t="s">
        <v>134</v>
      </c>
      <c r="G1" s="5" t="s">
        <v>135</v>
      </c>
      <c r="H1" s="5" t="s">
        <v>136</v>
      </c>
      <c r="I1" s="5" t="s">
        <v>137</v>
      </c>
      <c r="J1" s="5" t="s">
        <v>138</v>
      </c>
      <c r="K1" s="14" t="s">
        <v>594</v>
      </c>
      <c r="L1" s="14" t="s">
        <v>595</v>
      </c>
    </row>
    <row r="2">
      <c r="A2" s="14" t="s">
        <v>401</v>
      </c>
      <c r="B2" s="14" t="s">
        <v>906</v>
      </c>
      <c r="C2" s="14" t="str">
        <f t="shared" ref="C2:C12" si="1">A2&amp;"｜"&amp;B2</f>
        <v>T00｜指定なし</v>
      </c>
      <c r="D2" s="14">
        <v>0.0</v>
      </c>
      <c r="E2" s="14">
        <v>0.0</v>
      </c>
      <c r="F2" s="14">
        <v>0.0</v>
      </c>
      <c r="G2" s="14">
        <v>0.0</v>
      </c>
      <c r="H2" s="14">
        <v>0.0</v>
      </c>
      <c r="I2" s="14">
        <v>0.0</v>
      </c>
      <c r="J2" s="14">
        <v>0.0</v>
      </c>
      <c r="K2" s="25" t="str">
        <f t="shared" ref="K2:K12" si="2">TEXTJOIN(CHAR(10),TRUE,
 IF(TEXTJOIN(" ",TRUE,IF(D2&lt;0,"GI",""),IF(E2&lt;0,"AI",""),IF(F2&gt;0,"BO",""),IF(G2&lt;0,"BR",""),IF(H2&lt;0,"CVR",""),IF(I2&lt;0,"AOV",""),IF(J2&gt;0,"CPC",""))&lt;&gt;"",
  "↓ "&amp;TEXTJOIN(" ",TRUE,IF(D2&lt;0,"GI",""),IF(E2&lt;0,"AI",""),IF(F2&gt;0,"BO",""),IF(G2&lt;0,"BR",""),IF(H2&lt;0,"CVR",""),IF(I2&lt;0,"AOV",""),IF(J2&gt;0,"CPC","")),
  ""),
 IF(TEXTJOIN(" ",TRUE,IF(D2&gt;0,"GI",""),IF(E2&gt;0,"AI",""),IF(F2&lt;0,"BO",""),IF(G2&gt;0,"BR",""),IF(H2&gt;0,"CVR",""),IF(I2&gt;0,"AOV",""),IF(J2&lt;0,"CPC",""))&lt;&gt;"",
  "↑ "&amp;TEXTJOIN(" ",TRUE,IF(D2&gt;0,"GI",""),IF(E2&gt;0,"AI",""),IF(F2&lt;0,"BO",""),IF(G2&gt;0,"BR",""),IF(H2&gt;0,"CVR",""),IF(I2&gt;0,"AOV",""),IF(J2&lt;0,"CPC","")),
  "")
)</f>
        <v/>
      </c>
      <c r="L2" s="25" t="str">
        <f t="shared" ref="L2:L12" si="3">TEXTJOIN(" / ",TRUE,
 IF(D2&lt;&gt;0,"GI"&amp;TEXT(D2,"+0;-0"),""),
 IF(E2&lt;&gt;0,"AI"&amp;TEXT(E2,"+0;-0"),""),
 IF(F2&lt;&gt;0,"BO"&amp;TEXT(F2,"+0.00;-0.00"),""),
 IF(G2&lt;&gt;0,"BR"&amp;TEXT(G2,"+0.00;-0.00"),""),
 IF(H2&lt;&gt;0,"CVR"&amp;TEXT(H2,"+0.000;-0.000"),""),
 IF(I2&lt;&gt;0,"AOV"&amp;TEXT(I2,"+0;-0"),""),
 IF(J2&lt;&gt;0,"CPC"&amp;TEXT(J2,"+0;-0"),"")
)</f>
        <v/>
      </c>
    </row>
    <row r="3">
      <c r="A3" s="14" t="s">
        <v>405</v>
      </c>
      <c r="B3" s="14" t="s">
        <v>907</v>
      </c>
      <c r="C3" s="14" t="str">
        <f t="shared" si="1"/>
        <v>T01｜市場が拡大し新規流入が増加</v>
      </c>
      <c r="D3" s="14">
        <v>1200.0</v>
      </c>
      <c r="E3" s="14">
        <v>0.0</v>
      </c>
      <c r="F3" s="14">
        <v>0.0</v>
      </c>
      <c r="G3" s="14">
        <v>0.0</v>
      </c>
      <c r="H3" s="14">
        <v>0.0</v>
      </c>
      <c r="I3" s="14">
        <v>0.0</v>
      </c>
      <c r="J3" s="14">
        <v>0.0</v>
      </c>
      <c r="K3" s="25" t="str">
        <f t="shared" si="2"/>
        <v>↑ GI</v>
      </c>
      <c r="L3" s="25" t="str">
        <f t="shared" si="3"/>
        <v>GI+1200</v>
      </c>
    </row>
    <row r="4">
      <c r="A4" s="14" t="s">
        <v>421</v>
      </c>
      <c r="B4" s="14" t="s">
        <v>908</v>
      </c>
      <c r="C4" s="14" t="str">
        <f t="shared" si="1"/>
        <v>T02｜広告競争が激化しCPCが上昇</v>
      </c>
      <c r="D4" s="14">
        <v>0.0</v>
      </c>
      <c r="E4" s="14">
        <v>-300.0</v>
      </c>
      <c r="F4" s="14">
        <v>0.0</v>
      </c>
      <c r="G4" s="14">
        <v>0.0</v>
      </c>
      <c r="H4" s="14">
        <v>0.0</v>
      </c>
      <c r="I4" s="14">
        <v>0.0</v>
      </c>
      <c r="J4" s="14">
        <v>8.0</v>
      </c>
      <c r="K4" s="25" t="str">
        <f t="shared" si="2"/>
        <v>↓ AI CPC</v>
      </c>
      <c r="L4" s="25" t="str">
        <f t="shared" si="3"/>
        <v>AI-300 / CPC+8</v>
      </c>
    </row>
    <row r="5">
      <c r="A5" s="14" t="s">
        <v>410</v>
      </c>
      <c r="B5" s="14" t="s">
        <v>909</v>
      </c>
      <c r="C5" s="14" t="str">
        <f t="shared" si="1"/>
        <v>T03｜季節需要で購買意欲が上昇</v>
      </c>
      <c r="D5" s="14">
        <v>800.0</v>
      </c>
      <c r="E5" s="14">
        <v>200.0</v>
      </c>
      <c r="F5" s="14">
        <v>0.0</v>
      </c>
      <c r="G5" s="14">
        <v>0.01</v>
      </c>
      <c r="H5" s="14">
        <v>5.0E-4</v>
      </c>
      <c r="I5" s="14">
        <v>200.0</v>
      </c>
      <c r="J5" s="14">
        <v>0.0</v>
      </c>
      <c r="K5" s="25" t="str">
        <f t="shared" si="2"/>
        <v>↑ GI AI BR CVR AOV</v>
      </c>
      <c r="L5" s="25" t="str">
        <f t="shared" si="3"/>
        <v>GI+800 / AI+200 / BR+0.01 / CVR+0.001 / AOV+200</v>
      </c>
    </row>
    <row r="6">
      <c r="A6" s="14" t="s">
        <v>414</v>
      </c>
      <c r="B6" s="14" t="s">
        <v>910</v>
      </c>
      <c r="C6" s="14" t="str">
        <f t="shared" si="1"/>
        <v>T04｜市場が停滞し流入が減少</v>
      </c>
      <c r="D6" s="14">
        <v>-1200.0</v>
      </c>
      <c r="E6" s="14">
        <v>-400.0</v>
      </c>
      <c r="F6" s="14">
        <v>0.0</v>
      </c>
      <c r="G6" s="14">
        <v>0.0</v>
      </c>
      <c r="H6" s="14">
        <v>0.0</v>
      </c>
      <c r="I6" s="14">
        <v>0.0</v>
      </c>
      <c r="J6" s="14">
        <v>0.0</v>
      </c>
      <c r="K6" s="25" t="str">
        <f t="shared" si="2"/>
        <v>↓ GI AI</v>
      </c>
      <c r="L6" s="25" t="str">
        <f t="shared" si="3"/>
        <v>GI-1200 / AI-400</v>
      </c>
    </row>
    <row r="7">
      <c r="A7" s="14" t="s">
        <v>911</v>
      </c>
      <c r="B7" s="14" t="s">
        <v>912</v>
      </c>
      <c r="C7" s="14" t="str">
        <f t="shared" si="1"/>
        <v>T05｜比較検討が増えCVRが低下</v>
      </c>
      <c r="D7" s="14">
        <v>0.0</v>
      </c>
      <c r="E7" s="14">
        <v>0.0</v>
      </c>
      <c r="F7" s="14">
        <v>0.0</v>
      </c>
      <c r="G7" s="14">
        <v>0.0</v>
      </c>
      <c r="H7" s="14">
        <v>-0.001</v>
      </c>
      <c r="I7" s="14">
        <v>0.0</v>
      </c>
      <c r="J7" s="14">
        <v>0.0</v>
      </c>
      <c r="K7" s="25" t="str">
        <f t="shared" si="2"/>
        <v>↓ CVR</v>
      </c>
      <c r="L7" s="25" t="str">
        <f t="shared" si="3"/>
        <v>CVR-0.001</v>
      </c>
    </row>
    <row r="8">
      <c r="A8" s="14" t="s">
        <v>913</v>
      </c>
      <c r="B8" s="14" t="s">
        <v>914</v>
      </c>
      <c r="C8" s="14" t="str">
        <f t="shared" si="1"/>
        <v>T06｜ユーザーの関心が高まり回遊が増加</v>
      </c>
      <c r="D8" s="14">
        <v>300.0</v>
      </c>
      <c r="E8" s="14">
        <v>0.0</v>
      </c>
      <c r="F8" s="14">
        <v>0.0</v>
      </c>
      <c r="G8" s="14">
        <v>0.015</v>
      </c>
      <c r="H8" s="14">
        <v>0.0</v>
      </c>
      <c r="I8" s="14">
        <v>0.0</v>
      </c>
      <c r="J8" s="14">
        <v>0.0</v>
      </c>
      <c r="K8" s="25" t="str">
        <f t="shared" si="2"/>
        <v>↑ GI BR</v>
      </c>
      <c r="L8" s="25" t="str">
        <f t="shared" si="3"/>
        <v>GI+300 / BR+0.02</v>
      </c>
    </row>
    <row r="9">
      <c r="A9" s="14" t="s">
        <v>915</v>
      </c>
      <c r="B9" s="14" t="s">
        <v>916</v>
      </c>
      <c r="C9" s="14" t="str">
        <f t="shared" si="1"/>
        <v>T07｜景気悪化で購買意欲が低下</v>
      </c>
      <c r="D9" s="14">
        <v>-1000.0</v>
      </c>
      <c r="E9" s="14">
        <v>-400.0</v>
      </c>
      <c r="F9" s="14">
        <v>0.01</v>
      </c>
      <c r="G9" s="14">
        <v>-0.01</v>
      </c>
      <c r="H9" s="14">
        <v>-0.001</v>
      </c>
      <c r="I9" s="14">
        <v>-100.0</v>
      </c>
      <c r="J9" s="14">
        <v>0.0</v>
      </c>
      <c r="K9" s="25" t="str">
        <f t="shared" si="2"/>
        <v>↓ GI AI BO BR CVR AOV</v>
      </c>
      <c r="L9" s="25" t="str">
        <f t="shared" si="3"/>
        <v>GI-1000 / AI-400 / BO+0.01 / BR-0.01 / CVR-0.001 / AOV-100</v>
      </c>
    </row>
    <row r="10">
      <c r="A10" s="14" t="s">
        <v>917</v>
      </c>
      <c r="B10" s="14" t="s">
        <v>918</v>
      </c>
      <c r="C10" s="14" t="str">
        <f t="shared" si="1"/>
        <v>T08｜セール時期で全体的に改善</v>
      </c>
      <c r="D10" s="14">
        <v>1000.0</v>
      </c>
      <c r="E10" s="14">
        <v>500.0</v>
      </c>
      <c r="F10" s="14">
        <v>-0.01</v>
      </c>
      <c r="G10" s="14">
        <v>0.015</v>
      </c>
      <c r="H10" s="14">
        <v>0.001</v>
      </c>
      <c r="I10" s="14">
        <v>300.0</v>
      </c>
      <c r="J10" s="14">
        <v>0.0</v>
      </c>
      <c r="K10" s="25" t="str">
        <f t="shared" si="2"/>
        <v>↑ GI AI BO BR CVR AOV</v>
      </c>
      <c r="L10" s="25" t="str">
        <f t="shared" si="3"/>
        <v>GI+1000 / AI+500 / BO-0.01 / BR+0.02 / CVR+0.001 / AOV+300</v>
      </c>
    </row>
    <row r="11">
      <c r="A11" s="14" t="s">
        <v>919</v>
      </c>
      <c r="B11" s="14" t="s">
        <v>920</v>
      </c>
      <c r="C11" s="14" t="str">
        <f t="shared" si="1"/>
        <v>T09｜市場競争激化で総合的に悪化</v>
      </c>
      <c r="D11" s="14">
        <v>-600.0</v>
      </c>
      <c r="E11" s="14">
        <v>-400.0</v>
      </c>
      <c r="F11" s="14">
        <v>0.01</v>
      </c>
      <c r="G11" s="14">
        <v>-0.02</v>
      </c>
      <c r="H11" s="14">
        <v>-0.001</v>
      </c>
      <c r="I11" s="14">
        <v>-200.0</v>
      </c>
      <c r="J11" s="14">
        <v>5.0</v>
      </c>
      <c r="K11" s="25" t="str">
        <f t="shared" si="2"/>
        <v>↓ GI AI BO BR CVR AOV CPC</v>
      </c>
      <c r="L11" s="25" t="str">
        <f t="shared" si="3"/>
        <v>GI-600 / AI-400 / BO+0.01 / BR-0.02 / CVR-0.001 / AOV-200 / CPC+5</v>
      </c>
    </row>
    <row r="12">
      <c r="A12" s="14" t="s">
        <v>921</v>
      </c>
      <c r="B12" s="14" t="s">
        <v>922</v>
      </c>
      <c r="C12" s="14" t="str">
        <f t="shared" si="1"/>
        <v>T10｜ブランド需要増で安定成長</v>
      </c>
      <c r="D12" s="14">
        <v>500.0</v>
      </c>
      <c r="E12" s="14">
        <v>200.0</v>
      </c>
      <c r="F12" s="14">
        <v>0.0</v>
      </c>
      <c r="G12" s="14">
        <v>0.01</v>
      </c>
      <c r="H12" s="14">
        <v>5.0E-4</v>
      </c>
      <c r="I12" s="14">
        <v>100.0</v>
      </c>
      <c r="J12" s="14">
        <v>0.0</v>
      </c>
      <c r="K12" s="25" t="str">
        <f t="shared" si="2"/>
        <v>↑ GI AI BR CVR AOV</v>
      </c>
      <c r="L12" s="25" t="str">
        <f t="shared" si="3"/>
        <v>GI+500 / AI+200 / BR+0.01 / CVR+0.001 / AOV+100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75"/>
    <col customWidth="1" min="2" max="2" width="7.5"/>
    <col customWidth="1" min="3" max="3" width="17.38"/>
    <col customWidth="1" min="4" max="4" width="12.75"/>
    <col customWidth="1" min="5" max="5" width="8.25"/>
  </cols>
  <sheetData>
    <row r="1">
      <c r="A1" s="5" t="s">
        <v>121</v>
      </c>
      <c r="B1" s="5" t="s">
        <v>120</v>
      </c>
      <c r="C1" s="5" t="s">
        <v>329</v>
      </c>
      <c r="D1" s="5" t="s">
        <v>122</v>
      </c>
      <c r="E1" s="5" t="s">
        <v>123</v>
      </c>
    </row>
    <row r="2">
      <c r="A2" s="14" t="s">
        <v>980</v>
      </c>
      <c r="B2" s="14" t="s">
        <v>151</v>
      </c>
      <c r="C2" s="14" t="s">
        <v>981</v>
      </c>
      <c r="D2" s="14" t="s">
        <v>153</v>
      </c>
      <c r="E2" s="14" t="s">
        <v>154</v>
      </c>
    </row>
    <row r="3">
      <c r="A3" s="14" t="s">
        <v>982</v>
      </c>
      <c r="B3" s="14" t="s">
        <v>151</v>
      </c>
      <c r="C3" s="14" t="s">
        <v>983</v>
      </c>
      <c r="D3" s="14" t="s">
        <v>984</v>
      </c>
      <c r="E3" s="14" t="s">
        <v>154</v>
      </c>
    </row>
    <row r="4">
      <c r="A4" s="14" t="s">
        <v>157</v>
      </c>
      <c r="B4" s="14" t="s">
        <v>156</v>
      </c>
      <c r="C4" s="14" t="s">
        <v>981</v>
      </c>
      <c r="D4" s="14" t="s">
        <v>153</v>
      </c>
      <c r="E4" s="14" t="s">
        <v>154</v>
      </c>
    </row>
    <row r="5">
      <c r="A5" s="14" t="s">
        <v>985</v>
      </c>
      <c r="B5" s="14" t="s">
        <v>156</v>
      </c>
      <c r="C5" s="14" t="s">
        <v>983</v>
      </c>
      <c r="D5" s="14" t="s">
        <v>984</v>
      </c>
      <c r="E5" s="14" t="s">
        <v>154</v>
      </c>
    </row>
    <row r="6">
      <c r="A6" s="14" t="s">
        <v>986</v>
      </c>
      <c r="B6" s="14" t="s">
        <v>987</v>
      </c>
      <c r="C6" s="14" t="s">
        <v>988</v>
      </c>
      <c r="E6" s="14" t="s">
        <v>149</v>
      </c>
    </row>
    <row r="7">
      <c r="A7" s="14" t="s">
        <v>160</v>
      </c>
      <c r="B7" s="14" t="s">
        <v>159</v>
      </c>
      <c r="C7" s="14" t="s">
        <v>981</v>
      </c>
      <c r="D7" s="14" t="s">
        <v>153</v>
      </c>
      <c r="E7" s="14" t="s">
        <v>154</v>
      </c>
    </row>
    <row r="8">
      <c r="A8" s="14" t="s">
        <v>989</v>
      </c>
      <c r="B8" s="14" t="s">
        <v>159</v>
      </c>
      <c r="C8" s="14" t="s">
        <v>983</v>
      </c>
      <c r="D8" s="14" t="s">
        <v>984</v>
      </c>
      <c r="E8" s="14" t="s">
        <v>154</v>
      </c>
    </row>
    <row r="9">
      <c r="A9" s="14" t="s">
        <v>163</v>
      </c>
      <c r="B9" s="14" t="s">
        <v>162</v>
      </c>
      <c r="C9" s="14" t="s">
        <v>981</v>
      </c>
      <c r="D9" s="14" t="s">
        <v>153</v>
      </c>
      <c r="E9" s="14" t="s">
        <v>154</v>
      </c>
    </row>
    <row r="10">
      <c r="A10" s="14" t="s">
        <v>990</v>
      </c>
      <c r="B10" s="14" t="s">
        <v>162</v>
      </c>
      <c r="C10" s="14" t="s">
        <v>983</v>
      </c>
      <c r="D10" s="14" t="s">
        <v>984</v>
      </c>
      <c r="E10" s="14" t="s">
        <v>154</v>
      </c>
    </row>
    <row r="11">
      <c r="A11" s="14" t="s">
        <v>166</v>
      </c>
      <c r="B11" s="14" t="s">
        <v>165</v>
      </c>
      <c r="C11" s="14" t="s">
        <v>981</v>
      </c>
      <c r="D11" s="14" t="s">
        <v>153</v>
      </c>
      <c r="E11" s="14" t="s">
        <v>154</v>
      </c>
    </row>
    <row r="12">
      <c r="A12" s="14" t="s">
        <v>991</v>
      </c>
      <c r="B12" s="14" t="s">
        <v>165</v>
      </c>
      <c r="C12" s="14" t="s">
        <v>983</v>
      </c>
      <c r="D12" s="14" t="s">
        <v>984</v>
      </c>
      <c r="E12" s="14" t="s">
        <v>154</v>
      </c>
    </row>
    <row r="13">
      <c r="A13" s="14" t="s">
        <v>992</v>
      </c>
      <c r="B13" s="14" t="s">
        <v>168</v>
      </c>
      <c r="C13" s="14" t="s">
        <v>981</v>
      </c>
      <c r="D13" s="14" t="s">
        <v>153</v>
      </c>
      <c r="E13" s="14" t="s">
        <v>154</v>
      </c>
    </row>
    <row r="14">
      <c r="A14" s="14" t="s">
        <v>993</v>
      </c>
      <c r="B14" s="14" t="s">
        <v>168</v>
      </c>
      <c r="C14" s="14" t="s">
        <v>983</v>
      </c>
      <c r="D14" s="14" t="s">
        <v>984</v>
      </c>
      <c r="E14" s="14" t="s">
        <v>154</v>
      </c>
    </row>
  </sheetData>
  <drawing r:id="rId1"/>
</worksheet>
</file>